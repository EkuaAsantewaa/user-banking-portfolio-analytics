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OneDrive\Desktop\"/>
    </mc:Choice>
  </mc:AlternateContent>
  <xr:revisionPtr revIDLastSave="0" documentId="8_{1AA788FC-3448-4156-A22C-B2043DDC0C18}" xr6:coauthVersionLast="47" xr6:coauthVersionMax="47" xr10:uidLastSave="{00000000-0000-0000-0000-000000000000}"/>
  <bookViews>
    <workbookView xWindow="-108" yWindow="-108" windowWidth="23256" windowHeight="13176" activeTab="2" xr2:uid="{D9120DD6-4E35-4166-9908-35D183CA10C1}"/>
  </bookViews>
  <sheets>
    <sheet name="USERS" sheetId="1" r:id="rId1"/>
    <sheet name="TRANSACTIONS" sheetId="3" r:id="rId2"/>
    <sheet name="CARDS" sheetId="4" r:id="rId3"/>
  </sheets>
  <definedNames>
    <definedName name="_xlnm._FilterDatabase" localSheetId="2" hidden="1">CARDS!$A$1:$M$6147</definedName>
    <definedName name="_xlnm._FilterDatabase" localSheetId="1" hidden="1">TRANSACTIONS!$A:$L</definedName>
    <definedName name="_xlnm._FilterDatabase" localSheetId="0" hidden="1">USERS!$A$1:$S$2001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2" i="1" l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3" i="1"/>
  <c r="N4" i="1"/>
  <c r="N5" i="1"/>
  <c r="N6" i="1"/>
  <c r="N7" i="1"/>
  <c r="N8" i="1"/>
  <c r="N9" i="1"/>
  <c r="N10" i="1"/>
  <c r="N11" i="1"/>
  <c r="N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2" i="1"/>
</calcChain>
</file>

<file path=xl/sharedStrings.xml><?xml version="1.0" encoding="utf-8"?>
<sst xmlns="http://schemas.openxmlformats.org/spreadsheetml/2006/main" count="12099" uniqueCount="3723">
  <si>
    <t>id</t>
  </si>
  <si>
    <t>current_age</t>
  </si>
  <si>
    <t>retirement_age</t>
  </si>
  <si>
    <t>birth_year</t>
  </si>
  <si>
    <t>birth_month</t>
  </si>
  <si>
    <t>gender</t>
  </si>
  <si>
    <t>address</t>
  </si>
  <si>
    <t>latitude</t>
  </si>
  <si>
    <t>longitude</t>
  </si>
  <si>
    <t>per_capita_income</t>
  </si>
  <si>
    <t>yearly_income</t>
  </si>
  <si>
    <t>total_debt</t>
  </si>
  <si>
    <t>credit_score</t>
  </si>
  <si>
    <t>num_credit_cards</t>
  </si>
  <si>
    <t>Female</t>
  </si>
  <si>
    <t>462 Rose Lane</t>
  </si>
  <si>
    <t>$29278</t>
  </si>
  <si>
    <t>3 Madison Street</t>
  </si>
  <si>
    <t>$163145</t>
  </si>
  <si>
    <t>Male</t>
  </si>
  <si>
    <t>58 Birch Lane</t>
  </si>
  <si>
    <t>$20599</t>
  </si>
  <si>
    <t>$0</t>
  </si>
  <si>
    <t>$25258</t>
  </si>
  <si>
    <t>$26273</t>
  </si>
  <si>
    <t>888 Fifth Lane</t>
  </si>
  <si>
    <t>$27548</t>
  </si>
  <si>
    <t>8677 Littlewood Lane</t>
  </si>
  <si>
    <t>$22427</t>
  </si>
  <si>
    <t>$17898</t>
  </si>
  <si>
    <t>172 Birch Street</t>
  </si>
  <si>
    <t>$21950</t>
  </si>
  <si>
    <t>8145 Spruce Boulevard</t>
  </si>
  <si>
    <t>$26481</t>
  </si>
  <si>
    <t>153 Tenth Lane</t>
  </si>
  <si>
    <t>$17460</t>
  </si>
  <si>
    <t>2473 Lake Avenue</t>
  </si>
  <si>
    <t>$12321</t>
  </si>
  <si>
    <t>970 Essex Drive</t>
  </si>
  <si>
    <t>$106305</t>
  </si>
  <si>
    <t>195 Eighth Boulevard</t>
  </si>
  <si>
    <t>$17131</t>
  </si>
  <si>
    <t>801 Mill Boulevard</t>
  </si>
  <si>
    <t>$16829</t>
  </si>
  <si>
    <t>6914 Wessex Avenue</t>
  </si>
  <si>
    <t>$15389</t>
  </si>
  <si>
    <t>$31377</t>
  </si>
  <si>
    <t>776 Norfolk Boulevard</t>
  </si>
  <si>
    <t>$21402</t>
  </si>
  <si>
    <t>$15955</t>
  </si>
  <si>
    <t>108 Washington Street</t>
  </si>
  <si>
    <t>$20657</t>
  </si>
  <si>
    <t>$18828</t>
  </si>
  <si>
    <t>$30281</t>
  </si>
  <si>
    <t>837 Lincoln Avenue</t>
  </si>
  <si>
    <t>$21331</t>
  </si>
  <si>
    <t>7467 Spruce Drive</t>
  </si>
  <si>
    <t>$25431</t>
  </si>
  <si>
    <t>6323 Sussex Boulevard</t>
  </si>
  <si>
    <t>$16942</t>
  </si>
  <si>
    <t>5492 Maple Drive</t>
  </si>
  <si>
    <t>$51642</t>
  </si>
  <si>
    <t>1942 Rose Avenue</t>
  </si>
  <si>
    <t>$21916</t>
  </si>
  <si>
    <t>5101 Birch Lane</t>
  </si>
  <si>
    <t>$25163</t>
  </si>
  <si>
    <t>$12677</t>
  </si>
  <si>
    <t>708 George Street</t>
  </si>
  <si>
    <t>$13759</t>
  </si>
  <si>
    <t>$12475</t>
  </si>
  <si>
    <t>28 Hillside Boulevard</t>
  </si>
  <si>
    <t>$32078</t>
  </si>
  <si>
    <t>349 First Drive</t>
  </si>
  <si>
    <t>$24382</t>
  </si>
  <si>
    <t>7914 Essex Boulevard</t>
  </si>
  <si>
    <t>$21660</t>
  </si>
  <si>
    <t>$95039</t>
  </si>
  <si>
    <t>$13015</t>
  </si>
  <si>
    <t>5125 Elm Drive</t>
  </si>
  <si>
    <t>$23165</t>
  </si>
  <si>
    <t>4098 Park Drive</t>
  </si>
  <si>
    <t>$12051</t>
  </si>
  <si>
    <t>892 Spruce Street</t>
  </si>
  <si>
    <t>$21283</t>
  </si>
  <si>
    <t>$15092</t>
  </si>
  <si>
    <t>145 River Drive</t>
  </si>
  <si>
    <t>$12427</t>
  </si>
  <si>
    <t>$19893</t>
  </si>
  <si>
    <t>7605 Essex Boulevard</t>
  </si>
  <si>
    <t>$18019</t>
  </si>
  <si>
    <t>480 Seventh Lane</t>
  </si>
  <si>
    <t>$22747</t>
  </si>
  <si>
    <t>5506 Fifth Boulevard</t>
  </si>
  <si>
    <t>$24611</t>
  </si>
  <si>
    <t>272 Burns Boulevard</t>
  </si>
  <si>
    <t>$15221</t>
  </si>
  <si>
    <t>8569 Wessex Boulevard</t>
  </si>
  <si>
    <t>$13263</t>
  </si>
  <si>
    <t>385 Lexington Boulevard</t>
  </si>
  <si>
    <t>$15183</t>
  </si>
  <si>
    <t>407 Park Lane</t>
  </si>
  <si>
    <t>$14864</t>
  </si>
  <si>
    <t>$23392</t>
  </si>
  <si>
    <t>224 Mountain View Boulevard</t>
  </si>
  <si>
    <t>$17040</t>
  </si>
  <si>
    <t>$24400</t>
  </si>
  <si>
    <t>381 Fifth Lane</t>
  </si>
  <si>
    <t>$16113</t>
  </si>
  <si>
    <t>293 Wessex Street</t>
  </si>
  <si>
    <t>$49458</t>
  </si>
  <si>
    <t>7276 Fourth Drive</t>
  </si>
  <si>
    <t>$25334</t>
  </si>
  <si>
    <t>327 Lafayette Boulevard</t>
  </si>
  <si>
    <t>$18680</t>
  </si>
  <si>
    <t>2846 Lake Avenue</t>
  </si>
  <si>
    <t>$18082</t>
  </si>
  <si>
    <t>977 Littlewood Avenue</t>
  </si>
  <si>
    <t>$16133</t>
  </si>
  <si>
    <t>993 Mountain View Avenue</t>
  </si>
  <si>
    <t>$14667</t>
  </si>
  <si>
    <t>896 Rose Street</t>
  </si>
  <si>
    <t>$23278</t>
  </si>
  <si>
    <t>2418 Mill Drive</t>
  </si>
  <si>
    <t>$41750</t>
  </si>
  <si>
    <t>0 Elm Street</t>
  </si>
  <si>
    <t>$13024</t>
  </si>
  <si>
    <t>2302 Catherine Lane</t>
  </si>
  <si>
    <t>$19712</t>
  </si>
  <si>
    <t>1389 Park Lane</t>
  </si>
  <si>
    <t>$35114</t>
  </si>
  <si>
    <t>2890 Eighth Lane</t>
  </si>
  <si>
    <t>$15451</t>
  </si>
  <si>
    <t>$22158</t>
  </si>
  <si>
    <t>20 Littlewood Boulevard</t>
  </si>
  <si>
    <t>6413 Second Street</t>
  </si>
  <si>
    <t>$12766</t>
  </si>
  <si>
    <t>889 Martin Luther King Avenue</t>
  </si>
  <si>
    <t>$32485</t>
  </si>
  <si>
    <t>335 Valley Stream Boulevard</t>
  </si>
  <si>
    <t>1773 Hill Street</t>
  </si>
  <si>
    <t>$16300</t>
  </si>
  <si>
    <t>$30335</t>
  </si>
  <si>
    <t>$18622</t>
  </si>
  <si>
    <t>973 Federal Avenue</t>
  </si>
  <si>
    <t>$25495</t>
  </si>
  <si>
    <t>95266 Bayview Drive</t>
  </si>
  <si>
    <t>$52813</t>
  </si>
  <si>
    <t>932 Essex Street</t>
  </si>
  <si>
    <t>$16109</t>
  </si>
  <si>
    <t>$11061</t>
  </si>
  <si>
    <t>5863 Grant Avenue</t>
  </si>
  <si>
    <t>582 Birch Boulevard</t>
  </si>
  <si>
    <t>$19621</t>
  </si>
  <si>
    <t>6339 Fourth Street</t>
  </si>
  <si>
    <t>$33175</t>
  </si>
  <si>
    <t>81 Hill Avenue</t>
  </si>
  <si>
    <t>$13820</t>
  </si>
  <si>
    <t>28136 Wessex Street</t>
  </si>
  <si>
    <t>$14856</t>
  </si>
  <si>
    <t>$22549</t>
  </si>
  <si>
    <t>$18116</t>
  </si>
  <si>
    <t>$13972</t>
  </si>
  <si>
    <t>6429 Fifth Avenue</t>
  </si>
  <si>
    <t>$39752</t>
  </si>
  <si>
    <t>804 Seventh Boulevard</t>
  </si>
  <si>
    <t>$16585</t>
  </si>
  <si>
    <t>76009 Valley Stream Boulevard</t>
  </si>
  <si>
    <t>$15770</t>
  </si>
  <si>
    <t>6398 Lake Lane</t>
  </si>
  <si>
    <t>$36563</t>
  </si>
  <si>
    <t>320 Hillside Lane</t>
  </si>
  <si>
    <t>$10730</t>
  </si>
  <si>
    <t>437 Ocean View Drive</t>
  </si>
  <si>
    <t>$25031</t>
  </si>
  <si>
    <t>9850 Birch Drive</t>
  </si>
  <si>
    <t>$34519</t>
  </si>
  <si>
    <t>55 Third Drive</t>
  </si>
  <si>
    <t>$20902</t>
  </si>
  <si>
    <t>886 Little Creek Drive</t>
  </si>
  <si>
    <t>$31927</t>
  </si>
  <si>
    <t>327 Seventh Boulevard</t>
  </si>
  <si>
    <t>$18278</t>
  </si>
  <si>
    <t>174 Catherine Boulevard</t>
  </si>
  <si>
    <t>$13075</t>
  </si>
  <si>
    <t>496 Hill Lane</t>
  </si>
  <si>
    <t>$40364</t>
  </si>
  <si>
    <t>23068 Park Street</t>
  </si>
  <si>
    <t>$12630</t>
  </si>
  <si>
    <t>293 First Boulevard</t>
  </si>
  <si>
    <t>$23820</t>
  </si>
  <si>
    <t>32 Valley Drive</t>
  </si>
  <si>
    <t>$18175</t>
  </si>
  <si>
    <t>819 El Camino Boulevard</t>
  </si>
  <si>
    <t>$17237</t>
  </si>
  <si>
    <t>742 Lake Street</t>
  </si>
  <si>
    <t>$15069</t>
  </si>
  <si>
    <t>$24252</t>
  </si>
  <si>
    <t>65 Fifth Boulevard</t>
  </si>
  <si>
    <t>$22086</t>
  </si>
  <si>
    <t>$18937</t>
  </si>
  <si>
    <t>196 Plum Lane</t>
  </si>
  <si>
    <t>$13845</t>
  </si>
  <si>
    <t>6009 River Avenue</t>
  </si>
  <si>
    <t>$25654</t>
  </si>
  <si>
    <t>6930 East Lane</t>
  </si>
  <si>
    <t>$21749</t>
  </si>
  <si>
    <t>31204 El Camino Lane</t>
  </si>
  <si>
    <t>$25594</t>
  </si>
  <si>
    <t>136 Hillside Avenue</t>
  </si>
  <si>
    <t>$42234</t>
  </si>
  <si>
    <t>669 South Street</t>
  </si>
  <si>
    <t>$26762</t>
  </si>
  <si>
    <t>511 Grant Avenue</t>
  </si>
  <si>
    <t>$20581</t>
  </si>
  <si>
    <t>51 George Avenue</t>
  </si>
  <si>
    <t>$25363</t>
  </si>
  <si>
    <t>3916 Tenth Boulevard</t>
  </si>
  <si>
    <t>$11876</t>
  </si>
  <si>
    <t>813 Fifth Boulevard</t>
  </si>
  <si>
    <t>$18293</t>
  </si>
  <si>
    <t>$40694</t>
  </si>
  <si>
    <t>33 Tenth Street</t>
  </si>
  <si>
    <t>$34873</t>
  </si>
  <si>
    <t>5528 Lake Lane</t>
  </si>
  <si>
    <t>$14320</t>
  </si>
  <si>
    <t>69 Norfolk Avenue</t>
  </si>
  <si>
    <t>$15361</t>
  </si>
  <si>
    <t>9528 Hill Street</t>
  </si>
  <si>
    <t>$35645</t>
  </si>
  <si>
    <t>8251 Park Lane</t>
  </si>
  <si>
    <t>$38243</t>
  </si>
  <si>
    <t>177 Maple Boulevard</t>
  </si>
  <si>
    <t>$17093</t>
  </si>
  <si>
    <t>7087 Plum Street</t>
  </si>
  <si>
    <t>$26476</t>
  </si>
  <si>
    <t>$28733</t>
  </si>
  <si>
    <t>4165 Valley Avenue</t>
  </si>
  <si>
    <t>$28710</t>
  </si>
  <si>
    <t>38 Catherine Boulevard</t>
  </si>
  <si>
    <t>$18100</t>
  </si>
  <si>
    <t>3485 Federal Avenue</t>
  </si>
  <si>
    <t>$24725</t>
  </si>
  <si>
    <t>$20649</t>
  </si>
  <si>
    <t>$18962</t>
  </si>
  <si>
    <t>8094 Catherine Lane</t>
  </si>
  <si>
    <t>$20458</t>
  </si>
  <si>
    <t>41 Plum Boulevard</t>
  </si>
  <si>
    <t>$12018</t>
  </si>
  <si>
    <t>1959 Forest Street</t>
  </si>
  <si>
    <t>$24589</t>
  </si>
  <si>
    <t>5274 Martin Luther King Lane</t>
  </si>
  <si>
    <t>$12274</t>
  </si>
  <si>
    <t>281 Martin Luther King Avenue</t>
  </si>
  <si>
    <t>$14004</t>
  </si>
  <si>
    <t>47428 First Boulevard</t>
  </si>
  <si>
    <t>$29059</t>
  </si>
  <si>
    <t>4096 Sussex Avenue</t>
  </si>
  <si>
    <t>$27653</t>
  </si>
  <si>
    <t>96 11th Street</t>
  </si>
  <si>
    <t>$17987</t>
  </si>
  <si>
    <t>654 Elm Drive</t>
  </si>
  <si>
    <t>$19550</t>
  </si>
  <si>
    <t>345 George Avenue</t>
  </si>
  <si>
    <t>$18531</t>
  </si>
  <si>
    <t>318 Spruce Boulevard</t>
  </si>
  <si>
    <t>$18682</t>
  </si>
  <si>
    <t>118 12th Avenue</t>
  </si>
  <si>
    <t>$25025</t>
  </si>
  <si>
    <t>1752 Martin Luther King Avenue</t>
  </si>
  <si>
    <t>$49868</t>
  </si>
  <si>
    <t>$13632</t>
  </si>
  <si>
    <t>49 Bayview Lane</t>
  </si>
  <si>
    <t>$18897</t>
  </si>
  <si>
    <t>5194 Grant Street</t>
  </si>
  <si>
    <t>$24314</t>
  </si>
  <si>
    <t>$18452</t>
  </si>
  <si>
    <t>7549 Fourth Lane</t>
  </si>
  <si>
    <t>$27741</t>
  </si>
  <si>
    <t>495 Ocean View Lane</t>
  </si>
  <si>
    <t>$25249</t>
  </si>
  <si>
    <t>6946 Park Drive</t>
  </si>
  <si>
    <t>$20338</t>
  </si>
  <si>
    <t>4222 Ocean View Drive</t>
  </si>
  <si>
    <t>$15879</t>
  </si>
  <si>
    <t>46 South Street</t>
  </si>
  <si>
    <t>$16888</t>
  </si>
  <si>
    <t>2780 Martin Luther King Drive</t>
  </si>
  <si>
    <t>$20697</t>
  </si>
  <si>
    <t>215 Ocean View Drive</t>
  </si>
  <si>
    <t>$24044</t>
  </si>
  <si>
    <t>84 Second Lane</t>
  </si>
  <si>
    <t>649 Sussex Street</t>
  </si>
  <si>
    <t>$18401</t>
  </si>
  <si>
    <t>102 Seventh Avenue</t>
  </si>
  <si>
    <t>$28673</t>
  </si>
  <si>
    <t>2017 Ninth Drive</t>
  </si>
  <si>
    <t>$20159</t>
  </si>
  <si>
    <t>595 Valley Stream Drive</t>
  </si>
  <si>
    <t>$22502</t>
  </si>
  <si>
    <t>3748 Mountain View Drive</t>
  </si>
  <si>
    <t>$28760</t>
  </si>
  <si>
    <t>$21642</t>
  </si>
  <si>
    <t>9 Plum Boulevard</t>
  </si>
  <si>
    <t>$22185</t>
  </si>
  <si>
    <t>1039 Bayview Drive</t>
  </si>
  <si>
    <t>$28410</t>
  </si>
  <si>
    <t>751 Birch Avenue</t>
  </si>
  <si>
    <t>$27748</t>
  </si>
  <si>
    <t>372 12th Boulevard</t>
  </si>
  <si>
    <t>$22983</t>
  </si>
  <si>
    <t>60 Little Creek Avenue</t>
  </si>
  <si>
    <t>$27761</t>
  </si>
  <si>
    <t>644 Birch Avenue</t>
  </si>
  <si>
    <t>$30076</t>
  </si>
  <si>
    <t>72 Second Street</t>
  </si>
  <si>
    <t>$35992</t>
  </si>
  <si>
    <t>3999 West Lane</t>
  </si>
  <si>
    <t>$26137</t>
  </si>
  <si>
    <t>$18959</t>
  </si>
  <si>
    <t>$47523</t>
  </si>
  <si>
    <t>751 Fifth Street</t>
  </si>
  <si>
    <t>$16519</t>
  </si>
  <si>
    <t>6889 Summit Lane</t>
  </si>
  <si>
    <t>$18740</t>
  </si>
  <si>
    <t>8100 Hill Avenue</t>
  </si>
  <si>
    <t>$13144</t>
  </si>
  <si>
    <t>645 Hillside Lane</t>
  </si>
  <si>
    <t>4591 Third Drive</t>
  </si>
  <si>
    <t>$30361</t>
  </si>
  <si>
    <t>33 Pine Lane</t>
  </si>
  <si>
    <t>1246 11th Boulevard</t>
  </si>
  <si>
    <t>$21661</t>
  </si>
  <si>
    <t>$22599</t>
  </si>
  <si>
    <t>74 Birch Avenue</t>
  </si>
  <si>
    <t>$15064</t>
  </si>
  <si>
    <t>415 Madison Boulevard</t>
  </si>
  <si>
    <t>$19856</t>
  </si>
  <si>
    <t>430 Sixth Avenue</t>
  </si>
  <si>
    <t>$46169</t>
  </si>
  <si>
    <t>860 Seventh Avenue</t>
  </si>
  <si>
    <t>$18005</t>
  </si>
  <si>
    <t>$14709</t>
  </si>
  <si>
    <t>42 Martin Luther King Drive</t>
  </si>
  <si>
    <t>$17405</t>
  </si>
  <si>
    <t>769 Madison Drive</t>
  </si>
  <si>
    <t>$16238</t>
  </si>
  <si>
    <t>3716 North Boulevard</t>
  </si>
  <si>
    <t>$29281</t>
  </si>
  <si>
    <t>651 Fourth Avenue</t>
  </si>
  <si>
    <t>$51692</t>
  </si>
  <si>
    <t>895 Lexington Lane</t>
  </si>
  <si>
    <t>$26061</t>
  </si>
  <si>
    <t>9192 Birch Lane</t>
  </si>
  <si>
    <t>$22214</t>
  </si>
  <si>
    <t>3031 Essex Street</t>
  </si>
  <si>
    <t>$34909</t>
  </si>
  <si>
    <t>709 River Lane</t>
  </si>
  <si>
    <t>$34043</t>
  </si>
  <si>
    <t>91 Lake Street</t>
  </si>
  <si>
    <t>$32314</t>
  </si>
  <si>
    <t>5320 Mountain View Street</t>
  </si>
  <si>
    <t>$12362</t>
  </si>
  <si>
    <t>$25205</t>
  </si>
  <si>
    <t>373 Sussex Drive</t>
  </si>
  <si>
    <t>$18709</t>
  </si>
  <si>
    <t>41 Rose Lane</t>
  </si>
  <si>
    <t>$56720</t>
  </si>
  <si>
    <t>704 East Drive</t>
  </si>
  <si>
    <t>$26772</t>
  </si>
  <si>
    <t>9261 Little Creek Lane</t>
  </si>
  <si>
    <t>$20400</t>
  </si>
  <si>
    <t>936 Mill Street</t>
  </si>
  <si>
    <t>$22047</t>
  </si>
  <si>
    <t>$13891</t>
  </si>
  <si>
    <t>$15209</t>
  </si>
  <si>
    <t>8016 Norfolk Drive</t>
  </si>
  <si>
    <t>$16006</t>
  </si>
  <si>
    <t>967 Norfolk Avenue</t>
  </si>
  <si>
    <t>$15840</t>
  </si>
  <si>
    <t>186 First Drive</t>
  </si>
  <si>
    <t>$33919</t>
  </si>
  <si>
    <t>9864 Fifth Lane</t>
  </si>
  <si>
    <t>$6201</t>
  </si>
  <si>
    <t>5944 Grant Avenue</t>
  </si>
  <si>
    <t>$20553</t>
  </si>
  <si>
    <t>$19781</t>
  </si>
  <si>
    <t>5378 Lafayette Avenue</t>
  </si>
  <si>
    <t>$15539</t>
  </si>
  <si>
    <t>839 East Avenue</t>
  </si>
  <si>
    <t>$19377</t>
  </si>
  <si>
    <t>9892 George Drive</t>
  </si>
  <si>
    <t>$10626</t>
  </si>
  <si>
    <t>$12700</t>
  </si>
  <si>
    <t>29 12th Avenue</t>
  </si>
  <si>
    <t>$25698</t>
  </si>
  <si>
    <t>415 Lafayette Drive</t>
  </si>
  <si>
    <t>$19236</t>
  </si>
  <si>
    <t>833 Elm Lane</t>
  </si>
  <si>
    <t>$12434</t>
  </si>
  <si>
    <t>547 Norfolk Boulevard</t>
  </si>
  <si>
    <t>$18302</t>
  </si>
  <si>
    <t>255 Bayview Street</t>
  </si>
  <si>
    <t>$20460</t>
  </si>
  <si>
    <t>5934 Essex Boulevard</t>
  </si>
  <si>
    <t>$14920</t>
  </si>
  <si>
    <t>572 Mountain View Lane</t>
  </si>
  <si>
    <t>$14528</t>
  </si>
  <si>
    <t>42 Fourth Avenue</t>
  </si>
  <si>
    <t>$19620</t>
  </si>
  <si>
    <t>$51032</t>
  </si>
  <si>
    <t>215 Plum Boulevard</t>
  </si>
  <si>
    <t>$24608</t>
  </si>
  <si>
    <t>89 Washington Boulevard</t>
  </si>
  <si>
    <t>$35630</t>
  </si>
  <si>
    <t>5263 Little Creek Drive</t>
  </si>
  <si>
    <t>$31847</t>
  </si>
  <si>
    <t>4973 Martin Luther King Lane</t>
  </si>
  <si>
    <t>$30757</t>
  </si>
  <si>
    <t>$21219</t>
  </si>
  <si>
    <t>13 Main Boulevard</t>
  </si>
  <si>
    <t>$23990</t>
  </si>
  <si>
    <t>670 Tenth Drive</t>
  </si>
  <si>
    <t>$42028</t>
  </si>
  <si>
    <t>864 Main Lane</t>
  </si>
  <si>
    <t>$18585</t>
  </si>
  <si>
    <t>5263 Fifth Avenue</t>
  </si>
  <si>
    <t>$21828</t>
  </si>
  <si>
    <t>5048 Catherine Drive</t>
  </si>
  <si>
    <t>$28459</t>
  </si>
  <si>
    <t>9085 West Drive</t>
  </si>
  <si>
    <t>$31193</t>
  </si>
  <si>
    <t>640 Bayview Street</t>
  </si>
  <si>
    <t>$15597</t>
  </si>
  <si>
    <t>$5400</t>
  </si>
  <si>
    <t>3539 Lincoln Boulevard</t>
  </si>
  <si>
    <t>$21869</t>
  </si>
  <si>
    <t>4514 Elm Street</t>
  </si>
  <si>
    <t>$16928</t>
  </si>
  <si>
    <t>8440 Park Drive</t>
  </si>
  <si>
    <t>$30072</t>
  </si>
  <si>
    <t>$21757</t>
  </si>
  <si>
    <t>381 Catherine Avenue</t>
  </si>
  <si>
    <t>7096 Park Street</t>
  </si>
  <si>
    <t>$18013</t>
  </si>
  <si>
    <t>861 Martin Luther King Boulevard</t>
  </si>
  <si>
    <t>$14456</t>
  </si>
  <si>
    <t>123 Ocean View Street</t>
  </si>
  <si>
    <t>$35137</t>
  </si>
  <si>
    <t>956 Lincoln Boulevard</t>
  </si>
  <si>
    <t>$22674</t>
  </si>
  <si>
    <t>5789 Ninth Drive</t>
  </si>
  <si>
    <t>$19682</t>
  </si>
  <si>
    <t>1583 Grant Lane</t>
  </si>
  <si>
    <t>$17679</t>
  </si>
  <si>
    <t>$32610</t>
  </si>
  <si>
    <t>5065 Catherine Drive</t>
  </si>
  <si>
    <t>$20343</t>
  </si>
  <si>
    <t>5138 Park Drive</t>
  </si>
  <si>
    <t>$25689</t>
  </si>
  <si>
    <t>$27813</t>
  </si>
  <si>
    <t>19 El Camino Drive</t>
  </si>
  <si>
    <t>$26023</t>
  </si>
  <si>
    <t>5094 Lafayette Boulevard</t>
  </si>
  <si>
    <t>$18077</t>
  </si>
  <si>
    <t>6016 Little Creek Boulevard</t>
  </si>
  <si>
    <t>$37485</t>
  </si>
  <si>
    <t>34533 Ninth Avenue</t>
  </si>
  <si>
    <t>132 Lexington Drive</t>
  </si>
  <si>
    <t>671 West Drive</t>
  </si>
  <si>
    <t>71682 Catherine Street</t>
  </si>
  <si>
    <t>$30367</t>
  </si>
  <si>
    <t>$21992</t>
  </si>
  <si>
    <t>7561 Littlewood Street</t>
  </si>
  <si>
    <t>$14568</t>
  </si>
  <si>
    <t>1598 Elm Street</t>
  </si>
  <si>
    <t>$20519</t>
  </si>
  <si>
    <t>541 Tenth Street</t>
  </si>
  <si>
    <t>$11329</t>
  </si>
  <si>
    <t>4388 Hillside Street</t>
  </si>
  <si>
    <t>$39053</t>
  </si>
  <si>
    <t>$11755</t>
  </si>
  <si>
    <t>858 Jefferson Avenue</t>
  </si>
  <si>
    <t>$20353</t>
  </si>
  <si>
    <t>7794 Ocean Street</t>
  </si>
  <si>
    <t>$14822</t>
  </si>
  <si>
    <t>817 Forest Street</t>
  </si>
  <si>
    <t>$16462</t>
  </si>
  <si>
    <t>804 Sixth Boulevard</t>
  </si>
  <si>
    <t>$17440</t>
  </si>
  <si>
    <t>563 Birch Drive</t>
  </si>
  <si>
    <t>$26767</t>
  </si>
  <si>
    <t>663 Second Boulevard</t>
  </si>
  <si>
    <t>$11844</t>
  </si>
  <si>
    <t>587 East Lane</t>
  </si>
  <si>
    <t>$17854</t>
  </si>
  <si>
    <t>4137 Bayview Drive</t>
  </si>
  <si>
    <t>$79100</t>
  </si>
  <si>
    <t>55 El Camino Boulevard</t>
  </si>
  <si>
    <t>$22799</t>
  </si>
  <si>
    <t>4343 Mountain View Boulevard</t>
  </si>
  <si>
    <t>$18583</t>
  </si>
  <si>
    <t>$15775</t>
  </si>
  <si>
    <t>$15755</t>
  </si>
  <si>
    <t>$17120</t>
  </si>
  <si>
    <t>9566 Tenth Street</t>
  </si>
  <si>
    <t>$25584</t>
  </si>
  <si>
    <t>416 Madison Street</t>
  </si>
  <si>
    <t>$14477</t>
  </si>
  <si>
    <t>5079 Sussex Avenue</t>
  </si>
  <si>
    <t>$15981</t>
  </si>
  <si>
    <t>3914 Mill Street</t>
  </si>
  <si>
    <t>$29006</t>
  </si>
  <si>
    <t>2429 Eighth Avenue</t>
  </si>
  <si>
    <t>$17561</t>
  </si>
  <si>
    <t>67424 Tenth Boulevard</t>
  </si>
  <si>
    <t>$17409</t>
  </si>
  <si>
    <t>3675 Bayview Drive</t>
  </si>
  <si>
    <t>604 Pine Street</t>
  </si>
  <si>
    <t>$18076</t>
  </si>
  <si>
    <t>79 Burns Drive</t>
  </si>
  <si>
    <t>$18392</t>
  </si>
  <si>
    <t>530 Main Boulevard</t>
  </si>
  <si>
    <t>$35246</t>
  </si>
  <si>
    <t>702 Elm Drive</t>
  </si>
  <si>
    <t>$16920</t>
  </si>
  <si>
    <t>4 Plum Boulevard</t>
  </si>
  <si>
    <t>$26016</t>
  </si>
  <si>
    <t>627 Ninth Drive</t>
  </si>
  <si>
    <t>$25586</t>
  </si>
  <si>
    <t>2981 Ninth Boulevard</t>
  </si>
  <si>
    <t>$19486</t>
  </si>
  <si>
    <t>814 Washington Street</t>
  </si>
  <si>
    <t>$24122</t>
  </si>
  <si>
    <t>8580 Valley Stream Avenue</t>
  </si>
  <si>
    <t>$18003</t>
  </si>
  <si>
    <t>4872 Lexington Avenue</t>
  </si>
  <si>
    <t>$49534</t>
  </si>
  <si>
    <t>437 Madison Street</t>
  </si>
  <si>
    <t>$23446</t>
  </si>
  <si>
    <t>919 Lafayette Drive</t>
  </si>
  <si>
    <t>$18961</t>
  </si>
  <si>
    <t>3346 Hillside Street</t>
  </si>
  <si>
    <t>$28278</t>
  </si>
  <si>
    <t>9891 Valley Drive</t>
  </si>
  <si>
    <t>$10909</t>
  </si>
  <si>
    <t>8070 Mill Lane</t>
  </si>
  <si>
    <t>$14470</t>
  </si>
  <si>
    <t>955 11th Street</t>
  </si>
  <si>
    <t>$19693</t>
  </si>
  <si>
    <t>862 Martin Luther King Drive</t>
  </si>
  <si>
    <t>$33637</t>
  </si>
  <si>
    <t>9525 First Boulevard</t>
  </si>
  <si>
    <t>$20531</t>
  </si>
  <si>
    <t>9570 North Drive</t>
  </si>
  <si>
    <t>$37170</t>
  </si>
  <si>
    <t>4840 Summit Lane</t>
  </si>
  <si>
    <t>$28660</t>
  </si>
  <si>
    <t>1772 Essex Boulevard</t>
  </si>
  <si>
    <t>$19188</t>
  </si>
  <si>
    <t>9833 Forest Street</t>
  </si>
  <si>
    <t>891 El Camino Lane</t>
  </si>
  <si>
    <t>$26530</t>
  </si>
  <si>
    <t>1059 Elm Avenue</t>
  </si>
  <si>
    <t>$32793</t>
  </si>
  <si>
    <t>475 Oak Boulevard</t>
  </si>
  <si>
    <t>$14793</t>
  </si>
  <si>
    <t>6478 Valley Stream Avenue</t>
  </si>
  <si>
    <t>$23207</t>
  </si>
  <si>
    <t>6405 Fifth Avenue</t>
  </si>
  <si>
    <t>$27706</t>
  </si>
  <si>
    <t>85 Littlewood Avenue</t>
  </si>
  <si>
    <t>$17609</t>
  </si>
  <si>
    <t>58 Catherine Drive</t>
  </si>
  <si>
    <t>$33232</t>
  </si>
  <si>
    <t>919 Lafayette Avenue</t>
  </si>
  <si>
    <t>$22760</t>
  </si>
  <si>
    <t>75 Birch Lane</t>
  </si>
  <si>
    <t>$27696</t>
  </si>
  <si>
    <t>82 Jefferson Avenue</t>
  </si>
  <si>
    <t>$18462</t>
  </si>
  <si>
    <t>3034 Third Boulevard</t>
  </si>
  <si>
    <t>$24506</t>
  </si>
  <si>
    <t>189 Ninth Lane</t>
  </si>
  <si>
    <t>$31656</t>
  </si>
  <si>
    <t>354 Main Drive</t>
  </si>
  <si>
    <t>$13938</t>
  </si>
  <si>
    <t>1813 Second Lane</t>
  </si>
  <si>
    <t>$14696</t>
  </si>
  <si>
    <t>5558 Littlewood Avenue</t>
  </si>
  <si>
    <t>$18734</t>
  </si>
  <si>
    <t>819 Park Boulevard</t>
  </si>
  <si>
    <t>$21131</t>
  </si>
  <si>
    <t>849 Norfolk Lane</t>
  </si>
  <si>
    <t>$18351</t>
  </si>
  <si>
    <t>$37415</t>
  </si>
  <si>
    <t>390 Tenth Street</t>
  </si>
  <si>
    <t>$17370</t>
  </si>
  <si>
    <t>4279 West Boulevard</t>
  </si>
  <si>
    <t>$15331</t>
  </si>
  <si>
    <t>8 Tenth Drive</t>
  </si>
  <si>
    <t>$17056</t>
  </si>
  <si>
    <t>5581 Federal Street</t>
  </si>
  <si>
    <t>$20346</t>
  </si>
  <si>
    <t>927 Ocean View Drive</t>
  </si>
  <si>
    <t>$21923</t>
  </si>
  <si>
    <t>$8491</t>
  </si>
  <si>
    <t>45 Maple Lane</t>
  </si>
  <si>
    <t>$24259</t>
  </si>
  <si>
    <t>645 Catherine Lane</t>
  </si>
  <si>
    <t>$39312</t>
  </si>
  <si>
    <t>1248 Second Drive</t>
  </si>
  <si>
    <t>$24393</t>
  </si>
  <si>
    <t>700 Lexington Avenue</t>
  </si>
  <si>
    <t>$18794</t>
  </si>
  <si>
    <t>9264 Norfolk Lane</t>
  </si>
  <si>
    <t>$14405</t>
  </si>
  <si>
    <t>6757 Eighth Avenue</t>
  </si>
  <si>
    <t>$20056</t>
  </si>
  <si>
    <t>654 Birch Lane</t>
  </si>
  <si>
    <t>$14199</t>
  </si>
  <si>
    <t>$32580</t>
  </si>
  <si>
    <t>5762 River Lane</t>
  </si>
  <si>
    <t>$10539</t>
  </si>
  <si>
    <t>5336 Tenth Drive</t>
  </si>
  <si>
    <t>$19131</t>
  </si>
  <si>
    <t>1342 Hill Lane</t>
  </si>
  <si>
    <t>$11951</t>
  </si>
  <si>
    <t>2554 11th Lane</t>
  </si>
  <si>
    <t>$18229</t>
  </si>
  <si>
    <t>995 Martin Luther King Street</t>
  </si>
  <si>
    <t>$19554</t>
  </si>
  <si>
    <t>762 Lake Drive</t>
  </si>
  <si>
    <t>$35183</t>
  </si>
  <si>
    <t>72834 Grant Boulevard</t>
  </si>
  <si>
    <t>$20152</t>
  </si>
  <si>
    <t>90 Lexington Drive</t>
  </si>
  <si>
    <t>$29557</t>
  </si>
  <si>
    <t>8229 Bayview Avenue</t>
  </si>
  <si>
    <t>$22261</t>
  </si>
  <si>
    <t>9355 Ocean View Drive</t>
  </si>
  <si>
    <t>$22682</t>
  </si>
  <si>
    <t>825 Norfolk Drive</t>
  </si>
  <si>
    <t>$29558</t>
  </si>
  <si>
    <t>9735 Birch Street</t>
  </si>
  <si>
    <t>285 Washington Street</t>
  </si>
  <si>
    <t>$19065</t>
  </si>
  <si>
    <t>49 Tenth Street</t>
  </si>
  <si>
    <t>$24196</t>
  </si>
  <si>
    <t>5819 Norfolk Drive</t>
  </si>
  <si>
    <t>$14352</t>
  </si>
  <si>
    <t>774 Wessex Lane</t>
  </si>
  <si>
    <t>$30557</t>
  </si>
  <si>
    <t>6721 Sussex Drive</t>
  </si>
  <si>
    <t>$21381</t>
  </si>
  <si>
    <t>794 Lake Street</t>
  </si>
  <si>
    <t>$37908</t>
  </si>
  <si>
    <t>217 Fifth Lane</t>
  </si>
  <si>
    <t>$19926</t>
  </si>
  <si>
    <t>85 Lafayette Boulevard</t>
  </si>
  <si>
    <t>$17220</t>
  </si>
  <si>
    <t>5193 East Street</t>
  </si>
  <si>
    <t>577 12th Lane</t>
  </si>
  <si>
    <t>$13006</t>
  </si>
  <si>
    <t>700 Rose Avenue</t>
  </si>
  <si>
    <t>$27635</t>
  </si>
  <si>
    <t>704 Summit Drive</t>
  </si>
  <si>
    <t>$18029</t>
  </si>
  <si>
    <t>8897 East Street</t>
  </si>
  <si>
    <t>$29174</t>
  </si>
  <si>
    <t>142 Valley Drive</t>
  </si>
  <si>
    <t>$25472</t>
  </si>
  <si>
    <t>992 Martin Luther King Avenue</t>
  </si>
  <si>
    <t>$19359</t>
  </si>
  <si>
    <t>2193 Sixth Avenue</t>
  </si>
  <si>
    <t>$26227</t>
  </si>
  <si>
    <t>9413 12th Boulevard</t>
  </si>
  <si>
    <t>$16081</t>
  </si>
  <si>
    <t>157 Eighth Street</t>
  </si>
  <si>
    <t>$43432</t>
  </si>
  <si>
    <t>534 Norfolk Lane</t>
  </si>
  <si>
    <t>$26718</t>
  </si>
  <si>
    <t>385 Grant Street</t>
  </si>
  <si>
    <t>$16224</t>
  </si>
  <si>
    <t>54 Lafayette Street</t>
  </si>
  <si>
    <t>$20102</t>
  </si>
  <si>
    <t>592 Hillside Drive</t>
  </si>
  <si>
    <t>$18714</t>
  </si>
  <si>
    <t>45 Ocean Lane</t>
  </si>
  <si>
    <t>$33701</t>
  </si>
  <si>
    <t>94 Ocean Avenue</t>
  </si>
  <si>
    <t>$49195</t>
  </si>
  <si>
    <t>945 Third Avenue</t>
  </si>
  <si>
    <t>$50607</t>
  </si>
  <si>
    <t>938 Maple Boulevard</t>
  </si>
  <si>
    <t>$22907</t>
  </si>
  <si>
    <t>583 Seventh Street</t>
  </si>
  <si>
    <t>$50579</t>
  </si>
  <si>
    <t>8993 Madison Avenue</t>
  </si>
  <si>
    <t>$18376</t>
  </si>
  <si>
    <t>6840 North Lane</t>
  </si>
  <si>
    <t>$55274</t>
  </si>
  <si>
    <t>499 Lafayette Lane</t>
  </si>
  <si>
    <t>$16421</t>
  </si>
  <si>
    <t>$24884</t>
  </si>
  <si>
    <t>13 Federal Street</t>
  </si>
  <si>
    <t>$29122</t>
  </si>
  <si>
    <t>906 Little Creek Drive</t>
  </si>
  <si>
    <t>$19605</t>
  </si>
  <si>
    <t>1105 Wessex Avenue</t>
  </si>
  <si>
    <t>$24331</t>
  </si>
  <si>
    <t>841 Spruce Drive</t>
  </si>
  <si>
    <t>$17584</t>
  </si>
  <si>
    <t>707 Elm Boulevard</t>
  </si>
  <si>
    <t>$17537</t>
  </si>
  <si>
    <t>2336 George Drive</t>
  </si>
  <si>
    <t>$13249</t>
  </si>
  <si>
    <t>305 Pine Avenue</t>
  </si>
  <si>
    <t>422 Burns Street</t>
  </si>
  <si>
    <t>$19661</t>
  </si>
  <si>
    <t>1495 Elm Boulevard</t>
  </si>
  <si>
    <t>$13002</t>
  </si>
  <si>
    <t>323 Eighth Drive</t>
  </si>
  <si>
    <t>$33151</t>
  </si>
  <si>
    <t>4262 Madison Drive</t>
  </si>
  <si>
    <t>$45596</t>
  </si>
  <si>
    <t>135 Spruce Lane</t>
  </si>
  <si>
    <t>$19827</t>
  </si>
  <si>
    <t>212 Ocean View Avenue</t>
  </si>
  <si>
    <t>$33148</t>
  </si>
  <si>
    <t>455 Little Creek Boulevard</t>
  </si>
  <si>
    <t>$39705</t>
  </si>
  <si>
    <t>6444 Madison Drive</t>
  </si>
  <si>
    <t>$17480</t>
  </si>
  <si>
    <t>850 Birch Avenue</t>
  </si>
  <si>
    <t>$14073</t>
  </si>
  <si>
    <t>2897 West Street</t>
  </si>
  <si>
    <t>$35062</t>
  </si>
  <si>
    <t>41043 Lincoln Lane</t>
  </si>
  <si>
    <t>$24289</t>
  </si>
  <si>
    <t>8893 Valley Drive</t>
  </si>
  <si>
    <t>518 Main Street</t>
  </si>
  <si>
    <t>$16745</t>
  </si>
  <si>
    <t>9982 Summit Boulevard</t>
  </si>
  <si>
    <t>$24069</t>
  </si>
  <si>
    <t>364 Eighth Drive</t>
  </si>
  <si>
    <t>$21401</t>
  </si>
  <si>
    <t>8349 Valley Avenue</t>
  </si>
  <si>
    <t>$19818</t>
  </si>
  <si>
    <t>57285 Jefferson Avenue</t>
  </si>
  <si>
    <t>$23747</t>
  </si>
  <si>
    <t>9392 Fifth Avenue</t>
  </si>
  <si>
    <t>$20822</t>
  </si>
  <si>
    <t>$26325</t>
  </si>
  <si>
    <t>4940 Ocean View Drive</t>
  </si>
  <si>
    <t>$17918</t>
  </si>
  <si>
    <t>$28163</t>
  </si>
  <si>
    <t>905 West Avenue</t>
  </si>
  <si>
    <t>$47798</t>
  </si>
  <si>
    <t>911 Ocean Boulevard</t>
  </si>
  <si>
    <t>$25592</t>
  </si>
  <si>
    <t>1444 Plum Boulevard</t>
  </si>
  <si>
    <t>$20579</t>
  </si>
  <si>
    <t>7945 Fourth Avenue</t>
  </si>
  <si>
    <t>$30410</t>
  </si>
  <si>
    <t>36 First Drive</t>
  </si>
  <si>
    <t>$21609</t>
  </si>
  <si>
    <t>34542 Ninth Drive</t>
  </si>
  <si>
    <t>933 Sussex Drive</t>
  </si>
  <si>
    <t>$19625</t>
  </si>
  <si>
    <t>111 Hillside Avenue</t>
  </si>
  <si>
    <t>5671 Sussex Drive</t>
  </si>
  <si>
    <t>$21602</t>
  </si>
  <si>
    <t>206 Pine Lane</t>
  </si>
  <si>
    <t>$17567</t>
  </si>
  <si>
    <t>6054 Main Avenue</t>
  </si>
  <si>
    <t>6785 Valley Stream Boulevard</t>
  </si>
  <si>
    <t>$16648</t>
  </si>
  <si>
    <t>275 Tenth Street</t>
  </si>
  <si>
    <t>$56069</t>
  </si>
  <si>
    <t>7061 Littlewood Street</t>
  </si>
  <si>
    <t>$28985</t>
  </si>
  <si>
    <t>95 12th Avenue</t>
  </si>
  <si>
    <t>$25242</t>
  </si>
  <si>
    <t>24 River Avenue</t>
  </si>
  <si>
    <t>$20315</t>
  </si>
  <si>
    <t>9684 Grant Drive</t>
  </si>
  <si>
    <t>5941 South Lane</t>
  </si>
  <si>
    <t>$18271</t>
  </si>
  <si>
    <t>840 Elm Avenue</t>
  </si>
  <si>
    <t>$13705</t>
  </si>
  <si>
    <t>15 Elm Lane</t>
  </si>
  <si>
    <t>$19025</t>
  </si>
  <si>
    <t>7378 Park Lane</t>
  </si>
  <si>
    <t>$18972</t>
  </si>
  <si>
    <t>671 Little Creek Street</t>
  </si>
  <si>
    <t>$15474</t>
  </si>
  <si>
    <t>716 Lafayette Street</t>
  </si>
  <si>
    <t>$14137</t>
  </si>
  <si>
    <t>$1</t>
  </si>
  <si>
    <t>557 Catherine Drive</t>
  </si>
  <si>
    <t>$31072</t>
  </si>
  <si>
    <t>549 Rose Drive</t>
  </si>
  <si>
    <t>$22223</t>
  </si>
  <si>
    <t>39126 El Camino Boulevard</t>
  </si>
  <si>
    <t>$21178</t>
  </si>
  <si>
    <t>$30747</t>
  </si>
  <si>
    <t>5138 North Drive</t>
  </si>
  <si>
    <t>498 Littlewood Avenue</t>
  </si>
  <si>
    <t>$26478</t>
  </si>
  <si>
    <t>514 Pine Boulevard</t>
  </si>
  <si>
    <t>$34138</t>
  </si>
  <si>
    <t>723 Summit Drive</t>
  </si>
  <si>
    <t>$15965</t>
  </si>
  <si>
    <t>445 Fifth Avenue</t>
  </si>
  <si>
    <t>$17701</t>
  </si>
  <si>
    <t>$15447</t>
  </si>
  <si>
    <t>65 Fifth Lane</t>
  </si>
  <si>
    <t>$15243</t>
  </si>
  <si>
    <t>1833 George Drive</t>
  </si>
  <si>
    <t>$23244</t>
  </si>
  <si>
    <t>663 Summit Boulevard</t>
  </si>
  <si>
    <t>$23316</t>
  </si>
  <si>
    <t>2288 Pine Lane</t>
  </si>
  <si>
    <t>$20800</t>
  </si>
  <si>
    <t>84497 Valley Stream Drive</t>
  </si>
  <si>
    <t>$15239</t>
  </si>
  <si>
    <t>401 Bayview Lane</t>
  </si>
  <si>
    <t>$14553</t>
  </si>
  <si>
    <t>$23029</t>
  </si>
  <si>
    <t>239 Sussex Drive</t>
  </si>
  <si>
    <t>$21842</t>
  </si>
  <si>
    <t>691 Ocean View Street</t>
  </si>
  <si>
    <t>$18619</t>
  </si>
  <si>
    <t>8799 Elm Avenue</t>
  </si>
  <si>
    <t>$24684</t>
  </si>
  <si>
    <t>1583 Grant Avenue</t>
  </si>
  <si>
    <t>$19382</t>
  </si>
  <si>
    <t>$23366</t>
  </si>
  <si>
    <t>560 Eighth Boulevard</t>
  </si>
  <si>
    <t>$21669</t>
  </si>
  <si>
    <t>374 Lexington Street</t>
  </si>
  <si>
    <t>$12406</t>
  </si>
  <si>
    <t>801 12th Drive</t>
  </si>
  <si>
    <t>$23836</t>
  </si>
  <si>
    <t>5828 Wessex Drive</t>
  </si>
  <si>
    <t>$15849</t>
  </si>
  <si>
    <t>2699 Littlewood Avenue</t>
  </si>
  <si>
    <t>$14293</t>
  </si>
  <si>
    <t>7677 Little Creek Drive</t>
  </si>
  <si>
    <t>4633 Sixth Avenue</t>
  </si>
  <si>
    <t>$18431</t>
  </si>
  <si>
    <t>88 George Street</t>
  </si>
  <si>
    <t>$20305</t>
  </si>
  <si>
    <t>386 11th Lane</t>
  </si>
  <si>
    <t>$49546</t>
  </si>
  <si>
    <t>80471 Eighth Street</t>
  </si>
  <si>
    <t>$13254</t>
  </si>
  <si>
    <t>$39495</t>
  </si>
  <si>
    <t>99 Mill Lane</t>
  </si>
  <si>
    <t>$21556</t>
  </si>
  <si>
    <t>407 Seventh Lane</t>
  </si>
  <si>
    <t>$15471</t>
  </si>
  <si>
    <t>871 Second Street</t>
  </si>
  <si>
    <t>$20947</t>
  </si>
  <si>
    <t>951 11th Avenue</t>
  </si>
  <si>
    <t>$13409</t>
  </si>
  <si>
    <t>$23137</t>
  </si>
  <si>
    <t>$19508</t>
  </si>
  <si>
    <t>600 Grant Lane</t>
  </si>
  <si>
    <t>$17140</t>
  </si>
  <si>
    <t>3283 Park Lane</t>
  </si>
  <si>
    <t>$32083</t>
  </si>
  <si>
    <t>523 Federal Drive</t>
  </si>
  <si>
    <t>532 Sixth Drive</t>
  </si>
  <si>
    <t>$18420</t>
  </si>
  <si>
    <t>714 North Drive</t>
  </si>
  <si>
    <t>$23104</t>
  </si>
  <si>
    <t>531 Pine Avenue</t>
  </si>
  <si>
    <t>$15048</t>
  </si>
  <si>
    <t>5342 Valley Stream Avenue</t>
  </si>
  <si>
    <t>$31905</t>
  </si>
  <si>
    <t>878 Forest Street</t>
  </si>
  <si>
    <t>$14200</t>
  </si>
  <si>
    <t>3 Main Street</t>
  </si>
  <si>
    <t>$28826</t>
  </si>
  <si>
    <t>671 Essex Street</t>
  </si>
  <si>
    <t>$16378</t>
  </si>
  <si>
    <t>339 Little Creek Lane</t>
  </si>
  <si>
    <t>$26957</t>
  </si>
  <si>
    <t>75540 Valley Street</t>
  </si>
  <si>
    <t>$18103</t>
  </si>
  <si>
    <t>232 Jefferson Boulevard</t>
  </si>
  <si>
    <t>$21991</t>
  </si>
  <si>
    <t>127 Grant Street</t>
  </si>
  <si>
    <t>$17161</t>
  </si>
  <si>
    <t>$23687</t>
  </si>
  <si>
    <t>3248 Hill Drive</t>
  </si>
  <si>
    <t>$22273</t>
  </si>
  <si>
    <t>2062 Fourth Street</t>
  </si>
  <si>
    <t>$13739</t>
  </si>
  <si>
    <t>55378 Burns Avenue</t>
  </si>
  <si>
    <t>$18906</t>
  </si>
  <si>
    <t>9354 Lafayette Street</t>
  </si>
  <si>
    <t>$18335</t>
  </si>
  <si>
    <t>6595 Ocean Drive</t>
  </si>
  <si>
    <t>$31234</t>
  </si>
  <si>
    <t>$14632</t>
  </si>
  <si>
    <t>6829 Main Boulevard</t>
  </si>
  <si>
    <t>$15676</t>
  </si>
  <si>
    <t>8823 South Drive</t>
  </si>
  <si>
    <t>$14318</t>
  </si>
  <si>
    <t>9243 Oak Street</t>
  </si>
  <si>
    <t>$45818</t>
  </si>
  <si>
    <t>466 Pine Drive</t>
  </si>
  <si>
    <t>$14642</t>
  </si>
  <si>
    <t>3357 Hill Lane</t>
  </si>
  <si>
    <t>$16168</t>
  </si>
  <si>
    <t>$20942</t>
  </si>
  <si>
    <t>31 Lincoln Avenue</t>
  </si>
  <si>
    <t>$14901</t>
  </si>
  <si>
    <t>5573 Sixth Lane</t>
  </si>
  <si>
    <t>$18895</t>
  </si>
  <si>
    <t>588 Lincoln Street</t>
  </si>
  <si>
    <t>$30325</t>
  </si>
  <si>
    <t>749 Oak Street</t>
  </si>
  <si>
    <t>29 Martin Luther King Lane</t>
  </si>
  <si>
    <t>$22377</t>
  </si>
  <si>
    <t>7336 First Avenue</t>
  </si>
  <si>
    <t>$23074</t>
  </si>
  <si>
    <t>711 South Boulevard</t>
  </si>
  <si>
    <t>$38274</t>
  </si>
  <si>
    <t>2043 Mill Street</t>
  </si>
  <si>
    <t>$18334</t>
  </si>
  <si>
    <t>$20783</t>
  </si>
  <si>
    <t>$10058</t>
  </si>
  <si>
    <t>5544 Grant Avenue</t>
  </si>
  <si>
    <t>$23487</t>
  </si>
  <si>
    <t>28 Madison Lane</t>
  </si>
  <si>
    <t>$24200</t>
  </si>
  <si>
    <t>7406 Mill Avenue</t>
  </si>
  <si>
    <t>$19471</t>
  </si>
  <si>
    <t>54 George Avenue</t>
  </si>
  <si>
    <t>$19392</t>
  </si>
  <si>
    <t>271 Sixth Drive</t>
  </si>
  <si>
    <t>$31595</t>
  </si>
  <si>
    <t>687 Fifth Boulevard</t>
  </si>
  <si>
    <t>$16234</t>
  </si>
  <si>
    <t>$32943</t>
  </si>
  <si>
    <t>675 Fifth Avenue</t>
  </si>
  <si>
    <t>$17412</t>
  </si>
  <si>
    <t>696 George Lane</t>
  </si>
  <si>
    <t>$44664</t>
  </si>
  <si>
    <t>3553 Mountain View Drive</t>
  </si>
  <si>
    <t>$22304</t>
  </si>
  <si>
    <t>1392 Plum Avenue</t>
  </si>
  <si>
    <t>$18719</t>
  </si>
  <si>
    <t>267 Birch Boulevard</t>
  </si>
  <si>
    <t>$19243</t>
  </si>
  <si>
    <t>939 Lake Drive</t>
  </si>
  <si>
    <t>$25308</t>
  </si>
  <si>
    <t>5810 Sixth Drive</t>
  </si>
  <si>
    <t>$15938</t>
  </si>
  <si>
    <t>2481 Hillside Street</t>
  </si>
  <si>
    <t>$23691</t>
  </si>
  <si>
    <t>620 12th Avenue</t>
  </si>
  <si>
    <t>$20499</t>
  </si>
  <si>
    <t>31919 Summit Boulevard</t>
  </si>
  <si>
    <t>$29680</t>
  </si>
  <si>
    <t>726 Oak Avenue</t>
  </si>
  <si>
    <t>$16654</t>
  </si>
  <si>
    <t>5995 Valley Stream Avenue</t>
  </si>
  <si>
    <t>$42850</t>
  </si>
  <si>
    <t>574 Norfolk Street</t>
  </si>
  <si>
    <t>$26918</t>
  </si>
  <si>
    <t>732 Lincoln Drive</t>
  </si>
  <si>
    <t>$33295</t>
  </si>
  <si>
    <t>96 Lake Lane</t>
  </si>
  <si>
    <t>298 Federal Avenue</t>
  </si>
  <si>
    <t>$24064</t>
  </si>
  <si>
    <t>37 Sixth Lane</t>
  </si>
  <si>
    <t>$14078</t>
  </si>
  <si>
    <t>$1213</t>
  </si>
  <si>
    <t>7091 Lexington Lane</t>
  </si>
  <si>
    <t>$22964</t>
  </si>
  <si>
    <t>5468 Little Creek Drive</t>
  </si>
  <si>
    <t>$21801</t>
  </si>
  <si>
    <t>169 Oak Street</t>
  </si>
  <si>
    <t>$16237</t>
  </si>
  <si>
    <t>9804 Third Street</t>
  </si>
  <si>
    <t>$16445</t>
  </si>
  <si>
    <t>54 Valley Lane</t>
  </si>
  <si>
    <t>$14497</t>
  </si>
  <si>
    <t>488 Bayview Boulevard</t>
  </si>
  <si>
    <t>$26675</t>
  </si>
  <si>
    <t>8460 Oak Lane</t>
  </si>
  <si>
    <t>$23785</t>
  </si>
  <si>
    <t>816 El Camino Drive</t>
  </si>
  <si>
    <t>$15436</t>
  </si>
  <si>
    <t>4329 El Camino Boulevard</t>
  </si>
  <si>
    <t>$13018</t>
  </si>
  <si>
    <t>64 Mill Street</t>
  </si>
  <si>
    <t>$29924</t>
  </si>
  <si>
    <t>858 Plum Avenue</t>
  </si>
  <si>
    <t>$29237</t>
  </si>
  <si>
    <t>984 Little Creek Lane</t>
  </si>
  <si>
    <t>$13810</t>
  </si>
  <si>
    <t>8026 East Drive</t>
  </si>
  <si>
    <t>$21214</t>
  </si>
  <si>
    <t>188 Ninth Boulevard</t>
  </si>
  <si>
    <t>$17707</t>
  </si>
  <si>
    <t>864 Jefferson Drive</t>
  </si>
  <si>
    <t>$19798</t>
  </si>
  <si>
    <t>939 Mill Street</t>
  </si>
  <si>
    <t>7927 Plum Lane</t>
  </si>
  <si>
    <t>260 Spruce Avenue</t>
  </si>
  <si>
    <t>$12547</t>
  </si>
  <si>
    <t>3776 Bayview Lane</t>
  </si>
  <si>
    <t>$22685</t>
  </si>
  <si>
    <t>231 Littlewood Avenue</t>
  </si>
  <si>
    <t>$19301</t>
  </si>
  <si>
    <t>33 Second Boulevard</t>
  </si>
  <si>
    <t>$29793</t>
  </si>
  <si>
    <t>4726 Third Street</t>
  </si>
  <si>
    <t>$21313</t>
  </si>
  <si>
    <t>2742 El Camino Boulevard</t>
  </si>
  <si>
    <t>$25916</t>
  </si>
  <si>
    <t>5883 Sixth Street</t>
  </si>
  <si>
    <t>$18494</t>
  </si>
  <si>
    <t>3269 River Street</t>
  </si>
  <si>
    <t>$25313</t>
  </si>
  <si>
    <t>6777 First Drive</t>
  </si>
  <si>
    <t>6022 Mill Street</t>
  </si>
  <si>
    <t>$33925</t>
  </si>
  <si>
    <t>69 Spruce Avenue</t>
  </si>
  <si>
    <t>$13634</t>
  </si>
  <si>
    <t>23 Sussex Lane</t>
  </si>
  <si>
    <t>6232 Second Avenue</t>
  </si>
  <si>
    <t>663 Third Drive</t>
  </si>
  <si>
    <t>5180 Burns Boulevard</t>
  </si>
  <si>
    <t>$17811</t>
  </si>
  <si>
    <t>682 Martin Luther King Avenue</t>
  </si>
  <si>
    <t>$63159</t>
  </si>
  <si>
    <t>517 Eighth Drive</t>
  </si>
  <si>
    <t>$25166</t>
  </si>
  <si>
    <t>800 Madison Street</t>
  </si>
  <si>
    <t>$13414</t>
  </si>
  <si>
    <t>13 Rose Boulevard</t>
  </si>
  <si>
    <t>$31288</t>
  </si>
  <si>
    <t>855 Sussex Avenue</t>
  </si>
  <si>
    <t>$32972</t>
  </si>
  <si>
    <t>689 Valley Stream Lane</t>
  </si>
  <si>
    <t>$52066</t>
  </si>
  <si>
    <t>222 Lafayette Lane</t>
  </si>
  <si>
    <t>$24651</t>
  </si>
  <si>
    <t>9473 Mill Street</t>
  </si>
  <si>
    <t>$31281</t>
  </si>
  <si>
    <t>434 Bayview Avenue</t>
  </si>
  <si>
    <t>$17870</t>
  </si>
  <si>
    <t>39 Park Lane</t>
  </si>
  <si>
    <t>$13485</t>
  </si>
  <si>
    <t>1032 Second Lane</t>
  </si>
  <si>
    <t>$19095</t>
  </si>
  <si>
    <t>$23550</t>
  </si>
  <si>
    <t>5647 Burns Boulevard</t>
  </si>
  <si>
    <t>$21966</t>
  </si>
  <si>
    <t>96 Ninth Drive</t>
  </si>
  <si>
    <t>$16746</t>
  </si>
  <si>
    <t>5004 Lake Street</t>
  </si>
  <si>
    <t>$16016</t>
  </si>
  <si>
    <t>9052 River Lane</t>
  </si>
  <si>
    <t>$18273</t>
  </si>
  <si>
    <t>25521 First Street</t>
  </si>
  <si>
    <t>$16958</t>
  </si>
  <si>
    <t>5064 North Lane</t>
  </si>
  <si>
    <t>$45685</t>
  </si>
  <si>
    <t>$5700</t>
  </si>
  <si>
    <t>564 Catherine Lane</t>
  </si>
  <si>
    <t>$16801</t>
  </si>
  <si>
    <t>237 Hill Lane</t>
  </si>
  <si>
    <t>$11512</t>
  </si>
  <si>
    <t>8687 Ninth Drive</t>
  </si>
  <si>
    <t>381 Sussex Avenue</t>
  </si>
  <si>
    <t>$19032</t>
  </si>
  <si>
    <t>4 North Street</t>
  </si>
  <si>
    <t>$23940</t>
  </si>
  <si>
    <t>5338 Fifth Boulevard</t>
  </si>
  <si>
    <t>$16770</t>
  </si>
  <si>
    <t>388 Third Avenue</t>
  </si>
  <si>
    <t>$17683</t>
  </si>
  <si>
    <t>$10400</t>
  </si>
  <si>
    <t>9104 Second Avenue</t>
  </si>
  <si>
    <t>$15862</t>
  </si>
  <si>
    <t>2108 Spruce Lane</t>
  </si>
  <si>
    <t>$20670</t>
  </si>
  <si>
    <t>2760 Forest Drive</t>
  </si>
  <si>
    <t>$21089</t>
  </si>
  <si>
    <t>9505 Martin Luther King Avenue</t>
  </si>
  <si>
    <t>901 Oak Street</t>
  </si>
  <si>
    <t>$19517</t>
  </si>
  <si>
    <t>$69</t>
  </si>
  <si>
    <t>7476 First Lane</t>
  </si>
  <si>
    <t>$25812</t>
  </si>
  <si>
    <t>392 Rose Drive</t>
  </si>
  <si>
    <t>$21809</t>
  </si>
  <si>
    <t>26191 George Drive</t>
  </si>
  <si>
    <t>5 Hill Avenue</t>
  </si>
  <si>
    <t>$44747</t>
  </si>
  <si>
    <t>9099 Little Creek Drive</t>
  </si>
  <si>
    <t>$21535</t>
  </si>
  <si>
    <t>2842 Littlewood Avenue</t>
  </si>
  <si>
    <t>$20121</t>
  </si>
  <si>
    <t>5220 Lincoln Street</t>
  </si>
  <si>
    <t>$20030</t>
  </si>
  <si>
    <t>3260 Hillside Lane</t>
  </si>
  <si>
    <t>518 Norfolk Avenue</t>
  </si>
  <si>
    <t>$17545</t>
  </si>
  <si>
    <t>149 Burns Boulevard</t>
  </si>
  <si>
    <t>$31024</t>
  </si>
  <si>
    <t>142 Catherine Street</t>
  </si>
  <si>
    <t>$14275</t>
  </si>
  <si>
    <t>3019 Elm Drive</t>
  </si>
  <si>
    <t>$17685</t>
  </si>
  <si>
    <t>57799 Oak Boulevard</t>
  </si>
  <si>
    <t>$12220</t>
  </si>
  <si>
    <t>377 Mountain View Drive</t>
  </si>
  <si>
    <t>$16825</t>
  </si>
  <si>
    <t>252 Eighth Lane</t>
  </si>
  <si>
    <t>$17282</t>
  </si>
  <si>
    <t>959 Tenth Street</t>
  </si>
  <si>
    <t>$18223</t>
  </si>
  <si>
    <t>61674 Elm Drive</t>
  </si>
  <si>
    <t>$17003</t>
  </si>
  <si>
    <t>936 12th Street</t>
  </si>
  <si>
    <t>$30004</t>
  </si>
  <si>
    <t>919 Ocean View Lane</t>
  </si>
  <si>
    <t>$23368</t>
  </si>
  <si>
    <t>6864 Norfolk Boulevard</t>
  </si>
  <si>
    <t>$20835</t>
  </si>
  <si>
    <t>345 George Street</t>
  </si>
  <si>
    <t>$27057</t>
  </si>
  <si>
    <t>72990 Second Drive</t>
  </si>
  <si>
    <t>69080 Spruce Street</t>
  </si>
  <si>
    <t>$20055</t>
  </si>
  <si>
    <t>478 Hill Avenue</t>
  </si>
  <si>
    <t>29894 Martin Luther King Lane</t>
  </si>
  <si>
    <t>$16223</t>
  </si>
  <si>
    <t>$22392</t>
  </si>
  <si>
    <t>7888 Fourth Street</t>
  </si>
  <si>
    <t>$14844</t>
  </si>
  <si>
    <t>2100 Summit Street</t>
  </si>
  <si>
    <t>$18412</t>
  </si>
  <si>
    <t>2750 Rose Boulevard</t>
  </si>
  <si>
    <t>$13332</t>
  </si>
  <si>
    <t>869 Little Creek Lane</t>
  </si>
  <si>
    <t>$18877</t>
  </si>
  <si>
    <t>$20874</t>
  </si>
  <si>
    <t>775 Lexington Boulevard</t>
  </si>
  <si>
    <t>$20968</t>
  </si>
  <si>
    <t>4020 Littlewood Street</t>
  </si>
  <si>
    <t>$25037</t>
  </si>
  <si>
    <t>463 12th Street</t>
  </si>
  <si>
    <t>$20641</t>
  </si>
  <si>
    <t>$22081</t>
  </si>
  <si>
    <t>2819 Littlewood Lane</t>
  </si>
  <si>
    <t>$22991</t>
  </si>
  <si>
    <t>9952 South Lane</t>
  </si>
  <si>
    <t>$20065</t>
  </si>
  <si>
    <t>7121 Fourth Avenue</t>
  </si>
  <si>
    <t>$13895</t>
  </si>
  <si>
    <t>7571 George Street</t>
  </si>
  <si>
    <t>$16544</t>
  </si>
  <si>
    <t>766 Catherine Boulevard</t>
  </si>
  <si>
    <t>$29157</t>
  </si>
  <si>
    <t>871 12th Lane</t>
  </si>
  <si>
    <t>$26618</t>
  </si>
  <si>
    <t>6335 Rose Lane</t>
  </si>
  <si>
    <t>$18239</t>
  </si>
  <si>
    <t>924 First Drive</t>
  </si>
  <si>
    <t>9226 Tenth Boulevard</t>
  </si>
  <si>
    <t>$42884</t>
  </si>
  <si>
    <t>3550 Sixth Boulevard</t>
  </si>
  <si>
    <t>20 Oak Street</t>
  </si>
  <si>
    <t>$38948</t>
  </si>
  <si>
    <t>6614 Ninth Boulevard</t>
  </si>
  <si>
    <t>$16349</t>
  </si>
  <si>
    <t>9706 Mountain View Street</t>
  </si>
  <si>
    <t>$21494</t>
  </si>
  <si>
    <t>8943 11th Drive</t>
  </si>
  <si>
    <t>$17795</t>
  </si>
  <si>
    <t>9 Fourth Drive</t>
  </si>
  <si>
    <t>$22762</t>
  </si>
  <si>
    <t>539 Pine Boulevard</t>
  </si>
  <si>
    <t>202 Washington Drive</t>
  </si>
  <si>
    <t>$23208</t>
  </si>
  <si>
    <t>5659 Park Avenue</t>
  </si>
  <si>
    <t>$17856</t>
  </si>
  <si>
    <t>262 First Lane</t>
  </si>
  <si>
    <t>$19705</t>
  </si>
  <si>
    <t>253 West Drive</t>
  </si>
  <si>
    <t>$19604</t>
  </si>
  <si>
    <t>33 Seventh Boulevard</t>
  </si>
  <si>
    <t>$21979</t>
  </si>
  <si>
    <t>125 First Avenue</t>
  </si>
  <si>
    <t>$20236</t>
  </si>
  <si>
    <t>66 Grant Lane</t>
  </si>
  <si>
    <t>18360 Valley Avenue</t>
  </si>
  <si>
    <t>$28884</t>
  </si>
  <si>
    <t>3221 Tenth Lane</t>
  </si>
  <si>
    <t>$31547</t>
  </si>
  <si>
    <t>16893 Fifth Avenue</t>
  </si>
  <si>
    <t>$17810</t>
  </si>
  <si>
    <t>253 Lexington Avenue</t>
  </si>
  <si>
    <t>$21186</t>
  </si>
  <si>
    <t>6606 Sixth Drive</t>
  </si>
  <si>
    <t>$20255</t>
  </si>
  <si>
    <t>96493 Valley Stream Avenue</t>
  </si>
  <si>
    <t>$26674</t>
  </si>
  <si>
    <t>754 South Avenue</t>
  </si>
  <si>
    <t>$16071</t>
  </si>
  <si>
    <t>5594 12th Drive</t>
  </si>
  <si>
    <t>$29972</t>
  </si>
  <si>
    <t>5456 Ninth Avenue</t>
  </si>
  <si>
    <t>$21497</t>
  </si>
  <si>
    <t>646 South Lane</t>
  </si>
  <si>
    <t>$16618</t>
  </si>
  <si>
    <t>$20447</t>
  </si>
  <si>
    <t>5651 North Boulevard</t>
  </si>
  <si>
    <t>$26467</t>
  </si>
  <si>
    <t>599 Hillside Drive</t>
  </si>
  <si>
    <t>250 Hillside Drive</t>
  </si>
  <si>
    <t>$13259</t>
  </si>
  <si>
    <t>190 Burns Avenue</t>
  </si>
  <si>
    <t>3067 First Street</t>
  </si>
  <si>
    <t>8027 Main Drive</t>
  </si>
  <si>
    <t>702 Grant Drive</t>
  </si>
  <si>
    <t>$2365</t>
  </si>
  <si>
    <t>50 Spruce Street</t>
  </si>
  <si>
    <t>$15290</t>
  </si>
  <si>
    <t>4232 Grant Drive</t>
  </si>
  <si>
    <t>$18746</t>
  </si>
  <si>
    <t>310 Bayview Boulevard</t>
  </si>
  <si>
    <t>$19874</t>
  </si>
  <si>
    <t>8794 Catherine Lane</t>
  </si>
  <si>
    <t>$18324</t>
  </si>
  <si>
    <t>9028 Valley Stream Avenue</t>
  </si>
  <si>
    <t>$27005</t>
  </si>
  <si>
    <t>676 Bayview Street</t>
  </si>
  <si>
    <t>$33226</t>
  </si>
  <si>
    <t>3177 Oak Avenue</t>
  </si>
  <si>
    <t>$20142</t>
  </si>
  <si>
    <t>6781 Ocean View Drive</t>
  </si>
  <si>
    <t>$15814</t>
  </si>
  <si>
    <t>7035 River Boulevard</t>
  </si>
  <si>
    <t>$30794</t>
  </si>
  <si>
    <t>558 North Street</t>
  </si>
  <si>
    <t>$22283</t>
  </si>
  <si>
    <t>3817 Martin Luther King Avenue</t>
  </si>
  <si>
    <t>$58517</t>
  </si>
  <si>
    <t>6444 Maple Lane</t>
  </si>
  <si>
    <t>239 Third Drive</t>
  </si>
  <si>
    <t>$21695</t>
  </si>
  <si>
    <t>973 River Street</t>
  </si>
  <si>
    <t>$18364</t>
  </si>
  <si>
    <t>822 Martin Luther King Drive</t>
  </si>
  <si>
    <t>$25005</t>
  </si>
  <si>
    <t>990 North Lane</t>
  </si>
  <si>
    <t>$20045</t>
  </si>
  <si>
    <t>22 Mill Drive</t>
  </si>
  <si>
    <t>9232 Mill Drive</t>
  </si>
  <si>
    <t>6310 Sixth Street</t>
  </si>
  <si>
    <t>$26170</t>
  </si>
  <si>
    <t>914 George Street</t>
  </si>
  <si>
    <t>$16985</t>
  </si>
  <si>
    <t>79948 Sixth Avenue</t>
  </si>
  <si>
    <t>$18137</t>
  </si>
  <si>
    <t>803 Plum Avenue</t>
  </si>
  <si>
    <t>7970 Little Creek Drive</t>
  </si>
  <si>
    <t>$14717</t>
  </si>
  <si>
    <t>$13194</t>
  </si>
  <si>
    <t>$15966</t>
  </si>
  <si>
    <t>77931 Lincoln Avenue</t>
  </si>
  <si>
    <t>471 Ocean Boulevard</t>
  </si>
  <si>
    <t>8709 Fifth Street</t>
  </si>
  <si>
    <t>$20773</t>
  </si>
  <si>
    <t>$6204</t>
  </si>
  <si>
    <t>480 Ocean View Boulevard</t>
  </si>
  <si>
    <t>$22740</t>
  </si>
  <si>
    <t>1416 Bayview Avenue</t>
  </si>
  <si>
    <t>$25767</t>
  </si>
  <si>
    <t>835 Main Street</t>
  </si>
  <si>
    <t>$19652</t>
  </si>
  <si>
    <t>$16025</t>
  </si>
  <si>
    <t>6174 East Street</t>
  </si>
  <si>
    <t>$26647</t>
  </si>
  <si>
    <t>338 Littlewood Street</t>
  </si>
  <si>
    <t>810 Summit Lane</t>
  </si>
  <si>
    <t>$16852</t>
  </si>
  <si>
    <t>350 Jefferson Boulevard</t>
  </si>
  <si>
    <t>$18476</t>
  </si>
  <si>
    <t>916 Birch Drive</t>
  </si>
  <si>
    <t>$25006</t>
  </si>
  <si>
    <t>76 Lexington Boulevard</t>
  </si>
  <si>
    <t>$23238</t>
  </si>
  <si>
    <t>513 Tenth Avenue</t>
  </si>
  <si>
    <t>$19224</t>
  </si>
  <si>
    <t>3033 Maple Lane</t>
  </si>
  <si>
    <t>$62840</t>
  </si>
  <si>
    <t>26 El Camino Street</t>
  </si>
  <si>
    <t>$20340</t>
  </si>
  <si>
    <t>772 Lexington Street</t>
  </si>
  <si>
    <t>$18287</t>
  </si>
  <si>
    <t>3701 Birch Street</t>
  </si>
  <si>
    <t>$16954</t>
  </si>
  <si>
    <t>2786 Forest Lane</t>
  </si>
  <si>
    <t>$14342</t>
  </si>
  <si>
    <t>113 Burns Lane</t>
  </si>
  <si>
    <t>$22247</t>
  </si>
  <si>
    <t>387 Plum Avenue</t>
  </si>
  <si>
    <t>$26193</t>
  </si>
  <si>
    <t>1241 11th Boulevard</t>
  </si>
  <si>
    <t>$16101</t>
  </si>
  <si>
    <t>344 Washington Drive</t>
  </si>
  <si>
    <t>$20042</t>
  </si>
  <si>
    <t>256 Jefferson Street</t>
  </si>
  <si>
    <t>8886 Little Creek Street</t>
  </si>
  <si>
    <t>$21348</t>
  </si>
  <si>
    <t>385 Maple Street</t>
  </si>
  <si>
    <t>$47524</t>
  </si>
  <si>
    <t>933 Valley Lane</t>
  </si>
  <si>
    <t>$16448</t>
  </si>
  <si>
    <t>2519 Park Boulevard</t>
  </si>
  <si>
    <t>$20699</t>
  </si>
  <si>
    <t>6606 Oak Drive</t>
  </si>
  <si>
    <t>$16816</t>
  </si>
  <si>
    <t>8414 Tenth Drive</t>
  </si>
  <si>
    <t>$25692</t>
  </si>
  <si>
    <t>4485 Plum Lane</t>
  </si>
  <si>
    <t>$17027</t>
  </si>
  <si>
    <t>8651 Seventh Street</t>
  </si>
  <si>
    <t>$16738</t>
  </si>
  <si>
    <t>894 Ocean Avenue</t>
  </si>
  <si>
    <t>$21005</t>
  </si>
  <si>
    <t>4259 East Lane</t>
  </si>
  <si>
    <t>$19945</t>
  </si>
  <si>
    <t>4117 Fifth Avenue</t>
  </si>
  <si>
    <t>$21899</t>
  </si>
  <si>
    <t>9983 Park Drive</t>
  </si>
  <si>
    <t>$21679</t>
  </si>
  <si>
    <t>1 Sixth Boulevard</t>
  </si>
  <si>
    <t>$12557</t>
  </si>
  <si>
    <t>4943 Martin Luther King Lane</t>
  </si>
  <si>
    <t>$13964</t>
  </si>
  <si>
    <t>37 River Boulevard</t>
  </si>
  <si>
    <t>$14839</t>
  </si>
  <si>
    <t>66 Plum Avenue</t>
  </si>
  <si>
    <t>$15187</t>
  </si>
  <si>
    <t>4480 Hillside Avenue</t>
  </si>
  <si>
    <t>$22578</t>
  </si>
  <si>
    <t>773 12th Street</t>
  </si>
  <si>
    <t>$19573</t>
  </si>
  <si>
    <t>394 Essex Boulevard</t>
  </si>
  <si>
    <t>$42160</t>
  </si>
  <si>
    <t>2707 Main Boulevard</t>
  </si>
  <si>
    <t>$33974</t>
  </si>
  <si>
    <t>19176 Grant Drive</t>
  </si>
  <si>
    <t>$43827</t>
  </si>
  <si>
    <t>7485 Seventh Street</t>
  </si>
  <si>
    <t>$18069</t>
  </si>
  <si>
    <t>7109 Rose Street</t>
  </si>
  <si>
    <t>$16642</t>
  </si>
  <si>
    <t>38 Fifth Street</t>
  </si>
  <si>
    <t>$23297</t>
  </si>
  <si>
    <t>6295 Summit Drive</t>
  </si>
  <si>
    <t>$22008</t>
  </si>
  <si>
    <t>1867 Bayview Street</t>
  </si>
  <si>
    <t>$15757</t>
  </si>
  <si>
    <t>4541 Hill Boulevard</t>
  </si>
  <si>
    <t>$11036</t>
  </si>
  <si>
    <t>640 Spruce Boulevard</t>
  </si>
  <si>
    <t>$17165</t>
  </si>
  <si>
    <t>845 Littlewood Boulevard</t>
  </si>
  <si>
    <t>$22032</t>
  </si>
  <si>
    <t>3631 Plum Boulevard</t>
  </si>
  <si>
    <t>$19477</t>
  </si>
  <si>
    <t>378 Fourth Boulevard</t>
  </si>
  <si>
    <t>$16273</t>
  </si>
  <si>
    <t>58221 Main Drive</t>
  </si>
  <si>
    <t>$20640</t>
  </si>
  <si>
    <t>$21956</t>
  </si>
  <si>
    <t>4909 Maple Avenue</t>
  </si>
  <si>
    <t>95 Main Avenue</t>
  </si>
  <si>
    <t>$21400</t>
  </si>
  <si>
    <t>280 Lake Avenue</t>
  </si>
  <si>
    <t>$17104</t>
  </si>
  <si>
    <t>860 Martin Luther King Boulevard</t>
  </si>
  <si>
    <t>$24364</t>
  </si>
  <si>
    <t>486 West Boulevard</t>
  </si>
  <si>
    <t>$15562</t>
  </si>
  <si>
    <t>8407 Littlewood Street</t>
  </si>
  <si>
    <t>$31555</t>
  </si>
  <si>
    <t>3248 Summit Lane</t>
  </si>
  <si>
    <t>$35727</t>
  </si>
  <si>
    <t>952 Plum Avenue</t>
  </si>
  <si>
    <t>$17267</t>
  </si>
  <si>
    <t>27 Third Avenue</t>
  </si>
  <si>
    <t>$24057</t>
  </si>
  <si>
    <t>10 Norfolk Boulevard</t>
  </si>
  <si>
    <t>$22638</t>
  </si>
  <si>
    <t>4937 Maple Lane</t>
  </si>
  <si>
    <t>237 Hill Boulevard</t>
  </si>
  <si>
    <t>$13917</t>
  </si>
  <si>
    <t>7037 Wessex Avenue</t>
  </si>
  <si>
    <t>$21234</t>
  </si>
  <si>
    <t>875 Plum Street</t>
  </si>
  <si>
    <t>$24982</t>
  </si>
  <si>
    <t>986 East Avenue</t>
  </si>
  <si>
    <t>8199 Norfolk Avenue</t>
  </si>
  <si>
    <t>$21177</t>
  </si>
  <si>
    <t>2227 Federal Lane</t>
  </si>
  <si>
    <t>$13425</t>
  </si>
  <si>
    <t>100 Rose Lane</t>
  </si>
  <si>
    <t>$29426</t>
  </si>
  <si>
    <t>239 West Drive</t>
  </si>
  <si>
    <t>$16521</t>
  </si>
  <si>
    <t>6561 George Avenue</t>
  </si>
  <si>
    <t>$25756</t>
  </si>
  <si>
    <t>7872 Oak Drive</t>
  </si>
  <si>
    <t>3963 Essex Drive</t>
  </si>
  <si>
    <t>441 River Street</t>
  </si>
  <si>
    <t>$14214</t>
  </si>
  <si>
    <t>2303 12th Lane</t>
  </si>
  <si>
    <t>$14989</t>
  </si>
  <si>
    <t>211 Lexington Drive</t>
  </si>
  <si>
    <t>$14880</t>
  </si>
  <si>
    <t>2182 Martin Luther King Street</t>
  </si>
  <si>
    <t>$20177</t>
  </si>
  <si>
    <t>549 Ocean Boulevard</t>
  </si>
  <si>
    <t>$12939</t>
  </si>
  <si>
    <t>7333 George Street</t>
  </si>
  <si>
    <t>$25449</t>
  </si>
  <si>
    <t>6389 El Camino Drive</t>
  </si>
  <si>
    <t>$21365</t>
  </si>
  <si>
    <t>2920 11th Boulevard</t>
  </si>
  <si>
    <t>$15553</t>
  </si>
  <si>
    <t>506 Washington Lane</t>
  </si>
  <si>
    <t>$26180</t>
  </si>
  <si>
    <t>391 South Street</t>
  </si>
  <si>
    <t>$22585</t>
  </si>
  <si>
    <t>69 Martin Luther King Street</t>
  </si>
  <si>
    <t>$37131</t>
  </si>
  <si>
    <t>7808 Lincoln Drive</t>
  </si>
  <si>
    <t>$26190</t>
  </si>
  <si>
    <t>3179 Seventh Drive</t>
  </si>
  <si>
    <t>$17359</t>
  </si>
  <si>
    <t>$37677</t>
  </si>
  <si>
    <t>9911 Rose Street</t>
  </si>
  <si>
    <t>$15296</t>
  </si>
  <si>
    <t>93 Lafayette Boulevard</t>
  </si>
  <si>
    <t>$27185</t>
  </si>
  <si>
    <t>13 Lake Drive</t>
  </si>
  <si>
    <t>$19663</t>
  </si>
  <si>
    <t>795 Tenth Street</t>
  </si>
  <si>
    <t>$18408</t>
  </si>
  <si>
    <t>94 Lafayette Avenue</t>
  </si>
  <si>
    <t>$27576</t>
  </si>
  <si>
    <t>365 Ocean Lane</t>
  </si>
  <si>
    <t>$31514</t>
  </si>
  <si>
    <t>7044 Plum Street</t>
  </si>
  <si>
    <t>$19589</t>
  </si>
  <si>
    <t>440 Maple Drive</t>
  </si>
  <si>
    <t>$18012</t>
  </si>
  <si>
    <t>361 Fourth Street</t>
  </si>
  <si>
    <t>3095 Eighth Drive</t>
  </si>
  <si>
    <t>$21663</t>
  </si>
  <si>
    <t>58 Bayview Street</t>
  </si>
  <si>
    <t>$14824</t>
  </si>
  <si>
    <t>5159 Wessex Avenue</t>
  </si>
  <si>
    <t>$13047</t>
  </si>
  <si>
    <t>219 Ocean Avenue</t>
  </si>
  <si>
    <t>$24571</t>
  </si>
  <si>
    <t>969 Lexington Lane</t>
  </si>
  <si>
    <t>$21988</t>
  </si>
  <si>
    <t>5310 Hillside Avenue</t>
  </si>
  <si>
    <t>$12433</t>
  </si>
  <si>
    <t>3114 East Street</t>
  </si>
  <si>
    <t>$21057</t>
  </si>
  <si>
    <t>4725 North Street</t>
  </si>
  <si>
    <t>$12101</t>
  </si>
  <si>
    <t>899 Grant Lane</t>
  </si>
  <si>
    <t>$44106</t>
  </si>
  <si>
    <t>4110 Lafayette Boulevard</t>
  </si>
  <si>
    <t>$21705</t>
  </si>
  <si>
    <t>9604 West Boulevard</t>
  </si>
  <si>
    <t>$22448</t>
  </si>
  <si>
    <t>$16252</t>
  </si>
  <si>
    <t>9517 Ninth Street</t>
  </si>
  <si>
    <t>$26033</t>
  </si>
  <si>
    <t>166 River Drive</t>
  </si>
  <si>
    <t>$33529</t>
  </si>
  <si>
    <t>3369 Wessex Avenue</t>
  </si>
  <si>
    <t>$29367</t>
  </si>
  <si>
    <t>865 Wessex Lane</t>
  </si>
  <si>
    <t>608 Washington Drive</t>
  </si>
  <si>
    <t>$22613</t>
  </si>
  <si>
    <t>938 Forest Street</t>
  </si>
  <si>
    <t>$11140</t>
  </si>
  <si>
    <t>$19640</t>
  </si>
  <si>
    <t>445 Fourth Lane</t>
  </si>
  <si>
    <t>$11763</t>
  </si>
  <si>
    <t>1504 Lincoln Drive</t>
  </si>
  <si>
    <t>$13123</t>
  </si>
  <si>
    <t>649 Second Avenue</t>
  </si>
  <si>
    <t>$91487</t>
  </si>
  <si>
    <t>835 George Drive</t>
  </si>
  <si>
    <t>$28871</t>
  </si>
  <si>
    <t>7532 Park Boulevard</t>
  </si>
  <si>
    <t>$19198</t>
  </si>
  <si>
    <t>197 George Drive</t>
  </si>
  <si>
    <t>$15701</t>
  </si>
  <si>
    <t>599 East Lane</t>
  </si>
  <si>
    <t>$25111</t>
  </si>
  <si>
    <t>903 Hill Boulevard</t>
  </si>
  <si>
    <t>$26168</t>
  </si>
  <si>
    <t>4121 Mountain View Boulevard</t>
  </si>
  <si>
    <t>$45812</t>
  </si>
  <si>
    <t>1848 Mountain View Avenue</t>
  </si>
  <si>
    <t>537 Fourth Lane</t>
  </si>
  <si>
    <t>$19000</t>
  </si>
  <si>
    <t>533 Sussex Drive</t>
  </si>
  <si>
    <t>$17013</t>
  </si>
  <si>
    <t>168 Sussex Boulevard</t>
  </si>
  <si>
    <t>$32973</t>
  </si>
  <si>
    <t>5814 Lincoln Lane</t>
  </si>
  <si>
    <t>$27376</t>
  </si>
  <si>
    <t>201 Grant Drive</t>
  </si>
  <si>
    <t>2484 Essex Avenue</t>
  </si>
  <si>
    <t>$29231</t>
  </si>
  <si>
    <t>593 Valley Stream Drive</t>
  </si>
  <si>
    <t>$17394</t>
  </si>
  <si>
    <t>6328 Forest Street</t>
  </si>
  <si>
    <t>$18528</t>
  </si>
  <si>
    <t>919 First Street</t>
  </si>
  <si>
    <t>$20147</t>
  </si>
  <si>
    <t>3982 Ocean View Street</t>
  </si>
  <si>
    <t>$24005</t>
  </si>
  <si>
    <t>6294 Essex Drive</t>
  </si>
  <si>
    <t>940 Plum Boulevard</t>
  </si>
  <si>
    <t>$34122</t>
  </si>
  <si>
    <t>6680 River Avenue</t>
  </si>
  <si>
    <t>$23889</t>
  </si>
  <si>
    <t>198 Lincoln Street</t>
  </si>
  <si>
    <t>$30736</t>
  </si>
  <si>
    <t>164 Ocean View Street</t>
  </si>
  <si>
    <t>$16087</t>
  </si>
  <si>
    <t>4492 Grant Drive</t>
  </si>
  <si>
    <t>$18444</t>
  </si>
  <si>
    <t>699 Third Avenue</t>
  </si>
  <si>
    <t>8407 Forest Drive</t>
  </si>
  <si>
    <t>5023 11th Avenue</t>
  </si>
  <si>
    <t>$15881</t>
  </si>
  <si>
    <t>4092 El Camino Lane</t>
  </si>
  <si>
    <t>$14465</t>
  </si>
  <si>
    <t>467 Birch Avenue</t>
  </si>
  <si>
    <t>$16703</t>
  </si>
  <si>
    <t>152 El Camino Boulevard</t>
  </si>
  <si>
    <t>690 Hill Lane</t>
  </si>
  <si>
    <t>$15371</t>
  </si>
  <si>
    <t>440 North Street</t>
  </si>
  <si>
    <t>$16665</t>
  </si>
  <si>
    <t>12960 El Camino Lane</t>
  </si>
  <si>
    <t>$16691</t>
  </si>
  <si>
    <t>7012 11th Lane</t>
  </si>
  <si>
    <t>$23874</t>
  </si>
  <si>
    <t>$22844</t>
  </si>
  <si>
    <t>5233 Valley Stream Street</t>
  </si>
  <si>
    <t>$20993</t>
  </si>
  <si>
    <t>98 Ninth Street</t>
  </si>
  <si>
    <t>$25814</t>
  </si>
  <si>
    <t>4497 Summit Boulevard</t>
  </si>
  <si>
    <t>$15286</t>
  </si>
  <si>
    <t>$18568</t>
  </si>
  <si>
    <t>2292 South Street</t>
  </si>
  <si>
    <t>$15568</t>
  </si>
  <si>
    <t>34 Summit Drive</t>
  </si>
  <si>
    <t>930 Mill Drive</t>
  </si>
  <si>
    <t>$16397</t>
  </si>
  <si>
    <t>274 Summit Street</t>
  </si>
  <si>
    <t>$13799</t>
  </si>
  <si>
    <t>9939 Mill Lane</t>
  </si>
  <si>
    <t>$35710</t>
  </si>
  <si>
    <t>24684 Ocean View Boulevard</t>
  </si>
  <si>
    <t>3740 Ocean Lane</t>
  </si>
  <si>
    <t>$18110</t>
  </si>
  <si>
    <t>9503 South Street</t>
  </si>
  <si>
    <t>$15515</t>
  </si>
  <si>
    <t>7675 Main Boulevard</t>
  </si>
  <si>
    <t>$11384</t>
  </si>
  <si>
    <t>7193 George Boulevard</t>
  </si>
  <si>
    <t>$24074</t>
  </si>
  <si>
    <t>960 Mill Lane</t>
  </si>
  <si>
    <t>$26072</t>
  </si>
  <si>
    <t>3536 Burns Street</t>
  </si>
  <si>
    <t>$15884</t>
  </si>
  <si>
    <t>142 First Drive</t>
  </si>
  <si>
    <t>6303 South Boulevard</t>
  </si>
  <si>
    <t>$19237</t>
  </si>
  <si>
    <t>948 Federal Drive</t>
  </si>
  <si>
    <t>$23966</t>
  </si>
  <si>
    <t>2539 Hill Street</t>
  </si>
  <si>
    <t>$22701</t>
  </si>
  <si>
    <t>53 Madison Street</t>
  </si>
  <si>
    <t>$34744</t>
  </si>
  <si>
    <t>$13088</t>
  </si>
  <si>
    <t>2426 Littlewood Avenue</t>
  </si>
  <si>
    <t>$30650</t>
  </si>
  <si>
    <t>13 Sixth Boulevard</t>
  </si>
  <si>
    <t>$13805</t>
  </si>
  <si>
    <t>81 Wessex Drive</t>
  </si>
  <si>
    <t>2111 Burns Street</t>
  </si>
  <si>
    <t>$14322</t>
  </si>
  <si>
    <t>932 Bayview Avenue</t>
  </si>
  <si>
    <t>$41663</t>
  </si>
  <si>
    <t>7469 El Camino Street</t>
  </si>
  <si>
    <t>$11773</t>
  </si>
  <si>
    <t>6669 Burns Street</t>
  </si>
  <si>
    <t>$22401</t>
  </si>
  <si>
    <t>6126 Ocean View Boulevard</t>
  </si>
  <si>
    <t>$19810</t>
  </si>
  <si>
    <t>1071 Lafayette Street</t>
  </si>
  <si>
    <t>980 Federal Drive</t>
  </si>
  <si>
    <t>$9710</t>
  </si>
  <si>
    <t>468 Park Lane</t>
  </si>
  <si>
    <t>$21728</t>
  </si>
  <si>
    <t>9189 Valley Street</t>
  </si>
  <si>
    <t>$15194</t>
  </si>
  <si>
    <t>471 Eighth Lane</t>
  </si>
  <si>
    <t>$55362</t>
  </si>
  <si>
    <t>4238 Lexington Lane</t>
  </si>
  <si>
    <t>$20570</t>
  </si>
  <si>
    <t>4155 Spruce Avenue</t>
  </si>
  <si>
    <t>$28663</t>
  </si>
  <si>
    <t>1690 Main Avenue</t>
  </si>
  <si>
    <t>$16809</t>
  </si>
  <si>
    <t>6999 Lexington Lane</t>
  </si>
  <si>
    <t>$18344</t>
  </si>
  <si>
    <t>303 Lexington Drive</t>
  </si>
  <si>
    <t>$27916</t>
  </si>
  <si>
    <t>146 Plum Avenue</t>
  </si>
  <si>
    <t>$14691</t>
  </si>
  <si>
    <t>363 Main Lane</t>
  </si>
  <si>
    <t>$16689</t>
  </si>
  <si>
    <t>1047 Seventh Street</t>
  </si>
  <si>
    <t>4169 Fourth Lane</t>
  </si>
  <si>
    <t>$27544</t>
  </si>
  <si>
    <t>76089 Grant Boulevard</t>
  </si>
  <si>
    <t>$19200</t>
  </si>
  <si>
    <t>362 Martin Luther King Street</t>
  </si>
  <si>
    <t>$15090</t>
  </si>
  <si>
    <t>839 Essex Lane</t>
  </si>
  <si>
    <t>$19560</t>
  </si>
  <si>
    <t>2571 Plum Avenue</t>
  </si>
  <si>
    <t>$15318</t>
  </si>
  <si>
    <t>$66</t>
  </si>
  <si>
    <t>7135 Ninth Lane</t>
  </si>
  <si>
    <t>$62177</t>
  </si>
  <si>
    <t>4173 Wessex Avenue</t>
  </si>
  <si>
    <t>$17076</t>
  </si>
  <si>
    <t>674 Elm Boulevard</t>
  </si>
  <si>
    <t>$25102</t>
  </si>
  <si>
    <t>913 Mill Boulevard</t>
  </si>
  <si>
    <t>$20592</t>
  </si>
  <si>
    <t>2545 Federal Drive</t>
  </si>
  <si>
    <t>16 Jefferson Drive</t>
  </si>
  <si>
    <t>$28799</t>
  </si>
  <si>
    <t>1587 Rose Lane</t>
  </si>
  <si>
    <t>$12285</t>
  </si>
  <si>
    <t>12694 Fourth Boulevard</t>
  </si>
  <si>
    <t>$14242</t>
  </si>
  <si>
    <t>8997 Summit Avenue</t>
  </si>
  <si>
    <t>$31040</t>
  </si>
  <si>
    <t>95873 Madison Boulevard</t>
  </si>
  <si>
    <t>311 Little Creek Boulevard</t>
  </si>
  <si>
    <t>863 Park Drive</t>
  </si>
  <si>
    <t>$19485</t>
  </si>
  <si>
    <t>7296 Second Lane</t>
  </si>
  <si>
    <t>$17478</t>
  </si>
  <si>
    <t>2478 El Camino Avenue</t>
  </si>
  <si>
    <t>$19119</t>
  </si>
  <si>
    <t>5709 Little Creek Lane</t>
  </si>
  <si>
    <t>$15790</t>
  </si>
  <si>
    <t>2352 Bayview Boulevard</t>
  </si>
  <si>
    <t>$33078</t>
  </si>
  <si>
    <t>$18881</t>
  </si>
  <si>
    <t>412 First Boulevard</t>
  </si>
  <si>
    <t>38318 West Drive</t>
  </si>
  <si>
    <t>5223 Lafayette Drive</t>
  </si>
  <si>
    <t>$50208</t>
  </si>
  <si>
    <t>2487 Martin Luther King Drive</t>
  </si>
  <si>
    <t>$21314</t>
  </si>
  <si>
    <t>9550 Jefferson Street</t>
  </si>
  <si>
    <t>$32423</t>
  </si>
  <si>
    <t>3551 Spruce Boulevard</t>
  </si>
  <si>
    <t>744 Lafayette Street</t>
  </si>
  <si>
    <t>$17356</t>
  </si>
  <si>
    <t>2 11th Avenue</t>
  </si>
  <si>
    <t>$14224</t>
  </si>
  <si>
    <t>2785 Elm Drive</t>
  </si>
  <si>
    <t>$16289</t>
  </si>
  <si>
    <t>858 Martin Luther King Drive</t>
  </si>
  <si>
    <t>69524 Valley Lane</t>
  </si>
  <si>
    <t>$14500</t>
  </si>
  <si>
    <t>6785 Essex Lane</t>
  </si>
  <si>
    <t>$30179</t>
  </si>
  <si>
    <t>91 Essex Lane</t>
  </si>
  <si>
    <t>$15095</t>
  </si>
  <si>
    <t>628 Norfolk Avenue</t>
  </si>
  <si>
    <t>288 North Avenue</t>
  </si>
  <si>
    <t>$27603</t>
  </si>
  <si>
    <t>9020 North Street</t>
  </si>
  <si>
    <t>$22153</t>
  </si>
  <si>
    <t>4260 Essex Lane</t>
  </si>
  <si>
    <t>112 Burns Lane</t>
  </si>
  <si>
    <t>822 Ocean View Lane</t>
  </si>
  <si>
    <t>984 Eighth Avenue</t>
  </si>
  <si>
    <t>235 Fourth Street</t>
  </si>
  <si>
    <t>$14383</t>
  </si>
  <si>
    <t>6638 Summit Lane</t>
  </si>
  <si>
    <t>1540 El Camino Avenue</t>
  </si>
  <si>
    <t>$18205</t>
  </si>
  <si>
    <t>8482 Elm Lane</t>
  </si>
  <si>
    <t>$21032</t>
  </si>
  <si>
    <t>900 Norfolk Avenue</t>
  </si>
  <si>
    <t>$25773</t>
  </si>
  <si>
    <t>54870 Lexington Drive</t>
  </si>
  <si>
    <t>$31625</t>
  </si>
  <si>
    <t>1442 Mill Avenue</t>
  </si>
  <si>
    <t>$17789</t>
  </si>
  <si>
    <t>35 Rose Boulevard</t>
  </si>
  <si>
    <t>3216 Ninth Drive</t>
  </si>
  <si>
    <t>2397 Madison Avenue</t>
  </si>
  <si>
    <t>$18857</t>
  </si>
  <si>
    <t>28 West Lane</t>
  </si>
  <si>
    <t>6877 Jefferson Drive</t>
  </si>
  <si>
    <t>$23298</t>
  </si>
  <si>
    <t>294 Bayview Lane</t>
  </si>
  <si>
    <t>$28570</t>
  </si>
  <si>
    <t>4328 Forest Boulevard</t>
  </si>
  <si>
    <t>$45143</t>
  </si>
  <si>
    <t>735 Forest Avenue</t>
  </si>
  <si>
    <t>$20059</t>
  </si>
  <si>
    <t>$17665</t>
  </si>
  <si>
    <t>75 Third Avenue</t>
  </si>
  <si>
    <t>$31920</t>
  </si>
  <si>
    <t>33 Lafayette Lane</t>
  </si>
  <si>
    <t>$14245</t>
  </si>
  <si>
    <t>125 Plum Drive</t>
  </si>
  <si>
    <t>$19153</t>
  </si>
  <si>
    <t>109 El Camino Avenue</t>
  </si>
  <si>
    <t>$11219</t>
  </si>
  <si>
    <t>8301 Tenth Drive</t>
  </si>
  <si>
    <t>910 Eighth Drive</t>
  </si>
  <si>
    <t>3525 Second Lane</t>
  </si>
  <si>
    <t>919 Oak Boulevard</t>
  </si>
  <si>
    <t>$15540</t>
  </si>
  <si>
    <t>430 Grant Boulevard</t>
  </si>
  <si>
    <t>$18024</t>
  </si>
  <si>
    <t>9 Mill Drive</t>
  </si>
  <si>
    <t>$19018</t>
  </si>
  <si>
    <t>9207 Madison Boulevard</t>
  </si>
  <si>
    <t>818 12th Lane</t>
  </si>
  <si>
    <t>$28433</t>
  </si>
  <si>
    <t>774 Park Lane</t>
  </si>
  <si>
    <t>5238 Park Street</t>
  </si>
  <si>
    <t>3863 Pine Street</t>
  </si>
  <si>
    <t>$12672</t>
  </si>
  <si>
    <t>$14514</t>
  </si>
  <si>
    <t>9639 Third Boulevard</t>
  </si>
  <si>
    <t>2328 Little Creek Avenue</t>
  </si>
  <si>
    <t>$10016</t>
  </si>
  <si>
    <t>8179 Valley Stream Drive</t>
  </si>
  <si>
    <t>$22680</t>
  </si>
  <si>
    <t>2012 Forest Avenue</t>
  </si>
  <si>
    <t>$17850</t>
  </si>
  <si>
    <t>1943 Birch Street</t>
  </si>
  <si>
    <t>$21201</t>
  </si>
  <si>
    <t>2206 South Drive</t>
  </si>
  <si>
    <t>$15524</t>
  </si>
  <si>
    <t>4819 Martin Luther King Drive</t>
  </si>
  <si>
    <t>$41665</t>
  </si>
  <si>
    <t>7360 Lexington Drive</t>
  </si>
  <si>
    <t>$13602</t>
  </si>
  <si>
    <t>3270 Grant Avenue</t>
  </si>
  <si>
    <t>$10493</t>
  </si>
  <si>
    <t>33 North Avenue</t>
  </si>
  <si>
    <t>$22278</t>
  </si>
  <si>
    <t>550 Forest Street</t>
  </si>
  <si>
    <t>534 Second Lane</t>
  </si>
  <si>
    <t>$27394</t>
  </si>
  <si>
    <t>8676 River Avenue</t>
  </si>
  <si>
    <t>$24412</t>
  </si>
  <si>
    <t>2282 Main Drive</t>
  </si>
  <si>
    <t>$23778</t>
  </si>
  <si>
    <t>5661 Forest Avenue</t>
  </si>
  <si>
    <t>$19853</t>
  </si>
  <si>
    <t>4391 Lexington Lane</t>
  </si>
  <si>
    <t>$17817</t>
  </si>
  <si>
    <t>641 Martin Luther King Avenue</t>
  </si>
  <si>
    <t>1693 Spruce Street</t>
  </si>
  <si>
    <t>$17783</t>
  </si>
  <si>
    <t>8486 Catherine Street</t>
  </si>
  <si>
    <t>$24640</t>
  </si>
  <si>
    <t>881 Plum Street</t>
  </si>
  <si>
    <t>$22697</t>
  </si>
  <si>
    <t>6692 Lake Street</t>
  </si>
  <si>
    <t>$21444</t>
  </si>
  <si>
    <t>724 Essex Drive</t>
  </si>
  <si>
    <t>$31636</t>
  </si>
  <si>
    <t>66 Norfolk Avenue</t>
  </si>
  <si>
    <t>$21884</t>
  </si>
  <si>
    <t>6339 Lafayette Avenue</t>
  </si>
  <si>
    <t>$21191</t>
  </si>
  <si>
    <t>$36724</t>
  </si>
  <si>
    <t>305 Elm Street</t>
  </si>
  <si>
    <t>$21159</t>
  </si>
  <si>
    <t>365 Mountain View Boulevard</t>
  </si>
  <si>
    <t>$16474</t>
  </si>
  <si>
    <t>62 East Boulevard</t>
  </si>
  <si>
    <t>90 El Camino Avenue</t>
  </si>
  <si>
    <t>$15461</t>
  </si>
  <si>
    <t>5380 12th Boulevard</t>
  </si>
  <si>
    <t>$15857</t>
  </si>
  <si>
    <t>7154 Lafayette Drive</t>
  </si>
  <si>
    <t>$16670</t>
  </si>
  <si>
    <t>658 Plum Avenue</t>
  </si>
  <si>
    <t>$21084</t>
  </si>
  <si>
    <t>112 Elm Avenue</t>
  </si>
  <si>
    <t>$16892</t>
  </si>
  <si>
    <t>352 Hill Lane</t>
  </si>
  <si>
    <t>87 Ocean Avenue</t>
  </si>
  <si>
    <t>515 Spruce Boulevard</t>
  </si>
  <si>
    <t>89 Oak Lane</t>
  </si>
  <si>
    <t>6577 Catherine Lane</t>
  </si>
  <si>
    <t>$23071</t>
  </si>
  <si>
    <t>412 Fifth Boulevard</t>
  </si>
  <si>
    <t>$19744</t>
  </si>
  <si>
    <t>2855 Sixth Avenue</t>
  </si>
  <si>
    <t>$41979</t>
  </si>
  <si>
    <t>300 West Avenue</t>
  </si>
  <si>
    <t>$17198</t>
  </si>
  <si>
    <t>$15195</t>
  </si>
  <si>
    <t>22 First Boulevard</t>
  </si>
  <si>
    <t>$22416</t>
  </si>
  <si>
    <t>429 Grant Boulevard</t>
  </si>
  <si>
    <t>$24417</t>
  </si>
  <si>
    <t>829 Mill Boulevard</t>
  </si>
  <si>
    <t>$24016</t>
  </si>
  <si>
    <t>336 North Street</t>
  </si>
  <si>
    <t>894 Catherine Boulevard</t>
  </si>
  <si>
    <t>$15242</t>
  </si>
  <si>
    <t>444 Forest Boulevard</t>
  </si>
  <si>
    <t>26 Martin Luther King Drive</t>
  </si>
  <si>
    <t>6427 Martin Luther King Drive</t>
  </si>
  <si>
    <t>$18649</t>
  </si>
  <si>
    <t>9915 Burns Lane</t>
  </si>
  <si>
    <t>$17634</t>
  </si>
  <si>
    <t>$25429</t>
  </si>
  <si>
    <t>7944 Hill Lane</t>
  </si>
  <si>
    <t>$14263</t>
  </si>
  <si>
    <t>5295 Pine Street</t>
  </si>
  <si>
    <t>2130 Valley Stream Lane</t>
  </si>
  <si>
    <t>$17276</t>
  </si>
  <si>
    <t>73 Oak Street</t>
  </si>
  <si>
    <t>$37234</t>
  </si>
  <si>
    <t>189 Washington Street</t>
  </si>
  <si>
    <t>$18657</t>
  </si>
  <si>
    <t>225 Lake Boulevard</t>
  </si>
  <si>
    <t>$36817</t>
  </si>
  <si>
    <t>331 Oak Lane</t>
  </si>
  <si>
    <t>1132 Hill Street</t>
  </si>
  <si>
    <t>6035 Forest Avenue</t>
  </si>
  <si>
    <t>$13461</t>
  </si>
  <si>
    <t>9384 Ocean Avenue</t>
  </si>
  <si>
    <t>$16453</t>
  </si>
  <si>
    <t>141 Sixth Boulevard</t>
  </si>
  <si>
    <t>$16413</t>
  </si>
  <si>
    <t>6283 Rose Avenue</t>
  </si>
  <si>
    <t>$46175</t>
  </si>
  <si>
    <t>$16524</t>
  </si>
  <si>
    <t>575 Bayview Lane</t>
  </si>
  <si>
    <t>44 Valley Boulevard</t>
  </si>
  <si>
    <t>420 Oak Drive</t>
  </si>
  <si>
    <t>$18432</t>
  </si>
  <si>
    <t>9141 Ocean View Lane</t>
  </si>
  <si>
    <t>$22308</t>
  </si>
  <si>
    <t>354 Federal Street</t>
  </si>
  <si>
    <t>8373 Birch Boulevard</t>
  </si>
  <si>
    <t>$18525</t>
  </si>
  <si>
    <t>273 Elm Drive</t>
  </si>
  <si>
    <t>$17070</t>
  </si>
  <si>
    <t>682 Federal Lane</t>
  </si>
  <si>
    <t>15664 Lafayette Street</t>
  </si>
  <si>
    <t>723 Fourth Drive</t>
  </si>
  <si>
    <t>$25399</t>
  </si>
  <si>
    <t>9079 Second Drive</t>
  </si>
  <si>
    <t>$12387</t>
  </si>
  <si>
    <t>4779 Lafayette Avenue</t>
  </si>
  <si>
    <t>$18907</t>
  </si>
  <si>
    <t>53 Elm Street</t>
  </si>
  <si>
    <t>3374 Littlewood Street</t>
  </si>
  <si>
    <t>847 Martin Luther King Lane</t>
  </si>
  <si>
    <t>$13238</t>
  </si>
  <si>
    <t>878 Summit Avenue</t>
  </si>
  <si>
    <t>$16005</t>
  </si>
  <si>
    <t>378 West Boulevard</t>
  </si>
  <si>
    <t>1915 Catherine Boulevard</t>
  </si>
  <si>
    <t>642 Ocean View Lane</t>
  </si>
  <si>
    <t>$16150</t>
  </si>
  <si>
    <t>1425 Fifth Street</t>
  </si>
  <si>
    <t>$21827</t>
  </si>
  <si>
    <t>914 Spruce Drive</t>
  </si>
  <si>
    <t>$14739</t>
  </si>
  <si>
    <t>6976 Ocean View Avenue</t>
  </si>
  <si>
    <t>68 Rose Boulevard</t>
  </si>
  <si>
    <t>$22314</t>
  </si>
  <si>
    <t>129 Sussex Street</t>
  </si>
  <si>
    <t>9380 Hill Drive</t>
  </si>
  <si>
    <t>8740 Lafayette Drive</t>
  </si>
  <si>
    <t>$26528</t>
  </si>
  <si>
    <t>9070 Third Boulevard</t>
  </si>
  <si>
    <t>$14415</t>
  </si>
  <si>
    <t>6077 Sixth Avenue</t>
  </si>
  <si>
    <t>$15009</t>
  </si>
  <si>
    <t>30 Catherine Street</t>
  </si>
  <si>
    <t>$14669</t>
  </si>
  <si>
    <t>41 East Boulevard</t>
  </si>
  <si>
    <t>1635 Sussex Lane</t>
  </si>
  <si>
    <t>5157 Seventh Drive</t>
  </si>
  <si>
    <t>782 Hill Lane</t>
  </si>
  <si>
    <t>$13093</t>
  </si>
  <si>
    <t>4135 Valley Stream Lane</t>
  </si>
  <si>
    <t>$23224</t>
  </si>
  <si>
    <t>621 Rose Avenue</t>
  </si>
  <si>
    <t>35 Fifth Street</t>
  </si>
  <si>
    <t>$31600</t>
  </si>
  <si>
    <t>71858 Mountain View Street</t>
  </si>
  <si>
    <t>$22277</t>
  </si>
  <si>
    <t>596 Ninth Street</t>
  </si>
  <si>
    <t>$25336</t>
  </si>
  <si>
    <t>7508 Grant Street</t>
  </si>
  <si>
    <t>$23878</t>
  </si>
  <si>
    <t>5063 Seventh Avenue</t>
  </si>
  <si>
    <t>$24071</t>
  </si>
  <si>
    <t>4 George Lane</t>
  </si>
  <si>
    <t>$52517</t>
  </si>
  <si>
    <t>8651 North Boulevard</t>
  </si>
  <si>
    <t>$28466</t>
  </si>
  <si>
    <t>711 Tenth Street</t>
  </si>
  <si>
    <t>$19899</t>
  </si>
  <si>
    <t>3124 Madison Drive</t>
  </si>
  <si>
    <t>4949 South Avenue</t>
  </si>
  <si>
    <t>$23383</t>
  </si>
  <si>
    <t>4822 Jefferson Avenue</t>
  </si>
  <si>
    <t>1651 Oak Drive</t>
  </si>
  <si>
    <t>927 River Street</t>
  </si>
  <si>
    <t>$15758</t>
  </si>
  <si>
    <t>124 Madison Lane</t>
  </si>
  <si>
    <t>$20919</t>
  </si>
  <si>
    <t>256 Ocean Drive</t>
  </si>
  <si>
    <t>$16877</t>
  </si>
  <si>
    <t>320 Second Street</t>
  </si>
  <si>
    <t>$18861</t>
  </si>
  <si>
    <t>93 Mill Drive</t>
  </si>
  <si>
    <t>$19596</t>
  </si>
  <si>
    <t>413 East Boulevard</t>
  </si>
  <si>
    <t>$22348</t>
  </si>
  <si>
    <t>295 West Avenue</t>
  </si>
  <si>
    <t>$16760</t>
  </si>
  <si>
    <t>512 Second Avenue</t>
  </si>
  <si>
    <t>$18753</t>
  </si>
  <si>
    <t>27 Birch Avenue</t>
  </si>
  <si>
    <t>31 Hill Boulevard</t>
  </si>
  <si>
    <t>2183 Catherine Boulevard</t>
  </si>
  <si>
    <t>$23106</t>
  </si>
  <si>
    <t>6577 Lexington Lane</t>
  </si>
  <si>
    <t>276 Fifth Boulevard</t>
  </si>
  <si>
    <t>$15175</t>
  </si>
  <si>
    <t>Client ID</t>
  </si>
  <si>
    <t>Swipe Transaction</t>
  </si>
  <si>
    <t>Insufficient Balance</t>
  </si>
  <si>
    <t>TN</t>
  </si>
  <si>
    <t>CT</t>
  </si>
  <si>
    <t>NY</t>
  </si>
  <si>
    <t>MI</t>
  </si>
  <si>
    <t>ONLINE</t>
  </si>
  <si>
    <t>Online Transaction</t>
  </si>
  <si>
    <t>FL</t>
  </si>
  <si>
    <t>Farmington</t>
  </si>
  <si>
    <t>MA</t>
  </si>
  <si>
    <t>ID</t>
  </si>
  <si>
    <t>NV</t>
  </si>
  <si>
    <t>VT</t>
  </si>
  <si>
    <t>ME</t>
  </si>
  <si>
    <t>Portland</t>
  </si>
  <si>
    <t>Brooklyn</t>
  </si>
  <si>
    <t>Worcester</t>
  </si>
  <si>
    <t>Las Vegas</t>
  </si>
  <si>
    <t>Bristol</t>
  </si>
  <si>
    <t>Buffalo</t>
  </si>
  <si>
    <t>Florence</t>
  </si>
  <si>
    <t>Lebanon</t>
  </si>
  <si>
    <t>Fairfield</t>
  </si>
  <si>
    <t>Technical Glitch</t>
  </si>
  <si>
    <t>Burlington</t>
  </si>
  <si>
    <t>Pensacola</t>
  </si>
  <si>
    <t>Scarborough</t>
  </si>
  <si>
    <t>Bangor</t>
  </si>
  <si>
    <t>Sanford</t>
  </si>
  <si>
    <t>Lewiston</t>
  </si>
  <si>
    <t>Stevensville</t>
  </si>
  <si>
    <t>Parma</t>
  </si>
  <si>
    <t>Dunlap</t>
  </si>
  <si>
    <t>Westbrook</t>
  </si>
  <si>
    <t>Springvale</t>
  </si>
  <si>
    <t>Steep Falls</t>
  </si>
  <si>
    <t>Bad Zipcode</t>
  </si>
  <si>
    <t>Livermore Falls</t>
  </si>
  <si>
    <t>Standish</t>
  </si>
  <si>
    <t>Murfreesboro</t>
  </si>
  <si>
    <t>Old Hickory</t>
  </si>
  <si>
    <t>Linden</t>
  </si>
  <si>
    <t>Buchanan</t>
  </si>
  <si>
    <t>Falmouth</t>
  </si>
  <si>
    <t>Edwardsburg</t>
  </si>
  <si>
    <t>West Newfield</t>
  </si>
  <si>
    <t>errors</t>
  </si>
  <si>
    <t>mcc</t>
  </si>
  <si>
    <t>zip</t>
  </si>
  <si>
    <t>merchant_state</t>
  </si>
  <si>
    <t>merchant_city</t>
  </si>
  <si>
    <t>merchant_id</t>
  </si>
  <si>
    <t>use_chip</t>
  </si>
  <si>
    <t>amount</t>
  </si>
  <si>
    <t>card_id</t>
  </si>
  <si>
    <t>client_id</t>
  </si>
  <si>
    <t>date</t>
  </si>
  <si>
    <t>No</t>
  </si>
  <si>
    <t>$14400</t>
  </si>
  <si>
    <t>YES</t>
  </si>
  <si>
    <t>Credit</t>
  </si>
  <si>
    <t>Visa</t>
  </si>
  <si>
    <t>$28074</t>
  </si>
  <si>
    <t>5589768928167462</t>
  </si>
  <si>
    <t>Debit</t>
  </si>
  <si>
    <t>Mastercard</t>
  </si>
  <si>
    <t>$9200</t>
  </si>
  <si>
    <t>NO</t>
  </si>
  <si>
    <t>$6900</t>
  </si>
  <si>
    <t>Amex</t>
  </si>
  <si>
    <t>$11100</t>
  </si>
  <si>
    <t>4803534694306012</t>
  </si>
  <si>
    <t>$18300</t>
  </si>
  <si>
    <t>Discover</t>
  </si>
  <si>
    <t>$27317</t>
  </si>
  <si>
    <t>4351221158003580</t>
  </si>
  <si>
    <t>$12000</t>
  </si>
  <si>
    <t>6209823400357197</t>
  </si>
  <si>
    <t>$21787</t>
  </si>
  <si>
    <t>4331126149037342</t>
  </si>
  <si>
    <t>$9100</t>
  </si>
  <si>
    <t>$81</t>
  </si>
  <si>
    <t>Debit (Prepaid)</t>
  </si>
  <si>
    <t>$23152</t>
  </si>
  <si>
    <t>5396719740758943</t>
  </si>
  <si>
    <t>$6200</t>
  </si>
  <si>
    <t>$61</t>
  </si>
  <si>
    <t>$6100</t>
  </si>
  <si>
    <t>4759540467704662</t>
  </si>
  <si>
    <t>$7100</t>
  </si>
  <si>
    <t>4882749213560039</t>
  </si>
  <si>
    <t>$11400</t>
  </si>
  <si>
    <t>$4700</t>
  </si>
  <si>
    <t>$4000</t>
  </si>
  <si>
    <t>$85</t>
  </si>
  <si>
    <t>4405922261615510</t>
  </si>
  <si>
    <t>$21244</t>
  </si>
  <si>
    <t>5277481941284870</t>
  </si>
  <si>
    <t>$11500</t>
  </si>
  <si>
    <t>$8100</t>
  </si>
  <si>
    <t>$9316</t>
  </si>
  <si>
    <t>5743134448921247</t>
  </si>
  <si>
    <t>$56</t>
  </si>
  <si>
    <t>5111395106828890</t>
  </si>
  <si>
    <t>$7700</t>
  </si>
  <si>
    <t>$7800</t>
  </si>
  <si>
    <t>$16400</t>
  </si>
  <si>
    <t>$11900</t>
  </si>
  <si>
    <t>$5600</t>
  </si>
  <si>
    <t>$15700</t>
  </si>
  <si>
    <t>$15100</t>
  </si>
  <si>
    <t>$9789</t>
  </si>
  <si>
    <t>5750484233286684</t>
  </si>
  <si>
    <t>$3800</t>
  </si>
  <si>
    <t>$8500</t>
  </si>
  <si>
    <t>$22900</t>
  </si>
  <si>
    <t>$7200</t>
  </si>
  <si>
    <t>$80</t>
  </si>
  <si>
    <t>$21274</t>
  </si>
  <si>
    <t>5673440794177682</t>
  </si>
  <si>
    <t>$39</t>
  </si>
  <si>
    <t>5322126645643429</t>
  </si>
  <si>
    <t>$15200</t>
  </si>
  <si>
    <t>$17569</t>
  </si>
  <si>
    <t>4825524341593939</t>
  </si>
  <si>
    <t>$76</t>
  </si>
  <si>
    <t>4154048240434633</t>
  </si>
  <si>
    <t>$26107</t>
  </si>
  <si>
    <t>5641266533811383</t>
  </si>
  <si>
    <t>$10964</t>
  </si>
  <si>
    <t>$12195</t>
  </si>
  <si>
    <t>4077582571419704</t>
  </si>
  <si>
    <t>$14570</t>
  </si>
  <si>
    <t>5271701044160481</t>
  </si>
  <si>
    <t>$12039</t>
  </si>
  <si>
    <t>4325897539134882</t>
  </si>
  <si>
    <t>$23400</t>
  </si>
  <si>
    <t>4809875418420460</t>
  </si>
  <si>
    <t>$47183</t>
  </si>
  <si>
    <t>5614906039254489</t>
  </si>
  <si>
    <t>$35</t>
  </si>
  <si>
    <t>$9300</t>
  </si>
  <si>
    <t>6402388690714912</t>
  </si>
  <si>
    <t>$13700</t>
  </si>
  <si>
    <t>5829556470616453</t>
  </si>
  <si>
    <t>$24939</t>
  </si>
  <si>
    <t>5854609142644269</t>
  </si>
  <si>
    <t>$20534</t>
  </si>
  <si>
    <t>5152513437799120</t>
  </si>
  <si>
    <t>$65</t>
  </si>
  <si>
    <t>$82</t>
  </si>
  <si>
    <t>$10000</t>
  </si>
  <si>
    <t>5346005460523910</t>
  </si>
  <si>
    <t>$10700</t>
  </si>
  <si>
    <t>$14300</t>
  </si>
  <si>
    <t>$5500</t>
  </si>
  <si>
    <t>$12586</t>
  </si>
  <si>
    <t>$8600</t>
  </si>
  <si>
    <t>$17063</t>
  </si>
  <si>
    <t>5122845886811755</t>
  </si>
  <si>
    <t>$5900</t>
  </si>
  <si>
    <t>$10600</t>
  </si>
  <si>
    <t>$8876</t>
  </si>
  <si>
    <t>5510238208636520</t>
  </si>
  <si>
    <t>5229268684192805</t>
  </si>
  <si>
    <t>$17300</t>
  </si>
  <si>
    <t>$15212</t>
  </si>
  <si>
    <t>5989639729186969</t>
  </si>
  <si>
    <t>5939726039641834</t>
  </si>
  <si>
    <t>4763790665708312</t>
  </si>
  <si>
    <t>$14139</t>
  </si>
  <si>
    <t>5268061657818192</t>
  </si>
  <si>
    <t>$3600</t>
  </si>
  <si>
    <t>$17100</t>
  </si>
  <si>
    <t>5777252404670457</t>
  </si>
  <si>
    <t>$9600</t>
  </si>
  <si>
    <t>$3861</t>
  </si>
  <si>
    <t>5290775938068362</t>
  </si>
  <si>
    <t>$12800</t>
  </si>
  <si>
    <t>$12900</t>
  </si>
  <si>
    <t>$6300</t>
  </si>
  <si>
    <t>$12861</t>
  </si>
  <si>
    <t>5337331365480778</t>
  </si>
  <si>
    <t>$8200</t>
  </si>
  <si>
    <t>$14800</t>
  </si>
  <si>
    <t>$11600</t>
  </si>
  <si>
    <t>$12400</t>
  </si>
  <si>
    <t>$62</t>
  </si>
  <si>
    <t>$2400</t>
  </si>
  <si>
    <t>$90</t>
  </si>
  <si>
    <t>4181646920762737</t>
  </si>
  <si>
    <t>$37</t>
  </si>
  <si>
    <t>4342161680384576</t>
  </si>
  <si>
    <t>$7400</t>
  </si>
  <si>
    <t>4458593801378188</t>
  </si>
  <si>
    <t>$73</t>
  </si>
  <si>
    <t>5904726356147306</t>
  </si>
  <si>
    <t>$68</t>
  </si>
  <si>
    <t>$11982</t>
  </si>
  <si>
    <t>5671721481892550</t>
  </si>
  <si>
    <t>$13900</t>
  </si>
  <si>
    <t>$16600</t>
  </si>
  <si>
    <t>$57</t>
  </si>
  <si>
    <t>$7900</t>
  </si>
  <si>
    <t>$4300</t>
  </si>
  <si>
    <t>$16736</t>
  </si>
  <si>
    <t>4243196015563986</t>
  </si>
  <si>
    <t>$21782</t>
  </si>
  <si>
    <t>4448638660853564</t>
  </si>
  <si>
    <t>$17231</t>
  </si>
  <si>
    <t>4315296241283753</t>
  </si>
  <si>
    <t>$9800</t>
  </si>
  <si>
    <t>5049740310754292</t>
  </si>
  <si>
    <t>5809675483353806</t>
  </si>
  <si>
    <t>4163142253525850</t>
  </si>
  <si>
    <t>$8400</t>
  </si>
  <si>
    <t>4848478019868044</t>
  </si>
  <si>
    <t>$79</t>
  </si>
  <si>
    <t>$10673</t>
  </si>
  <si>
    <t>5205146873846149</t>
  </si>
  <si>
    <t>5184235869070087</t>
  </si>
  <si>
    <t>$10200</t>
  </si>
  <si>
    <t>5648920659581656</t>
  </si>
  <si>
    <t>$10471</t>
  </si>
  <si>
    <t>5848792320156293</t>
  </si>
  <si>
    <t>$18400</t>
  </si>
  <si>
    <t>$10300</t>
  </si>
  <si>
    <t>$13597</t>
  </si>
  <si>
    <t>5762905101107710</t>
  </si>
  <si>
    <t>$9845</t>
  </si>
  <si>
    <t>4308818013677927</t>
  </si>
  <si>
    <t>$7000</t>
  </si>
  <si>
    <t>4115517902859173</t>
  </si>
  <si>
    <t>$10636</t>
  </si>
  <si>
    <t>$1200</t>
  </si>
  <si>
    <t>$6500</t>
  </si>
  <si>
    <t>5317755409759521</t>
  </si>
  <si>
    <t>$21997</t>
  </si>
  <si>
    <t>5186294128669152</t>
  </si>
  <si>
    <t>$52</t>
  </si>
  <si>
    <t>5900191366508128</t>
  </si>
  <si>
    <t>$9900</t>
  </si>
  <si>
    <t>$6800</t>
  </si>
  <si>
    <t>$24334</t>
  </si>
  <si>
    <t>5077019023912414</t>
  </si>
  <si>
    <t>5317076130104741</t>
  </si>
  <si>
    <t>5024262627226050</t>
  </si>
  <si>
    <t>$14146</t>
  </si>
  <si>
    <t>5637089823683604</t>
  </si>
  <si>
    <t>$9500</t>
  </si>
  <si>
    <t>$8800</t>
  </si>
  <si>
    <t>$10100</t>
  </si>
  <si>
    <t>$18888</t>
  </si>
  <si>
    <t>4906021631955321</t>
  </si>
  <si>
    <t>$15500</t>
  </si>
  <si>
    <t>$17800</t>
  </si>
  <si>
    <t>$16815</t>
  </si>
  <si>
    <t>5980129246400404</t>
  </si>
  <si>
    <t>$58</t>
  </si>
  <si>
    <t>$28000</t>
  </si>
  <si>
    <t>$12240</t>
  </si>
  <si>
    <t>4454771454125736</t>
  </si>
  <si>
    <t>4393681534654146</t>
  </si>
  <si>
    <t>$12600</t>
  </si>
  <si>
    <t>$13558</t>
  </si>
  <si>
    <t>5141201123047050</t>
  </si>
  <si>
    <t>$8900</t>
  </si>
  <si>
    <t>$89</t>
  </si>
  <si>
    <t>4749171976917258</t>
  </si>
  <si>
    <t>$55</t>
  </si>
  <si>
    <t>5483078601827876</t>
  </si>
  <si>
    <t>4742301691992776</t>
  </si>
  <si>
    <t>5226870809361787</t>
  </si>
  <si>
    <t>$16100</t>
  </si>
  <si>
    <t>$21000</t>
  </si>
  <si>
    <t>$45373</t>
  </si>
  <si>
    <t>5422341110559659</t>
  </si>
  <si>
    <t>$11</t>
  </si>
  <si>
    <t>$13772</t>
  </si>
  <si>
    <t>5291637236164085</t>
  </si>
  <si>
    <t>5678554364408518</t>
  </si>
  <si>
    <t>$11200</t>
  </si>
  <si>
    <t>$5000</t>
  </si>
  <si>
    <t>$12200</t>
  </si>
  <si>
    <t>$7300</t>
  </si>
  <si>
    <t>$8000</t>
  </si>
  <si>
    <t>5253140087088071</t>
  </si>
  <si>
    <t>$8700</t>
  </si>
  <si>
    <t>$8300</t>
  </si>
  <si>
    <t>5008598572977474</t>
  </si>
  <si>
    <t>$13000</t>
  </si>
  <si>
    <t>$5826</t>
  </si>
  <si>
    <t>5979708797094587</t>
  </si>
  <si>
    <t>$3678</t>
  </si>
  <si>
    <t>4868987724427798</t>
  </si>
  <si>
    <t>5274198815905606</t>
  </si>
  <si>
    <t>4177943531666106</t>
  </si>
  <si>
    <t>4446204059905464</t>
  </si>
  <si>
    <t>$17252</t>
  </si>
  <si>
    <t>5184750031787695</t>
  </si>
  <si>
    <t>$67</t>
  </si>
  <si>
    <t>$40</t>
  </si>
  <si>
    <t>$13600</t>
  </si>
  <si>
    <t>$7644</t>
  </si>
  <si>
    <t>4770207045170231</t>
  </si>
  <si>
    <t>$7500</t>
  </si>
  <si>
    <t>$700</t>
  </si>
  <si>
    <t>5013961450307351</t>
  </si>
  <si>
    <t>$71</t>
  </si>
  <si>
    <t>5781831200471526</t>
  </si>
  <si>
    <t>$11254</t>
  </si>
  <si>
    <t>5462760953855576</t>
  </si>
  <si>
    <t>$12173</t>
  </si>
  <si>
    <t>4406180094358834</t>
  </si>
  <si>
    <t>$18800</t>
  </si>
  <si>
    <t>4585094832412488</t>
  </si>
  <si>
    <t>$14679</t>
  </si>
  <si>
    <t>4130215809450765</t>
  </si>
  <si>
    <t>$6600</t>
  </si>
  <si>
    <t>4632633126868484</t>
  </si>
  <si>
    <t>5768193861918367</t>
  </si>
  <si>
    <t>$30155</t>
  </si>
  <si>
    <t>4596537044879993</t>
  </si>
  <si>
    <t>$30870</t>
  </si>
  <si>
    <t>4756674643883046</t>
  </si>
  <si>
    <t>$60</t>
  </si>
  <si>
    <t>4938575047755879</t>
  </si>
  <si>
    <t>$15900</t>
  </si>
  <si>
    <t>$23300</t>
  </si>
  <si>
    <t>4656088751958530</t>
  </si>
  <si>
    <t>$11364</t>
  </si>
  <si>
    <t>5278235755391641</t>
  </si>
  <si>
    <t>$9400</t>
  </si>
  <si>
    <t>5867990216480062</t>
  </si>
  <si>
    <t>$32</t>
  </si>
  <si>
    <t>4405540956453724</t>
  </si>
  <si>
    <t>$11999</t>
  </si>
  <si>
    <t>5627821887128376</t>
  </si>
  <si>
    <t>$12300</t>
  </si>
  <si>
    <t>$3900</t>
  </si>
  <si>
    <t>$23529</t>
  </si>
  <si>
    <t>5941060191494195</t>
  </si>
  <si>
    <t>$26</t>
  </si>
  <si>
    <t>5826140028493879</t>
  </si>
  <si>
    <t>$20971</t>
  </si>
  <si>
    <t>4170170540626885</t>
  </si>
  <si>
    <t>5084097673104529</t>
  </si>
  <si>
    <t>$13193</t>
  </si>
  <si>
    <t>4470396121935962</t>
  </si>
  <si>
    <t>$13200</t>
  </si>
  <si>
    <t>$7030</t>
  </si>
  <si>
    <t>4287552229905456</t>
  </si>
  <si>
    <t>$4546</t>
  </si>
  <si>
    <t>5575214152731773</t>
  </si>
  <si>
    <t>$25919</t>
  </si>
  <si>
    <t>4092634167714573</t>
  </si>
  <si>
    <t>$15261</t>
  </si>
  <si>
    <t>4175156104515816</t>
  </si>
  <si>
    <t>$16610</t>
  </si>
  <si>
    <t>4766814724627532</t>
  </si>
  <si>
    <t>4037574014013949</t>
  </si>
  <si>
    <t>5146076432064543</t>
  </si>
  <si>
    <t>$4200</t>
  </si>
  <si>
    <t>$4534</t>
  </si>
  <si>
    <t>5346665102858338</t>
  </si>
  <si>
    <t>$14600</t>
  </si>
  <si>
    <t>$96</t>
  </si>
  <si>
    <t>5993362497379576</t>
  </si>
  <si>
    <t>$6688</t>
  </si>
  <si>
    <t>4139199465174934</t>
  </si>
  <si>
    <t>$12891</t>
  </si>
  <si>
    <t>4771456546451310</t>
  </si>
  <si>
    <t>5625635561969960</t>
  </si>
  <si>
    <t>$11457</t>
  </si>
  <si>
    <t>5134527149271246</t>
  </si>
  <si>
    <t>$1700</t>
  </si>
  <si>
    <t>$6000</t>
  </si>
  <si>
    <t>$2800</t>
  </si>
  <si>
    <t>$9700</t>
  </si>
  <si>
    <t>$11000</t>
  </si>
  <si>
    <t>$59</t>
  </si>
  <si>
    <t>$15800</t>
  </si>
  <si>
    <t>4289888672554714</t>
  </si>
  <si>
    <t>$2000</t>
  </si>
  <si>
    <t>4084600800745908</t>
  </si>
  <si>
    <t>$11694</t>
  </si>
  <si>
    <t>5031033208388940</t>
  </si>
  <si>
    <t>5226320820755917</t>
  </si>
  <si>
    <t>$18689</t>
  </si>
  <si>
    <t>4846362912981071</t>
  </si>
  <si>
    <t>$25300</t>
  </si>
  <si>
    <t>4472791439889132</t>
  </si>
  <si>
    <t>5390553032149250</t>
  </si>
  <si>
    <t>$6789</t>
  </si>
  <si>
    <t>4400094918183273</t>
  </si>
  <si>
    <t>$7640</t>
  </si>
  <si>
    <t>5118294961901335</t>
  </si>
  <si>
    <t>$22242</t>
  </si>
  <si>
    <t>5499930396917667</t>
  </si>
  <si>
    <t>$19100</t>
  </si>
  <si>
    <t>4199299822093543</t>
  </si>
  <si>
    <t>4419460752105618</t>
  </si>
  <si>
    <t>4269419419379307</t>
  </si>
  <si>
    <t>$24682</t>
  </si>
  <si>
    <t>5452689036471935</t>
  </si>
  <si>
    <t>4696113920786154</t>
  </si>
  <si>
    <t>$38025</t>
  </si>
  <si>
    <t>4777168194473448</t>
  </si>
  <si>
    <t>$23902</t>
  </si>
  <si>
    <t>5078145607261496</t>
  </si>
  <si>
    <t>$23712</t>
  </si>
  <si>
    <t>5550568534248004</t>
  </si>
  <si>
    <t>$15934</t>
  </si>
  <si>
    <t>4515082319612545</t>
  </si>
  <si>
    <t>5076996431094044</t>
  </si>
  <si>
    <t>$18500</t>
  </si>
  <si>
    <t>5591895053896003</t>
  </si>
  <si>
    <t>$9000</t>
  </si>
  <si>
    <t>4295192613583548</t>
  </si>
  <si>
    <t>5913847569907564</t>
  </si>
  <si>
    <t>$54</t>
  </si>
  <si>
    <t>5320344964229690</t>
  </si>
  <si>
    <t>$7821</t>
  </si>
  <si>
    <t>4077584980284629</t>
  </si>
  <si>
    <t>$3300</t>
  </si>
  <si>
    <t>$100</t>
  </si>
  <si>
    <t>4051081191440795</t>
  </si>
  <si>
    <t>$12100</t>
  </si>
  <si>
    <t>$9146</t>
  </si>
  <si>
    <t>$86</t>
  </si>
  <si>
    <t>6125317256925478</t>
  </si>
  <si>
    <t>$12152</t>
  </si>
  <si>
    <t>5889682038601562</t>
  </si>
  <si>
    <t>5242129479868764</t>
  </si>
  <si>
    <t>$12088</t>
  </si>
  <si>
    <t>5196434400831396</t>
  </si>
  <si>
    <t>6193476799412108</t>
  </si>
  <si>
    <t>4209685692130280</t>
  </si>
  <si>
    <t>$13400</t>
  </si>
  <si>
    <t>$1846</t>
  </si>
  <si>
    <t>5602736350449912</t>
  </si>
  <si>
    <t>$10900</t>
  </si>
  <si>
    <t>$6556</t>
  </si>
  <si>
    <t>4223918113000039</t>
  </si>
  <si>
    <t>$17963</t>
  </si>
  <si>
    <t>5237616749088430</t>
  </si>
  <si>
    <t>$4507</t>
  </si>
  <si>
    <t>4755440234138028</t>
  </si>
  <si>
    <t>$9294</t>
  </si>
  <si>
    <t>5290515548238201</t>
  </si>
  <si>
    <t>5689609387142035</t>
  </si>
  <si>
    <t>$14340</t>
  </si>
  <si>
    <t>4479062988731370</t>
  </si>
  <si>
    <t>$14332</t>
  </si>
  <si>
    <t>5679761417086761</t>
  </si>
  <si>
    <t>$44717</t>
  </si>
  <si>
    <t>5510529698460163</t>
  </si>
  <si>
    <t>$16558</t>
  </si>
  <si>
    <t>5950613249503517</t>
  </si>
  <si>
    <t>$17600</t>
  </si>
  <si>
    <t>4880198318553266</t>
  </si>
  <si>
    <t>$13500</t>
  </si>
  <si>
    <t>5970339574772530</t>
  </si>
  <si>
    <t>$2397</t>
  </si>
  <si>
    <t>5787921795028281</t>
  </si>
  <si>
    <t>$5300</t>
  </si>
  <si>
    <t>4892534625652849</t>
  </si>
  <si>
    <t>$21985</t>
  </si>
  <si>
    <t>5920175797699651</t>
  </si>
  <si>
    <t>5288171160215324</t>
  </si>
  <si>
    <t>$6395</t>
  </si>
  <si>
    <t>5556746533263402</t>
  </si>
  <si>
    <t>5207231566469664</t>
  </si>
  <si>
    <t>$91</t>
  </si>
  <si>
    <t>$15906</t>
  </si>
  <si>
    <t>5487985553439546</t>
  </si>
  <si>
    <t>5018794058509930</t>
  </si>
  <si>
    <t>$15400</t>
  </si>
  <si>
    <t>$22</t>
  </si>
  <si>
    <t>$17500</t>
  </si>
  <si>
    <t>5867592323939058</t>
  </si>
  <si>
    <t>$1300</t>
  </si>
  <si>
    <t>5327121819423216</t>
  </si>
  <si>
    <t>$10500</t>
  </si>
  <si>
    <t>$21258</t>
  </si>
  <si>
    <t>5544865210857672</t>
  </si>
  <si>
    <t>$5800</t>
  </si>
  <si>
    <t>5930929069464452</t>
  </si>
  <si>
    <t>$2143</t>
  </si>
  <si>
    <t>5927292790575653</t>
  </si>
  <si>
    <t>$17535</t>
  </si>
  <si>
    <t>4256748017620071</t>
  </si>
  <si>
    <t>$11805</t>
  </si>
  <si>
    <t>5991004678910438</t>
  </si>
  <si>
    <t>$8998</t>
  </si>
  <si>
    <t>5805044569196975</t>
  </si>
  <si>
    <t>4205821347854727</t>
  </si>
  <si>
    <t>$72</t>
  </si>
  <si>
    <t>6741482633639648</t>
  </si>
  <si>
    <t>$12500</t>
  </si>
  <si>
    <t>$27489</t>
  </si>
  <si>
    <t>4577476596554924</t>
  </si>
  <si>
    <t>$1800</t>
  </si>
  <si>
    <t>$50</t>
  </si>
  <si>
    <t>$14797</t>
  </si>
  <si>
    <t>4497861134959245</t>
  </si>
  <si>
    <t>4061328991788690</t>
  </si>
  <si>
    <t>$6237</t>
  </si>
  <si>
    <t>5625472759967842</t>
  </si>
  <si>
    <t>$5200</t>
  </si>
  <si>
    <t>$12329</t>
  </si>
  <si>
    <t>4723396292994912</t>
  </si>
  <si>
    <t>$30637</t>
  </si>
  <si>
    <t>5458733371432885</t>
  </si>
  <si>
    <t>$16557</t>
  </si>
  <si>
    <t>5199637709729169</t>
  </si>
  <si>
    <t>$10304</t>
  </si>
  <si>
    <t>5797418937992891</t>
  </si>
  <si>
    <t>5244253968518286</t>
  </si>
  <si>
    <t>$19934</t>
  </si>
  <si>
    <t>4049373677960607</t>
  </si>
  <si>
    <t>$4800</t>
  </si>
  <si>
    <t>$4500</t>
  </si>
  <si>
    <t>$12191</t>
  </si>
  <si>
    <t>5452922835345688</t>
  </si>
  <si>
    <t>5240774776973707</t>
  </si>
  <si>
    <t>$500</t>
  </si>
  <si>
    <t>$7284</t>
  </si>
  <si>
    <t>5588070685818037</t>
  </si>
  <si>
    <t>4281238011673204</t>
  </si>
  <si>
    <t>$16500</t>
  </si>
  <si>
    <t>$13841</t>
  </si>
  <si>
    <t>$38</t>
  </si>
  <si>
    <t>5087990899424459</t>
  </si>
  <si>
    <t>$3565</t>
  </si>
  <si>
    <t>5697326448769669</t>
  </si>
  <si>
    <t>$30200</t>
  </si>
  <si>
    <t>5917929365404113</t>
  </si>
  <si>
    <t>$28203</t>
  </si>
  <si>
    <t>5494418818088079</t>
  </si>
  <si>
    <t>$22700</t>
  </si>
  <si>
    <t>$63</t>
  </si>
  <si>
    <t>5546049735690428</t>
  </si>
  <si>
    <t>$15306</t>
  </si>
  <si>
    <t>5036845153057903</t>
  </si>
  <si>
    <t>$10495</t>
  </si>
  <si>
    <t>4441719525815769</t>
  </si>
  <si>
    <t>4509375731362461</t>
  </si>
  <si>
    <t>$10707</t>
  </si>
  <si>
    <t>5289852815253246</t>
  </si>
  <si>
    <t>4855885434237625</t>
  </si>
  <si>
    <t>$20278</t>
  </si>
  <si>
    <t>5271720303804197</t>
  </si>
  <si>
    <t>$21982</t>
  </si>
  <si>
    <t>5773754472145445</t>
  </si>
  <si>
    <t>$15000</t>
  </si>
  <si>
    <t>$78</t>
  </si>
  <si>
    <t>$10705</t>
  </si>
  <si>
    <t>4556696236442252</t>
  </si>
  <si>
    <t>4214239191578441</t>
  </si>
  <si>
    <t>$31916</t>
  </si>
  <si>
    <t>4397635828632081</t>
  </si>
  <si>
    <t>4462302223450825</t>
  </si>
  <si>
    <t>5132540732340008</t>
  </si>
  <si>
    <t>$19643</t>
  </si>
  <si>
    <t>4764392547989876</t>
  </si>
  <si>
    <t>$3909</t>
  </si>
  <si>
    <t>4766091276666910</t>
  </si>
  <si>
    <t>$3365</t>
  </si>
  <si>
    <t>4474584531104236</t>
  </si>
  <si>
    <t>$29</t>
  </si>
  <si>
    <t>$14900</t>
  </si>
  <si>
    <t>5540235248298505</t>
  </si>
  <si>
    <t>$4136</t>
  </si>
  <si>
    <t>5453158719013768</t>
  </si>
  <si>
    <t>$15160</t>
  </si>
  <si>
    <t>4181524038316536</t>
  </si>
  <si>
    <t>5998212515012584</t>
  </si>
  <si>
    <t>4833091752929426</t>
  </si>
  <si>
    <t>$21100</t>
  </si>
  <si>
    <t>5416417426288753</t>
  </si>
  <si>
    <t>$4747</t>
  </si>
  <si>
    <t>5195133154490046</t>
  </si>
  <si>
    <t>4119163020411829</t>
  </si>
  <si>
    <t>$11800</t>
  </si>
  <si>
    <t>5194782740689024</t>
  </si>
  <si>
    <t>$23750</t>
  </si>
  <si>
    <t>5966316752263922</t>
  </si>
  <si>
    <t>$7283</t>
  </si>
  <si>
    <t>5943892255232378</t>
  </si>
  <si>
    <t>$9043</t>
  </si>
  <si>
    <t>4640548373982017</t>
  </si>
  <si>
    <t>$4900</t>
  </si>
  <si>
    <t>4655114310829903</t>
  </si>
  <si>
    <t>5098793947794736</t>
  </si>
  <si>
    <t>4419165641059150</t>
  </si>
  <si>
    <t>5988513060276966</t>
  </si>
  <si>
    <t>4425499865708805</t>
  </si>
  <si>
    <t>$22944</t>
  </si>
  <si>
    <t>4210851216153734</t>
  </si>
  <si>
    <t>$15914</t>
  </si>
  <si>
    <t>4068545268912420</t>
  </si>
  <si>
    <t>$16925</t>
  </si>
  <si>
    <t>5618794869367731</t>
  </si>
  <si>
    <t>5016922849464007</t>
  </si>
  <si>
    <t>6451744848809895</t>
  </si>
  <si>
    <t>$15773</t>
  </si>
  <si>
    <t>4056761456617104</t>
  </si>
  <si>
    <t>4554286438711298</t>
  </si>
  <si>
    <t>$30393</t>
  </si>
  <si>
    <t>$5966</t>
  </si>
  <si>
    <t>5047012325844667</t>
  </si>
  <si>
    <t>$19263</t>
  </si>
  <si>
    <t>5833433820016742</t>
  </si>
  <si>
    <t>$10</t>
  </si>
  <si>
    <t>5659072921204165</t>
  </si>
  <si>
    <t>5855208922240897</t>
  </si>
  <si>
    <t>$4100</t>
  </si>
  <si>
    <t>5444994064603121</t>
  </si>
  <si>
    <t>$16319</t>
  </si>
  <si>
    <t>4005162842417313</t>
  </si>
  <si>
    <t>$21955</t>
  </si>
  <si>
    <t>4431266757000306</t>
  </si>
  <si>
    <t>$3400</t>
  </si>
  <si>
    <t>4824475251141291</t>
  </si>
  <si>
    <t>$94</t>
  </si>
  <si>
    <t>5905486726598062</t>
  </si>
  <si>
    <t>$6326</t>
  </si>
  <si>
    <t>5840476864492037</t>
  </si>
  <si>
    <t>4495572757942995</t>
  </si>
  <si>
    <t>$23677</t>
  </si>
  <si>
    <t>4190381537189189</t>
  </si>
  <si>
    <t>5214165168049372</t>
  </si>
  <si>
    <t>$44</t>
  </si>
  <si>
    <t>$23502</t>
  </si>
  <si>
    <t>5659101740652440</t>
  </si>
  <si>
    <t>$49679</t>
  </si>
  <si>
    <t>4698439364398046</t>
  </si>
  <si>
    <t>$45</t>
  </si>
  <si>
    <t>4733347153706598</t>
  </si>
  <si>
    <t>$10982</t>
  </si>
  <si>
    <t>4529699535483304</t>
  </si>
  <si>
    <t>$9708</t>
  </si>
  <si>
    <t>$16350</t>
  </si>
  <si>
    <t>4746520577856918</t>
  </si>
  <si>
    <t>$6700</t>
  </si>
  <si>
    <t>$17000</t>
  </si>
  <si>
    <t>5586713288069328</t>
  </si>
  <si>
    <t>$74</t>
  </si>
  <si>
    <t>$26275</t>
  </si>
  <si>
    <t>5911201546356823</t>
  </si>
  <si>
    <t>$20700</t>
  </si>
  <si>
    <t>$64</t>
  </si>
  <si>
    <t>4525019658850214</t>
  </si>
  <si>
    <t>$20587</t>
  </si>
  <si>
    <t>5503299875661525</t>
  </si>
  <si>
    <t>6845375674595536</t>
  </si>
  <si>
    <t>4544713227326156</t>
  </si>
  <si>
    <t>$17900</t>
  </si>
  <si>
    <t>$16056</t>
  </si>
  <si>
    <t>4025612938343507</t>
  </si>
  <si>
    <t>$15527</t>
  </si>
  <si>
    <t>5743528973419482</t>
  </si>
  <si>
    <t>$33</t>
  </si>
  <si>
    <t>$24602</t>
  </si>
  <si>
    <t>5686764662723286</t>
  </si>
  <si>
    <t>5607389851323321</t>
  </si>
  <si>
    <t>$21692</t>
  </si>
  <si>
    <t>4429857777537289</t>
  </si>
  <si>
    <t>4940531959877089</t>
  </si>
  <si>
    <t>4664388076567373</t>
  </si>
  <si>
    <t>$98</t>
  </si>
  <si>
    <t>5738671537483072</t>
  </si>
  <si>
    <t>$1077</t>
  </si>
  <si>
    <t>5612228528720084</t>
  </si>
  <si>
    <t>$11700</t>
  </si>
  <si>
    <t>5753025722639048</t>
  </si>
  <si>
    <t>$3526</t>
  </si>
  <si>
    <t>5626395550412597</t>
  </si>
  <si>
    <t>$10896</t>
  </si>
  <si>
    <t>5912994287217501</t>
  </si>
  <si>
    <t>$18548</t>
  </si>
  <si>
    <t>4584347378978298</t>
  </si>
  <si>
    <t>5550873515782737</t>
  </si>
  <si>
    <t>$8227</t>
  </si>
  <si>
    <t>4351233548162610</t>
  </si>
  <si>
    <t>$12014</t>
  </si>
  <si>
    <t>5409055666511641</t>
  </si>
  <si>
    <t>5693261287915412</t>
  </si>
  <si>
    <t>$19884</t>
  </si>
  <si>
    <t>5993983094110299</t>
  </si>
  <si>
    <t>$22218</t>
  </si>
  <si>
    <t>5520710322024815</t>
  </si>
  <si>
    <t>4840631262367435</t>
  </si>
  <si>
    <t>4402937579552709</t>
  </si>
  <si>
    <t>$36200</t>
  </si>
  <si>
    <t>$17446</t>
  </si>
  <si>
    <t>4431855128075923</t>
  </si>
  <si>
    <t>$28</t>
  </si>
  <si>
    <t>$26303</t>
  </si>
  <si>
    <t>5131584971414266</t>
  </si>
  <si>
    <t>$14759</t>
  </si>
  <si>
    <t>5207888548617783</t>
  </si>
  <si>
    <t>5858496467111392</t>
  </si>
  <si>
    <t>$1112</t>
  </si>
  <si>
    <t>4603341026600188</t>
  </si>
  <si>
    <t>4668401810025170</t>
  </si>
  <si>
    <t>$22043</t>
  </si>
  <si>
    <t>5408447393977144</t>
  </si>
  <si>
    <t>$10039</t>
  </si>
  <si>
    <t>5903210987711411</t>
  </si>
  <si>
    <t>$12068</t>
  </si>
  <si>
    <t>5773517601936211</t>
  </si>
  <si>
    <t>$25693</t>
  </si>
  <si>
    <t>5104427511153647</t>
  </si>
  <si>
    <t>5269665726380864</t>
  </si>
  <si>
    <t>4077302487318693</t>
  </si>
  <si>
    <t>$47</t>
  </si>
  <si>
    <t>$13300</t>
  </si>
  <si>
    <t>$19211</t>
  </si>
  <si>
    <t>5966550024798424</t>
  </si>
  <si>
    <t>$1559</t>
  </si>
  <si>
    <t>$15847</t>
  </si>
  <si>
    <t>4290693805811514</t>
  </si>
  <si>
    <t>5446786190259541</t>
  </si>
  <si>
    <t>$13529</t>
  </si>
  <si>
    <t>5737194797232030</t>
  </si>
  <si>
    <t>$25579</t>
  </si>
  <si>
    <t>4400720809625437</t>
  </si>
  <si>
    <t>4006144248025423</t>
  </si>
  <si>
    <t>$70</t>
  </si>
  <si>
    <t>$21619</t>
  </si>
  <si>
    <t>4820068957704858</t>
  </si>
  <si>
    <t>4146154993993961</t>
  </si>
  <si>
    <t>5863465955533497</t>
  </si>
  <si>
    <t>4641536059627815</t>
  </si>
  <si>
    <t>6037017552543620</t>
  </si>
  <si>
    <t>$9082</t>
  </si>
  <si>
    <t>5424759091285905</t>
  </si>
  <si>
    <t>4237390837653269</t>
  </si>
  <si>
    <t>$3973</t>
  </si>
  <si>
    <t>4384381555415272</t>
  </si>
  <si>
    <t>$19900</t>
  </si>
  <si>
    <t>$20900</t>
  </si>
  <si>
    <t>$17355</t>
  </si>
  <si>
    <t>4744550421746165</t>
  </si>
  <si>
    <t>5423464464264600</t>
  </si>
  <si>
    <t>$12695</t>
  </si>
  <si>
    <t>5680156886098555</t>
  </si>
  <si>
    <t>$116</t>
  </si>
  <si>
    <t>4454985129050191</t>
  </si>
  <si>
    <t>5664342346978782</t>
  </si>
  <si>
    <t>$12186</t>
  </si>
  <si>
    <t>4525502702319981</t>
  </si>
  <si>
    <t>5413639113191403</t>
  </si>
  <si>
    <t>5278231764792292</t>
  </si>
  <si>
    <t>$20114</t>
  </si>
  <si>
    <t>4411367352091205</t>
  </si>
  <si>
    <t>5119325503441474</t>
  </si>
  <si>
    <t>5935629380160008</t>
  </si>
  <si>
    <t>$17432</t>
  </si>
  <si>
    <t>4338567970725039</t>
  </si>
  <si>
    <t>$12899</t>
  </si>
  <si>
    <t>5253561686917610</t>
  </si>
  <si>
    <t>4812182592435267</t>
  </si>
  <si>
    <t>$4140</t>
  </si>
  <si>
    <t>4011874239423525</t>
  </si>
  <si>
    <t>$26255</t>
  </si>
  <si>
    <t>4762069063483783</t>
  </si>
  <si>
    <t>4806703657992318</t>
  </si>
  <si>
    <t>$22234</t>
  </si>
  <si>
    <t>5545102087160727</t>
  </si>
  <si>
    <t>5717740258290130</t>
  </si>
  <si>
    <t>$11608</t>
  </si>
  <si>
    <t>4689169737232285</t>
  </si>
  <si>
    <t>5673928924089109</t>
  </si>
  <si>
    <t>5116834896067442</t>
  </si>
  <si>
    <t>$13800</t>
  </si>
  <si>
    <t>$43186</t>
  </si>
  <si>
    <t>4887374207803058</t>
  </si>
  <si>
    <t>5318920143610643</t>
  </si>
  <si>
    <t>4265738429688779</t>
  </si>
  <si>
    <t>6066458178590339</t>
  </si>
  <si>
    <t>4108680950969751</t>
  </si>
  <si>
    <t>$18744</t>
  </si>
  <si>
    <t>4214048661117547</t>
  </si>
  <si>
    <t>$4400</t>
  </si>
  <si>
    <t>4072857770457665</t>
  </si>
  <si>
    <t>$16227</t>
  </si>
  <si>
    <t>4145833750383667</t>
  </si>
  <si>
    <t>5793881452789121</t>
  </si>
  <si>
    <t>5535901079667192</t>
  </si>
  <si>
    <t>5337242427884909</t>
  </si>
  <si>
    <t>4093550614245542</t>
  </si>
  <si>
    <t>$17717</t>
  </si>
  <si>
    <t>5365244955303244</t>
  </si>
  <si>
    <t>$22648</t>
  </si>
  <si>
    <t>4646403746633735</t>
  </si>
  <si>
    <t>$9279</t>
  </si>
  <si>
    <t>5595112515226586</t>
  </si>
  <si>
    <t>5675120465436915</t>
  </si>
  <si>
    <t>$20134</t>
  </si>
  <si>
    <t>4808189634285184</t>
  </si>
  <si>
    <t>6640823761249853</t>
  </si>
  <si>
    <t>$64321</t>
  </si>
  <si>
    <t>5360731476529064</t>
  </si>
  <si>
    <t>$77</t>
  </si>
  <si>
    <t>$16769</t>
  </si>
  <si>
    <t>5063833404835994</t>
  </si>
  <si>
    <t>$1680</t>
  </si>
  <si>
    <t>5351705189279027</t>
  </si>
  <si>
    <t>5808136548740017</t>
  </si>
  <si>
    <t>$2670</t>
  </si>
  <si>
    <t>4058050157220596</t>
  </si>
  <si>
    <t>$4087</t>
  </si>
  <si>
    <t>4236028748423167</t>
  </si>
  <si>
    <t>$61407</t>
  </si>
  <si>
    <t>5550802323458257</t>
  </si>
  <si>
    <t>4820966230615076</t>
  </si>
  <si>
    <t>$14708</t>
  </si>
  <si>
    <t>4915076647608173</t>
  </si>
  <si>
    <t>$20677</t>
  </si>
  <si>
    <t>5021195779307065</t>
  </si>
  <si>
    <t>$9418</t>
  </si>
  <si>
    <t>$8427</t>
  </si>
  <si>
    <t>4887547650218596</t>
  </si>
  <si>
    <t>$10670</t>
  </si>
  <si>
    <t>5479439443272548</t>
  </si>
  <si>
    <t>4177638630189991</t>
  </si>
  <si>
    <t>$20962</t>
  </si>
  <si>
    <t>4276460060200386</t>
  </si>
  <si>
    <t>$11912</t>
  </si>
  <si>
    <t>4939717188461311</t>
  </si>
  <si>
    <t>$33028</t>
  </si>
  <si>
    <t>4573117764811951</t>
  </si>
  <si>
    <t>$5618</t>
  </si>
  <si>
    <t>5718188955977060</t>
  </si>
  <si>
    <t>$11265</t>
  </si>
  <si>
    <t>4808969144268435</t>
  </si>
  <si>
    <t>4945782637783655</t>
  </si>
  <si>
    <t>$3313</t>
  </si>
  <si>
    <t>5837070772426672</t>
  </si>
  <si>
    <t>$17400</t>
  </si>
  <si>
    <t>$9171</t>
  </si>
  <si>
    <t>5855071426646203</t>
  </si>
  <si>
    <t>$318</t>
  </si>
  <si>
    <t>4913448302190851</t>
  </si>
  <si>
    <t>$31</t>
  </si>
  <si>
    <t>5119564246293765</t>
  </si>
  <si>
    <t>4766664432411893</t>
  </si>
  <si>
    <t>$6824</t>
  </si>
  <si>
    <t>5683833994969618</t>
  </si>
  <si>
    <t>4711760668874166</t>
  </si>
  <si>
    <t>$17360</t>
  </si>
  <si>
    <t>5828285674944288</t>
  </si>
  <si>
    <t>$14670</t>
  </si>
  <si>
    <t>5172118224009293</t>
  </si>
  <si>
    <t>$18270</t>
  </si>
  <si>
    <t>4529536293051711</t>
  </si>
  <si>
    <t>4249622290515029</t>
  </si>
  <si>
    <t>$30891</t>
  </si>
  <si>
    <t>4651206649559689</t>
  </si>
  <si>
    <t>$17804</t>
  </si>
  <si>
    <t>$72274</t>
  </si>
  <si>
    <t>5795522328185876</t>
  </si>
  <si>
    <t>$7452</t>
  </si>
  <si>
    <t>4680771406185126</t>
  </si>
  <si>
    <t>4651180699756033</t>
  </si>
  <si>
    <t>4565836303791159</t>
  </si>
  <si>
    <t>$24389</t>
  </si>
  <si>
    <t>4354373957390483</t>
  </si>
  <si>
    <t>4919539941598159</t>
  </si>
  <si>
    <t>$18048</t>
  </si>
  <si>
    <t>4417073426918706</t>
  </si>
  <si>
    <t>5058598107512732</t>
  </si>
  <si>
    <t>$2944</t>
  </si>
  <si>
    <t>4548788317386784</t>
  </si>
  <si>
    <t>$19578</t>
  </si>
  <si>
    <t>5935282226409440</t>
  </si>
  <si>
    <t>$1269</t>
  </si>
  <si>
    <t>4386430445774428</t>
  </si>
  <si>
    <t>$21434</t>
  </si>
  <si>
    <t>5683839446492033</t>
  </si>
  <si>
    <t>$13523</t>
  </si>
  <si>
    <t>5604394692366741</t>
  </si>
  <si>
    <t>$24876</t>
  </si>
  <si>
    <t>4237044992015683</t>
  </si>
  <si>
    <t>$5029</t>
  </si>
  <si>
    <t>5488012775349767</t>
  </si>
  <si>
    <t>4008657278264133</t>
  </si>
  <si>
    <t>4521242827079498</t>
  </si>
  <si>
    <t>6707808786309873</t>
  </si>
  <si>
    <t>$19948</t>
  </si>
  <si>
    <t>5889825928297675</t>
  </si>
  <si>
    <t>$9777</t>
  </si>
  <si>
    <t>5802694499966898</t>
  </si>
  <si>
    <t>$8280</t>
  </si>
  <si>
    <t>4827129780511983</t>
  </si>
  <si>
    <t>$20838</t>
  </si>
  <si>
    <t>5322366368652292</t>
  </si>
  <si>
    <t>$2851</t>
  </si>
  <si>
    <t>4038689742921264</t>
  </si>
  <si>
    <t>$16857</t>
  </si>
  <si>
    <t>4988009818611006</t>
  </si>
  <si>
    <t>$13831</t>
  </si>
  <si>
    <t>5134582028672733</t>
  </si>
  <si>
    <t>$41040</t>
  </si>
  <si>
    <t>5534546903363095</t>
  </si>
  <si>
    <t>$23100</t>
  </si>
  <si>
    <t>$21200</t>
  </si>
  <si>
    <t>$115</t>
  </si>
  <si>
    <t>5893866156194799</t>
  </si>
  <si>
    <t>$20475</t>
  </si>
  <si>
    <t>4138363239181107</t>
  </si>
  <si>
    <t>4840341118663097</t>
  </si>
  <si>
    <t>$24300</t>
  </si>
  <si>
    <t>4304215035213802</t>
  </si>
  <si>
    <t>4010376046923246</t>
  </si>
  <si>
    <t>5298746204483252</t>
  </si>
  <si>
    <t>5974769461650566</t>
  </si>
  <si>
    <t>$15416</t>
  </si>
  <si>
    <t>$5752</t>
  </si>
  <si>
    <t>4361605243954258</t>
  </si>
  <si>
    <t>4773629437759091</t>
  </si>
  <si>
    <t>$12738</t>
  </si>
  <si>
    <t>5197164080750347</t>
  </si>
  <si>
    <t>$41713</t>
  </si>
  <si>
    <t>4012324054921748</t>
  </si>
  <si>
    <t>4395456828660430</t>
  </si>
  <si>
    <t>$27290</t>
  </si>
  <si>
    <t>5633930742392356</t>
  </si>
  <si>
    <t>6994498161251218</t>
  </si>
  <si>
    <t>$17431</t>
  </si>
  <si>
    <t>4342002053844654</t>
  </si>
  <si>
    <t>4814923765143603</t>
  </si>
  <si>
    <t>$13</t>
  </si>
  <si>
    <t>$14802</t>
  </si>
  <si>
    <t>5874992802287595</t>
  </si>
  <si>
    <t>$18373</t>
  </si>
  <si>
    <t>4628407111158555</t>
  </si>
  <si>
    <t>$14213</t>
  </si>
  <si>
    <t>$16094</t>
  </si>
  <si>
    <t>4308765406643901</t>
  </si>
  <si>
    <t>5000442144363524</t>
  </si>
  <si>
    <t>4329819283337925</t>
  </si>
  <si>
    <t>6955304802437571</t>
  </si>
  <si>
    <t>$11573</t>
  </si>
  <si>
    <t>4376981113186962</t>
  </si>
  <si>
    <t>5503241746944920</t>
  </si>
  <si>
    <t>4405672576511692</t>
  </si>
  <si>
    <t>4051794996672546</t>
  </si>
  <si>
    <t>5263958724423367</t>
  </si>
  <si>
    <t>6544507337530475</t>
  </si>
  <si>
    <t>4127768354829504</t>
  </si>
  <si>
    <t>5557818075031918</t>
  </si>
  <si>
    <t>$15277</t>
  </si>
  <si>
    <t>4828053261714296</t>
  </si>
  <si>
    <t>$13342</t>
  </si>
  <si>
    <t>4526531668861041</t>
  </si>
  <si>
    <t>4997594823384918</t>
  </si>
  <si>
    <t>$46</t>
  </si>
  <si>
    <t>4942437694778245</t>
  </si>
  <si>
    <t>$22132</t>
  </si>
  <si>
    <t>5892815616421272</t>
  </si>
  <si>
    <t>4905889899631048</t>
  </si>
  <si>
    <t>$12157</t>
  </si>
  <si>
    <t>5090352145878323</t>
  </si>
  <si>
    <t>$840</t>
  </si>
  <si>
    <t>4072906383807827</t>
  </si>
  <si>
    <t>$22742</t>
  </si>
  <si>
    <t>5342017674521143</t>
  </si>
  <si>
    <t>$8702</t>
  </si>
  <si>
    <t>4348922167384229</t>
  </si>
  <si>
    <t>$21594</t>
  </si>
  <si>
    <t>4003397958786978</t>
  </si>
  <si>
    <t>$16479</t>
  </si>
  <si>
    <t>4061650049353084</t>
  </si>
  <si>
    <t>$4009</t>
  </si>
  <si>
    <t>4456142342115909</t>
  </si>
  <si>
    <t>$8661</t>
  </si>
  <si>
    <t>5514582408709018</t>
  </si>
  <si>
    <t>4841317910712429</t>
  </si>
  <si>
    <t>4086497597276972</t>
  </si>
  <si>
    <t>$10196</t>
  </si>
  <si>
    <t>5149907991090612</t>
  </si>
  <si>
    <t>4821644277167168</t>
  </si>
  <si>
    <t>$11163</t>
  </si>
  <si>
    <t>5734847771716584</t>
  </si>
  <si>
    <t>$66779</t>
  </si>
  <si>
    <t>5656999344150658</t>
  </si>
  <si>
    <t>$14733</t>
  </si>
  <si>
    <t>5195862758999591</t>
  </si>
  <si>
    <t>$21225</t>
  </si>
  <si>
    <t>5562768142811109</t>
  </si>
  <si>
    <t>$19670</t>
  </si>
  <si>
    <t>5515747009144505</t>
  </si>
  <si>
    <t>$24900</t>
  </si>
  <si>
    <t>4944959860713657</t>
  </si>
  <si>
    <t>$2121</t>
  </si>
  <si>
    <t>4639713693974383</t>
  </si>
  <si>
    <t>$3966</t>
  </si>
  <si>
    <t>5873966669352213</t>
  </si>
  <si>
    <t>4142865741084776</t>
  </si>
  <si>
    <t>$39080</t>
  </si>
  <si>
    <t>5940949386888214</t>
  </si>
  <si>
    <t>$21611</t>
  </si>
  <si>
    <t>5621630163698126</t>
  </si>
  <si>
    <t>5024975183096428</t>
  </si>
  <si>
    <t>5023362294953907</t>
  </si>
  <si>
    <t>5243874409265567</t>
  </si>
  <si>
    <t>5336536496743892</t>
  </si>
  <si>
    <t>$79717</t>
  </si>
  <si>
    <t>5098870349133203</t>
  </si>
  <si>
    <t>4299314704025381</t>
  </si>
  <si>
    <t>$2778</t>
  </si>
  <si>
    <t>5328768325200248</t>
  </si>
  <si>
    <t>4858459431343518</t>
  </si>
  <si>
    <t>4291878920009873</t>
  </si>
  <si>
    <t>$22310</t>
  </si>
  <si>
    <t>$33390</t>
  </si>
  <si>
    <t>4137249838027633</t>
  </si>
  <si>
    <t>$23996</t>
  </si>
  <si>
    <t>5881679887889712</t>
  </si>
  <si>
    <t>$24068</t>
  </si>
  <si>
    <t>5518456077758792</t>
  </si>
  <si>
    <t>$12102</t>
  </si>
  <si>
    <t>5329313809426347</t>
  </si>
  <si>
    <t>$14269</t>
  </si>
  <si>
    <t>5481725798944325</t>
  </si>
  <si>
    <t>5932488176672897</t>
  </si>
  <si>
    <t>5775614858102647</t>
  </si>
  <si>
    <t>$3000</t>
  </si>
  <si>
    <t>$26678</t>
  </si>
  <si>
    <t>5792572397689305</t>
  </si>
  <si>
    <t>5839969091471132</t>
  </si>
  <si>
    <t>5956371730449671</t>
  </si>
  <si>
    <t>$1500</t>
  </si>
  <si>
    <t>4868914806629263</t>
  </si>
  <si>
    <t>$24432</t>
  </si>
  <si>
    <t>5783091385721120</t>
  </si>
  <si>
    <t>5658431484394884</t>
  </si>
  <si>
    <t>$23631</t>
  </si>
  <si>
    <t>4870854561726482</t>
  </si>
  <si>
    <t>$21359</t>
  </si>
  <si>
    <t>5477468554443618</t>
  </si>
  <si>
    <t>5388336417003781</t>
  </si>
  <si>
    <t>$32071</t>
  </si>
  <si>
    <t>4001532089642118</t>
  </si>
  <si>
    <t>$16279</t>
  </si>
  <si>
    <t>5535701151074664</t>
  </si>
  <si>
    <t>$27243</t>
  </si>
  <si>
    <t>5586398791957987</t>
  </si>
  <si>
    <t>$2700</t>
  </si>
  <si>
    <t>6553992478482052</t>
  </si>
  <si>
    <t>$33833</t>
  </si>
  <si>
    <t>5102512406568371</t>
  </si>
  <si>
    <t>5671490114250433</t>
  </si>
  <si>
    <t>5899977049289049</t>
  </si>
  <si>
    <t>$10369</t>
  </si>
  <si>
    <t>5516369728570927</t>
  </si>
  <si>
    <t>$32399</t>
  </si>
  <si>
    <t>5745960951909793</t>
  </si>
  <si>
    <t>$9632</t>
  </si>
  <si>
    <t>5521656165067355</t>
  </si>
  <si>
    <t>5461501204746611</t>
  </si>
  <si>
    <t>$6497</t>
  </si>
  <si>
    <t>5819953308753509</t>
  </si>
  <si>
    <t>$41</t>
  </si>
  <si>
    <t>5620630869634949</t>
  </si>
  <si>
    <t>5356595125371375</t>
  </si>
  <si>
    <t>4867749358306187</t>
  </si>
  <si>
    <t>$14835</t>
  </si>
  <si>
    <t>5796942838820076</t>
  </si>
  <si>
    <t>4133581250475930</t>
  </si>
  <si>
    <t>5548793272738670</t>
  </si>
  <si>
    <t>$5836</t>
  </si>
  <si>
    <t>5826135241607424</t>
  </si>
  <si>
    <t>4539993816741443</t>
  </si>
  <si>
    <t>5644009999089881</t>
  </si>
  <si>
    <t>$10427</t>
  </si>
  <si>
    <t>5305112976234173</t>
  </si>
  <si>
    <t>$32659</t>
  </si>
  <si>
    <t>4357162101921894</t>
  </si>
  <si>
    <t>$26534</t>
  </si>
  <si>
    <t>5543612189896625</t>
  </si>
  <si>
    <t>$22868</t>
  </si>
  <si>
    <t>5938238674613511</t>
  </si>
  <si>
    <t>$19286</t>
  </si>
  <si>
    <t>5776578098565133</t>
  </si>
  <si>
    <t>5084890972780156</t>
  </si>
  <si>
    <t>4176536655394795</t>
  </si>
  <si>
    <t>$20582</t>
  </si>
  <si>
    <t>4492886045960839</t>
  </si>
  <si>
    <t>4319140159818945</t>
  </si>
  <si>
    <t>5098820482811220</t>
  </si>
  <si>
    <t>$22200</t>
  </si>
  <si>
    <t>4704183403153635</t>
  </si>
  <si>
    <t>$15781</t>
  </si>
  <si>
    <t>5467709707043932</t>
  </si>
  <si>
    <t>5909422442877722</t>
  </si>
  <si>
    <t>$62317</t>
  </si>
  <si>
    <t>5888304398785419</t>
  </si>
  <si>
    <t>4743530458676223</t>
  </si>
  <si>
    <t>$19238</t>
  </si>
  <si>
    <t>5896034364726407</t>
  </si>
  <si>
    <t>$17954</t>
  </si>
  <si>
    <t>4387900091455994</t>
  </si>
  <si>
    <t>$21794</t>
  </si>
  <si>
    <t>5364678125237327</t>
  </si>
  <si>
    <t>$8970</t>
  </si>
  <si>
    <t>5556324903959052</t>
  </si>
  <si>
    <t>5230200235683632</t>
  </si>
  <si>
    <t>6667487813805784</t>
  </si>
  <si>
    <t>$14820</t>
  </si>
  <si>
    <t>5580797323399612</t>
  </si>
  <si>
    <t>4064761360050851</t>
  </si>
  <si>
    <t>5762124532464441</t>
  </si>
  <si>
    <t>$19500</t>
  </si>
  <si>
    <t>5703701005597044</t>
  </si>
  <si>
    <t>4234128216675939</t>
  </si>
  <si>
    <t>$14133</t>
  </si>
  <si>
    <t>5279713794719682</t>
  </si>
  <si>
    <t>$16717</t>
  </si>
  <si>
    <t>4983985291771434</t>
  </si>
  <si>
    <t>4096118201118127</t>
  </si>
  <si>
    <t>4785359212322716</t>
  </si>
  <si>
    <t>$16369</t>
  </si>
  <si>
    <t>4744997343013972</t>
  </si>
  <si>
    <t>$24819</t>
  </si>
  <si>
    <t>5206583278012757</t>
  </si>
  <si>
    <t>$30298</t>
  </si>
  <si>
    <t>4575911077034923</t>
  </si>
  <si>
    <t>5882324108899621</t>
  </si>
  <si>
    <t>$35500</t>
  </si>
  <si>
    <t>5464649664950051</t>
  </si>
  <si>
    <t>$12257</t>
  </si>
  <si>
    <t>5145532394563662</t>
  </si>
  <si>
    <t>$46184</t>
  </si>
  <si>
    <t>5610743457688598</t>
  </si>
  <si>
    <t>$20300</t>
  </si>
  <si>
    <t>5419421476993334</t>
  </si>
  <si>
    <t>$40384</t>
  </si>
  <si>
    <t>4420834293443756</t>
  </si>
  <si>
    <t>$34063</t>
  </si>
  <si>
    <t>4543954544652846</t>
  </si>
  <si>
    <t>5441697353641069</t>
  </si>
  <si>
    <t>$24</t>
  </si>
  <si>
    <t>$15741</t>
  </si>
  <si>
    <t>5355282965831676</t>
  </si>
  <si>
    <t>$13218</t>
  </si>
  <si>
    <t>5679878136345109</t>
  </si>
  <si>
    <t>4116719519692656</t>
  </si>
  <si>
    <t>4081281007922347</t>
  </si>
  <si>
    <t>4934752965828835</t>
  </si>
  <si>
    <t>$33605</t>
  </si>
  <si>
    <t>4627841905437269</t>
  </si>
  <si>
    <t>$33900</t>
  </si>
  <si>
    <t>4542762527059522</t>
  </si>
  <si>
    <t>5000790097162084</t>
  </si>
  <si>
    <t>4870869234867987</t>
  </si>
  <si>
    <t>$21883</t>
  </si>
  <si>
    <t>4657824650820465</t>
  </si>
  <si>
    <t>$12838</t>
  </si>
  <si>
    <t>4404843838323846</t>
  </si>
  <si>
    <t>5034815911594023</t>
  </si>
  <si>
    <t>$14892</t>
  </si>
  <si>
    <t>5911728602130706</t>
  </si>
  <si>
    <t>$674</t>
  </si>
  <si>
    <t>5338290960851838</t>
  </si>
  <si>
    <t>4709797841612622</t>
  </si>
  <si>
    <t>5210580835995043</t>
  </si>
  <si>
    <t>$1862</t>
  </si>
  <si>
    <t>4468428983030588</t>
  </si>
  <si>
    <t>5916703381443047</t>
  </si>
  <si>
    <t>4756798568797972</t>
  </si>
  <si>
    <t>$33306</t>
  </si>
  <si>
    <t>4470881135036524</t>
  </si>
  <si>
    <t>4572295668772647</t>
  </si>
  <si>
    <t>$20576</t>
  </si>
  <si>
    <t>5613716530357430</t>
  </si>
  <si>
    <t>$19</t>
  </si>
  <si>
    <t>5638069209131411</t>
  </si>
  <si>
    <t>$18856</t>
  </si>
  <si>
    <t>5158576738638750</t>
  </si>
  <si>
    <t>4715313292165013</t>
  </si>
  <si>
    <t>$22077</t>
  </si>
  <si>
    <t>4587404224170420</t>
  </si>
  <si>
    <t>4578018721325736</t>
  </si>
  <si>
    <t>4947659638273192</t>
  </si>
  <si>
    <t>6177133816659183</t>
  </si>
  <si>
    <t>$32922</t>
  </si>
  <si>
    <t>4324511886426075</t>
  </si>
  <si>
    <t>$20779</t>
  </si>
  <si>
    <t>4627972690876314</t>
  </si>
  <si>
    <t>4225269665088003</t>
  </si>
  <si>
    <t>$644</t>
  </si>
  <si>
    <t>4013113950319148</t>
  </si>
  <si>
    <t>4594854252534733</t>
  </si>
  <si>
    <t>5419249022493269</t>
  </si>
  <si>
    <t>5029029711457489</t>
  </si>
  <si>
    <t>$33150</t>
  </si>
  <si>
    <t>5249605791833255</t>
  </si>
  <si>
    <t>4044367850806597</t>
  </si>
  <si>
    <t>$16513</t>
  </si>
  <si>
    <t>4195281570309951</t>
  </si>
  <si>
    <t>6747626667389446</t>
  </si>
  <si>
    <t>5841671678505474</t>
  </si>
  <si>
    <t>5450745036208911</t>
  </si>
  <si>
    <t>4477489362734994</t>
  </si>
  <si>
    <t>$30039</t>
  </si>
  <si>
    <t>4905345487591741</t>
  </si>
  <si>
    <t>4612008256325596</t>
  </si>
  <si>
    <t>5890249738384583</t>
  </si>
  <si>
    <t>4395042092797759</t>
  </si>
  <si>
    <t>$15579</t>
  </si>
  <si>
    <t>5377432030711908</t>
  </si>
  <si>
    <t>5346535957222087</t>
  </si>
  <si>
    <t>$15158</t>
  </si>
  <si>
    <t>4476982543719366</t>
  </si>
  <si>
    <t>$17280</t>
  </si>
  <si>
    <t>4212262433992065</t>
  </si>
  <si>
    <t>$42218</t>
  </si>
  <si>
    <t>4042421261212789</t>
  </si>
  <si>
    <t>5786727394117638</t>
  </si>
  <si>
    <t>$10199</t>
  </si>
  <si>
    <t>5169449886762703</t>
  </si>
  <si>
    <t>$7139</t>
  </si>
  <si>
    <t>5513976299775159</t>
  </si>
  <si>
    <t>4295673364937234</t>
  </si>
  <si>
    <t>4684695086265308</t>
  </si>
  <si>
    <t>4664728417615626</t>
  </si>
  <si>
    <t>$10522</t>
  </si>
  <si>
    <t>5421616899749760</t>
  </si>
  <si>
    <t>$200</t>
  </si>
  <si>
    <t>5279484044685392</t>
  </si>
  <si>
    <t>$23039</t>
  </si>
  <si>
    <t>5279503639469023</t>
  </si>
  <si>
    <t>4520782324393284</t>
  </si>
  <si>
    <t>5175111743032898</t>
  </si>
  <si>
    <t>$29674</t>
  </si>
  <si>
    <t>5961241054000885</t>
  </si>
  <si>
    <t>4009703334177340</t>
  </si>
  <si>
    <t>$5158</t>
  </si>
  <si>
    <t>5795511997395934</t>
  </si>
  <si>
    <t>$35148</t>
  </si>
  <si>
    <t>4600575353397286</t>
  </si>
  <si>
    <t>5301525411053274</t>
  </si>
  <si>
    <t>$25080</t>
  </si>
  <si>
    <t>5438397481754732</t>
  </si>
  <si>
    <t>$13857</t>
  </si>
  <si>
    <t>5640299040746333</t>
  </si>
  <si>
    <t>4249186321078698</t>
  </si>
  <si>
    <t>5873879871800491</t>
  </si>
  <si>
    <t>5114662442047901</t>
  </si>
  <si>
    <t>$12035</t>
  </si>
  <si>
    <t>5297814036761845</t>
  </si>
  <si>
    <t>$24600</t>
  </si>
  <si>
    <t>5313764903937416</t>
  </si>
  <si>
    <t>$2066</t>
  </si>
  <si>
    <t>5860197030769935</t>
  </si>
  <si>
    <t>4382384960777396</t>
  </si>
  <si>
    <t>$19185</t>
  </si>
  <si>
    <t>5986665930699666</t>
  </si>
  <si>
    <t>5654819097107073</t>
  </si>
  <si>
    <t>5548555538116203</t>
  </si>
  <si>
    <t>5231421564510111</t>
  </si>
  <si>
    <t>5070468758051891</t>
  </si>
  <si>
    <t>4838655730073777</t>
  </si>
  <si>
    <t>$13417</t>
  </si>
  <si>
    <t>5188366223912130</t>
  </si>
  <si>
    <t>5171844589281134</t>
  </si>
  <si>
    <t>$23716</t>
  </si>
  <si>
    <t>5708163356892632</t>
  </si>
  <si>
    <t>$30242</t>
  </si>
  <si>
    <t>4654267845248719</t>
  </si>
  <si>
    <t>$14420</t>
  </si>
  <si>
    <t>4263037313230472</t>
  </si>
  <si>
    <t>5536825392398622</t>
  </si>
  <si>
    <t>4934996934968532</t>
  </si>
  <si>
    <t>$12057</t>
  </si>
  <si>
    <t>4071490746118665</t>
  </si>
  <si>
    <t>4609674436334775</t>
  </si>
  <si>
    <t>$37002</t>
  </si>
  <si>
    <t>5083490519087277</t>
  </si>
  <si>
    <t>$15895</t>
  </si>
  <si>
    <t>5103357334539485</t>
  </si>
  <si>
    <t>$10686</t>
  </si>
  <si>
    <t>4146173833591127</t>
  </si>
  <si>
    <t>$1738</t>
  </si>
  <si>
    <t>5998541932516719</t>
  </si>
  <si>
    <t>$20549</t>
  </si>
  <si>
    <t>4891248998438646</t>
  </si>
  <si>
    <t>$15023</t>
  </si>
  <si>
    <t>5593047322938366</t>
  </si>
  <si>
    <t>$15328</t>
  </si>
  <si>
    <t>4064511982908640</t>
  </si>
  <si>
    <t>5437743244958188</t>
  </si>
  <si>
    <t>$7221</t>
  </si>
  <si>
    <t>5360341319255168</t>
  </si>
  <si>
    <t>$17082</t>
  </si>
  <si>
    <t>4840372814737208</t>
  </si>
  <si>
    <t>$12116</t>
  </si>
  <si>
    <t>4514571438412414</t>
  </si>
  <si>
    <t>$12589</t>
  </si>
  <si>
    <t>4566018104845496</t>
  </si>
  <si>
    <t>5876773249686695</t>
  </si>
  <si>
    <t>$19991</t>
  </si>
  <si>
    <t>5283951994405151</t>
  </si>
  <si>
    <t>$14156</t>
  </si>
  <si>
    <t>5903118148557393</t>
  </si>
  <si>
    <t>$34385</t>
  </si>
  <si>
    <t>5039380212110238</t>
  </si>
  <si>
    <t>5515026771729881</t>
  </si>
  <si>
    <t>$25121</t>
  </si>
  <si>
    <t>5313945757861658</t>
  </si>
  <si>
    <t>$64613</t>
  </si>
  <si>
    <t>4025546651211985</t>
  </si>
  <si>
    <t>6491563889949652</t>
  </si>
  <si>
    <t>$18092</t>
  </si>
  <si>
    <t>5792661772040761</t>
  </si>
  <si>
    <t>5618482408174959</t>
  </si>
  <si>
    <t>$14295</t>
  </si>
  <si>
    <t>5539431041002735</t>
  </si>
  <si>
    <t>$17897</t>
  </si>
  <si>
    <t>5965680471968381</t>
  </si>
  <si>
    <t>$26251</t>
  </si>
  <si>
    <t>5037135277339675</t>
  </si>
  <si>
    <t>$19636</t>
  </si>
  <si>
    <t>4304585079155855</t>
  </si>
  <si>
    <t>4686786422368480</t>
  </si>
  <si>
    <t>$28717</t>
  </si>
  <si>
    <t>4823239404534030</t>
  </si>
  <si>
    <t>$18022</t>
  </si>
  <si>
    <t>5610324213392857</t>
  </si>
  <si>
    <t>$14813</t>
  </si>
  <si>
    <t>4836727908429089</t>
  </si>
  <si>
    <t>4509891646969778</t>
  </si>
  <si>
    <t>6129847719830710</t>
  </si>
  <si>
    <t>$5857</t>
  </si>
  <si>
    <t>$72868</t>
  </si>
  <si>
    <t>5040077771754434</t>
  </si>
  <si>
    <t>4190870670928435</t>
  </si>
  <si>
    <t>4412629636683083</t>
  </si>
  <si>
    <t>$23</t>
  </si>
  <si>
    <t>5683429952038146</t>
  </si>
  <si>
    <t>$13019</t>
  </si>
  <si>
    <t>5611435574657615</t>
  </si>
  <si>
    <t>5118544604271729</t>
  </si>
  <si>
    <t>$12925</t>
  </si>
  <si>
    <t>5079585270593856</t>
  </si>
  <si>
    <t>$19882</t>
  </si>
  <si>
    <t>4826493105617247</t>
  </si>
  <si>
    <t>4015655705133748</t>
  </si>
  <si>
    <t>5856087823647751</t>
  </si>
  <si>
    <t>5366433748394946</t>
  </si>
  <si>
    <t>$61100</t>
  </si>
  <si>
    <t>4860334220798378</t>
  </si>
  <si>
    <t>$57200</t>
  </si>
  <si>
    <t>4008696033204121</t>
  </si>
  <si>
    <t>$16202</t>
  </si>
  <si>
    <t>4669977836863167</t>
  </si>
  <si>
    <t>$8989</t>
  </si>
  <si>
    <t>4159082277360922</t>
  </si>
  <si>
    <t>4272312295078550</t>
  </si>
  <si>
    <t>4729190647946641</t>
  </si>
  <si>
    <t>4634294164066043</t>
  </si>
  <si>
    <t>5315223005212889</t>
  </si>
  <si>
    <t>$14168</t>
  </si>
  <si>
    <t>5422957944601642</t>
  </si>
  <si>
    <t>$14418</t>
  </si>
  <si>
    <t>5318873508559141</t>
  </si>
  <si>
    <t>$48003</t>
  </si>
  <si>
    <t>5422337679062478</t>
  </si>
  <si>
    <t>5412046613062340</t>
  </si>
  <si>
    <t>$11018</t>
  </si>
  <si>
    <t>5898279833645788</t>
  </si>
  <si>
    <t>$3472</t>
  </si>
  <si>
    <t>4256933161358353</t>
  </si>
  <si>
    <t>4372177587368958</t>
  </si>
  <si>
    <t>5019514365242810</t>
  </si>
  <si>
    <t>$23403</t>
  </si>
  <si>
    <t>5496405569223399</t>
  </si>
  <si>
    <t>5147465861467114</t>
  </si>
  <si>
    <t>4907163278067635</t>
  </si>
  <si>
    <t>5810850276328483</t>
  </si>
  <si>
    <t>$29925</t>
  </si>
  <si>
    <t>4756400836306008</t>
  </si>
  <si>
    <t>4619139517493572</t>
  </si>
  <si>
    <t>6262934801438359</t>
  </si>
  <si>
    <t>$7767</t>
  </si>
  <si>
    <t>5219464488355605</t>
  </si>
  <si>
    <t>5778432883626952</t>
  </si>
  <si>
    <t>5387845577295005</t>
  </si>
  <si>
    <t>$4201</t>
  </si>
  <si>
    <t>4771002709933864</t>
  </si>
  <si>
    <t>5744439609691204</t>
  </si>
  <si>
    <t>$27520</t>
  </si>
  <si>
    <t>4980412921853275</t>
  </si>
  <si>
    <t>5710956185196347</t>
  </si>
  <si>
    <t>$3843</t>
  </si>
  <si>
    <t>5907512722234563</t>
  </si>
  <si>
    <t>$22112</t>
  </si>
  <si>
    <t>5361639254366090</t>
  </si>
  <si>
    <t>4538277638033307</t>
  </si>
  <si>
    <t>$23016</t>
  </si>
  <si>
    <t>5107151477861238</t>
  </si>
  <si>
    <t>5217920627763477</t>
  </si>
  <si>
    <t>5820532728475057</t>
  </si>
  <si>
    <t>$17173</t>
  </si>
  <si>
    <t>4435091514671785</t>
  </si>
  <si>
    <t>5845664736410406</t>
  </si>
  <si>
    <t>5998020597750681</t>
  </si>
  <si>
    <t>$12564</t>
  </si>
  <si>
    <t>5969880085380237</t>
  </si>
  <si>
    <t>$52121</t>
  </si>
  <si>
    <t>5298405785595862</t>
  </si>
  <si>
    <t>$18292</t>
  </si>
  <si>
    <t>5089550241614493</t>
  </si>
  <si>
    <t>5582430794372147</t>
  </si>
  <si>
    <t>5166680396292023</t>
  </si>
  <si>
    <t>$12076</t>
  </si>
  <si>
    <t>5134663281531806</t>
  </si>
  <si>
    <t>$17652</t>
  </si>
  <si>
    <t>4609363841131495</t>
  </si>
  <si>
    <t>4098957147259107</t>
  </si>
  <si>
    <t>$30119</t>
  </si>
  <si>
    <t>5319381223326693</t>
  </si>
  <si>
    <t>$43</t>
  </si>
  <si>
    <t>5582481832840083</t>
  </si>
  <si>
    <t>5182039113510183</t>
  </si>
  <si>
    <t>5618927130201354</t>
  </si>
  <si>
    <t>4995777639723026</t>
  </si>
  <si>
    <t>$26219</t>
  </si>
  <si>
    <t>5809559236815243</t>
  </si>
  <si>
    <t>5568613598314709</t>
  </si>
  <si>
    <t>5723992473008285</t>
  </si>
  <si>
    <t>$55693</t>
  </si>
  <si>
    <t>4817273521248161</t>
  </si>
  <si>
    <t>$21291</t>
  </si>
  <si>
    <t>5318581534984744</t>
  </si>
  <si>
    <t>5070126203216170</t>
  </si>
  <si>
    <t>$12596</t>
  </si>
  <si>
    <t>5979251671199858</t>
  </si>
  <si>
    <t>6575727919683836</t>
  </si>
  <si>
    <t>4651166179945088</t>
  </si>
  <si>
    <t>$19369</t>
  </si>
  <si>
    <t>5193598337004774</t>
  </si>
  <si>
    <t>$12528</t>
  </si>
  <si>
    <t>4969931231497491</t>
  </si>
  <si>
    <t>4123430883366053</t>
  </si>
  <si>
    <t>5491911967251854</t>
  </si>
  <si>
    <t>$1083</t>
  </si>
  <si>
    <t>4732187570005938</t>
  </si>
  <si>
    <t>$36641</t>
  </si>
  <si>
    <t>4780113572248864</t>
  </si>
  <si>
    <t>5649118777959741</t>
  </si>
  <si>
    <t>5352787929411472</t>
  </si>
  <si>
    <t>$2181</t>
  </si>
  <si>
    <t>4030476430498489</t>
  </si>
  <si>
    <t>$20801</t>
  </si>
  <si>
    <t>5942817121899547</t>
  </si>
  <si>
    <t>6670752769501820</t>
  </si>
  <si>
    <t>$27075</t>
  </si>
  <si>
    <t>5192100992523222</t>
  </si>
  <si>
    <t>5328878941102916</t>
  </si>
  <si>
    <t>$41205</t>
  </si>
  <si>
    <t>4866080343433203</t>
  </si>
  <si>
    <t>$9953</t>
  </si>
  <si>
    <t>5335622486722965</t>
  </si>
  <si>
    <t>$9773</t>
  </si>
  <si>
    <t>5826930335951624</t>
  </si>
  <si>
    <t>4351530526237151</t>
  </si>
  <si>
    <t>$12636</t>
  </si>
  <si>
    <t>5875716871084903</t>
  </si>
  <si>
    <t>5803470646010241</t>
  </si>
  <si>
    <t>4605636273246106</t>
  </si>
  <si>
    <t>$16116</t>
  </si>
  <si>
    <t>4031726246937832</t>
  </si>
  <si>
    <t>4144931322114018</t>
  </si>
  <si>
    <t>$30670</t>
  </si>
  <si>
    <t>5517971919199348</t>
  </si>
  <si>
    <t>$32267</t>
  </si>
  <si>
    <t>5778485837801732</t>
  </si>
  <si>
    <t>$5269</t>
  </si>
  <si>
    <t>5486901761554156</t>
  </si>
  <si>
    <t>$24826</t>
  </si>
  <si>
    <t>4120824887309572</t>
  </si>
  <si>
    <t>$16818</t>
  </si>
  <si>
    <t>5596909204961650</t>
  </si>
  <si>
    <t>4069972993083771</t>
  </si>
  <si>
    <t>5042100576719658</t>
  </si>
  <si>
    <t>5169835962793021</t>
  </si>
  <si>
    <t>$20770</t>
  </si>
  <si>
    <t>4439425587555219</t>
  </si>
  <si>
    <t>5533615337478093</t>
  </si>
  <si>
    <t>$9957</t>
  </si>
  <si>
    <t>5004994096233324</t>
  </si>
  <si>
    <t>5113633089121120</t>
  </si>
  <si>
    <t>$15163</t>
  </si>
  <si>
    <t>5408716058769165</t>
  </si>
  <si>
    <t>4756811014064559</t>
  </si>
  <si>
    <t>5125930425033874</t>
  </si>
  <si>
    <t>4262822146225767</t>
  </si>
  <si>
    <t>$20819</t>
  </si>
  <si>
    <t>5138208680850055</t>
  </si>
  <si>
    <t>5584035369803224</t>
  </si>
  <si>
    <t>$15688</t>
  </si>
  <si>
    <t>5478474703672399</t>
  </si>
  <si>
    <t>5656952388282689</t>
  </si>
  <si>
    <t>$7488</t>
  </si>
  <si>
    <t>5799559141683850</t>
  </si>
  <si>
    <t>5190611696772114</t>
  </si>
  <si>
    <t>$31845</t>
  </si>
  <si>
    <t>5573456051575888</t>
  </si>
  <si>
    <t>5682154590913954</t>
  </si>
  <si>
    <t>$19651</t>
  </si>
  <si>
    <t>$2055</t>
  </si>
  <si>
    <t>5949121295863245</t>
  </si>
  <si>
    <t>4498891346944005</t>
  </si>
  <si>
    <t>$12053</t>
  </si>
  <si>
    <t>5054119105173352</t>
  </si>
  <si>
    <t>$27584</t>
  </si>
  <si>
    <t>4194403279790054</t>
  </si>
  <si>
    <t>$9865</t>
  </si>
  <si>
    <t>4150139913418045</t>
  </si>
  <si>
    <t>$22811</t>
  </si>
  <si>
    <t>4435064478746639</t>
  </si>
  <si>
    <t>$18296</t>
  </si>
  <si>
    <t>5988371080858837</t>
  </si>
  <si>
    <t>$21</t>
  </si>
  <si>
    <t>5237569453908018</t>
  </si>
  <si>
    <t>5507324126094429</t>
  </si>
  <si>
    <t>6690095408585366</t>
  </si>
  <si>
    <t>$33302</t>
  </si>
  <si>
    <t>4168053621668614</t>
  </si>
  <si>
    <t>4495570113367071</t>
  </si>
  <si>
    <t>5108476679203457</t>
  </si>
  <si>
    <t>$24079</t>
  </si>
  <si>
    <t>4563795747354617</t>
  </si>
  <si>
    <t>4341971374222434</t>
  </si>
  <si>
    <t>6837183865208677</t>
  </si>
  <si>
    <t>5948987936502889</t>
  </si>
  <si>
    <t>5314994607311012</t>
  </si>
  <si>
    <t>4101014748476784</t>
  </si>
  <si>
    <t>$9984</t>
  </si>
  <si>
    <t>5979460179212685</t>
  </si>
  <si>
    <t>4447933834459564</t>
  </si>
  <si>
    <t>$16</t>
  </si>
  <si>
    <t>4208596410593807</t>
  </si>
  <si>
    <t>5952221076870750</t>
  </si>
  <si>
    <t>$21106</t>
  </si>
  <si>
    <t>5144733341253778</t>
  </si>
  <si>
    <t>$1940</t>
  </si>
  <si>
    <t>5393478219521011</t>
  </si>
  <si>
    <t>4973418783827146</t>
  </si>
  <si>
    <t>5166184234444186</t>
  </si>
  <si>
    <t>4052703300349866</t>
  </si>
  <si>
    <t>$8509</t>
  </si>
  <si>
    <t>4338188789911417</t>
  </si>
  <si>
    <t>$9578</t>
  </si>
  <si>
    <t>4453802456299794</t>
  </si>
  <si>
    <t>$15358</t>
  </si>
  <si>
    <t>5178825671566748</t>
  </si>
  <si>
    <t>5544687575831334</t>
  </si>
  <si>
    <t>5570196053274730</t>
  </si>
  <si>
    <t>5634478684634263</t>
  </si>
  <si>
    <t>$20759</t>
  </si>
  <si>
    <t>5738964942904646</t>
  </si>
  <si>
    <t>$17272</t>
  </si>
  <si>
    <t>5109749812856637</t>
  </si>
  <si>
    <t>4149119638454529</t>
  </si>
  <si>
    <t>$12029</t>
  </si>
  <si>
    <t>5692291424544263</t>
  </si>
  <si>
    <t>$13009</t>
  </si>
  <si>
    <t>4282874431983773</t>
  </si>
  <si>
    <t>$5575</t>
  </si>
  <si>
    <t>5541834458092370</t>
  </si>
  <si>
    <t>$1930</t>
  </si>
  <si>
    <t>5042804591987313</t>
  </si>
  <si>
    <t>4665365862082531</t>
  </si>
  <si>
    <t>4356768889068512</t>
  </si>
  <si>
    <t>5963981612717511</t>
  </si>
  <si>
    <t>$35466</t>
  </si>
  <si>
    <t>5504969419405753</t>
  </si>
  <si>
    <t>$20160</t>
  </si>
  <si>
    <t>4982363893558200</t>
  </si>
  <si>
    <t>$17905</t>
  </si>
  <si>
    <t>4084435358903514</t>
  </si>
  <si>
    <t>4089244507142221</t>
  </si>
  <si>
    <t>5081154452848669</t>
  </si>
  <si>
    <t>$18091</t>
  </si>
  <si>
    <t>5168144985829715</t>
  </si>
  <si>
    <t>$9263</t>
  </si>
  <si>
    <t>5761884540845430</t>
  </si>
  <si>
    <t>$9297</t>
  </si>
  <si>
    <t>5148390223991031</t>
  </si>
  <si>
    <t>5097891088528736</t>
  </si>
  <si>
    <t>4088292829841504</t>
  </si>
  <si>
    <t>5928394327706854</t>
  </si>
  <si>
    <t>4214195908881404</t>
  </si>
  <si>
    <t>$22935</t>
  </si>
  <si>
    <t>4913369105929873</t>
  </si>
  <si>
    <t>$51836</t>
  </si>
  <si>
    <t>5289314952826819</t>
  </si>
  <si>
    <t>$28868</t>
  </si>
  <si>
    <t>5540073375174446</t>
  </si>
  <si>
    <t>5229402459571307</t>
  </si>
  <si>
    <t>$2046</t>
  </si>
  <si>
    <t>5560330928676135</t>
  </si>
  <si>
    <t>5659013286075924</t>
  </si>
  <si>
    <t>4515587053760939</t>
  </si>
  <si>
    <t>5919854740342964</t>
  </si>
  <si>
    <t>$17208</t>
  </si>
  <si>
    <t>4144574679317199</t>
  </si>
  <si>
    <t>$9921</t>
  </si>
  <si>
    <t>4906405312400640</t>
  </si>
  <si>
    <t>4091173399720381</t>
  </si>
  <si>
    <t>$16330</t>
  </si>
  <si>
    <t>5786593463189278</t>
  </si>
  <si>
    <t>$22821</t>
  </si>
  <si>
    <t>5753359093924163</t>
  </si>
  <si>
    <t>4864430404023760</t>
  </si>
  <si>
    <t>$34183</t>
  </si>
  <si>
    <t>5394718113711366</t>
  </si>
  <si>
    <t>5182568921946800</t>
  </si>
  <si>
    <t>$29526</t>
  </si>
  <si>
    <t>5831064486667385</t>
  </si>
  <si>
    <t>5155446517379011</t>
  </si>
  <si>
    <t>5089025651729124</t>
  </si>
  <si>
    <t>$14836</t>
  </si>
  <si>
    <t>5407870927189092</t>
  </si>
  <si>
    <t>6108413838069051</t>
  </si>
  <si>
    <t>$17201</t>
  </si>
  <si>
    <t>5309940542589432</t>
  </si>
  <si>
    <t>5849554532579598</t>
  </si>
  <si>
    <t>4049734716799356</t>
  </si>
  <si>
    <t>$19570</t>
  </si>
  <si>
    <t>5036328460113700</t>
  </si>
  <si>
    <t>$48502</t>
  </si>
  <si>
    <t>4912898188628991</t>
  </si>
  <si>
    <t>5106045376475662</t>
  </si>
  <si>
    <t>5945680972992846</t>
  </si>
  <si>
    <t>$15341</t>
  </si>
  <si>
    <t>5833925436440570</t>
  </si>
  <si>
    <t>$16715</t>
  </si>
  <si>
    <t>4430018858326722</t>
  </si>
  <si>
    <t>$15555</t>
  </si>
  <si>
    <t>5198251438400161</t>
  </si>
  <si>
    <t>$1575</t>
  </si>
  <si>
    <t>5289860104321083</t>
  </si>
  <si>
    <t>$19439</t>
  </si>
  <si>
    <t>5433366978583845</t>
  </si>
  <si>
    <t>$16597</t>
  </si>
  <si>
    <t>5513208341097350</t>
  </si>
  <si>
    <t>4949830998579625</t>
  </si>
  <si>
    <t>$18132</t>
  </si>
  <si>
    <t>4748458102584203</t>
  </si>
  <si>
    <t>$50915</t>
  </si>
  <si>
    <t>5843714671989158</t>
  </si>
  <si>
    <t>5298079382002761</t>
  </si>
  <si>
    <t>$1737</t>
  </si>
  <si>
    <t>5169705466479218</t>
  </si>
  <si>
    <t>$21458</t>
  </si>
  <si>
    <t>4044685132149960</t>
  </si>
  <si>
    <t>4716309780327853</t>
  </si>
  <si>
    <t>$8492</t>
  </si>
  <si>
    <t>4415203972868492</t>
  </si>
  <si>
    <t>4409790595650716</t>
  </si>
  <si>
    <t>$22746</t>
  </si>
  <si>
    <t>4072893581482208</t>
  </si>
  <si>
    <t>6177503172021506</t>
  </si>
  <si>
    <t>$2868</t>
  </si>
  <si>
    <t>5099614207935768</t>
  </si>
  <si>
    <t>4698943729070491</t>
  </si>
  <si>
    <t>4557061225558443</t>
  </si>
  <si>
    <t>5193780952753626</t>
  </si>
  <si>
    <t>$6552</t>
  </si>
  <si>
    <t>5914243757284149</t>
  </si>
  <si>
    <t>$16447</t>
  </si>
  <si>
    <t>4804338444306727</t>
  </si>
  <si>
    <t>5571363047071896</t>
  </si>
  <si>
    <t>4310689470082080</t>
  </si>
  <si>
    <t>5181226307106931</t>
  </si>
  <si>
    <t>$36425</t>
  </si>
  <si>
    <t>4013876625955765</t>
  </si>
  <si>
    <t>$53549</t>
  </si>
  <si>
    <t>5064137987234665</t>
  </si>
  <si>
    <t>4171022488649333</t>
  </si>
  <si>
    <t>4737484014371342</t>
  </si>
  <si>
    <t>5750288075891808</t>
  </si>
  <si>
    <t>$13441</t>
  </si>
  <si>
    <t>5845373196638993</t>
  </si>
  <si>
    <t>5048151330736425</t>
  </si>
  <si>
    <t>$77237</t>
  </si>
  <si>
    <t>5278075482033392</t>
  </si>
  <si>
    <t>$68400</t>
  </si>
  <si>
    <t>4832328468851061</t>
  </si>
  <si>
    <t>4473643731469839</t>
  </si>
  <si>
    <t>$9664</t>
  </si>
  <si>
    <t>5585238056278288</t>
  </si>
  <si>
    <t>5117090980312402</t>
  </si>
  <si>
    <t>6377595394803324</t>
  </si>
  <si>
    <t>$15802</t>
  </si>
  <si>
    <t>4465362453388909</t>
  </si>
  <si>
    <t>$20463</t>
  </si>
  <si>
    <t>5456808094753905</t>
  </si>
  <si>
    <t>$32092</t>
  </si>
  <si>
    <t>4382324870900908</t>
  </si>
  <si>
    <t>$14499</t>
  </si>
  <si>
    <t>5892013969159900</t>
  </si>
  <si>
    <t>4556928160477229</t>
  </si>
  <si>
    <t>$26019</t>
  </si>
  <si>
    <t>4852639114720724</t>
  </si>
  <si>
    <t>4808554251869440</t>
  </si>
  <si>
    <t>4400056931148232</t>
  </si>
  <si>
    <t>4595831603224644</t>
  </si>
  <si>
    <t>4099623033306950</t>
  </si>
  <si>
    <t>$98100</t>
  </si>
  <si>
    <t>4017261190134817</t>
  </si>
  <si>
    <t>4879494103069057</t>
  </si>
  <si>
    <t>card_on_dark_web</t>
  </si>
  <si>
    <t>year_pin_last_changed</t>
  </si>
  <si>
    <t>acct_open_date</t>
  </si>
  <si>
    <t>Card Brand</t>
  </si>
  <si>
    <t>Card Type</t>
  </si>
  <si>
    <t>Card Number</t>
  </si>
  <si>
    <t>Expiration</t>
  </si>
  <si>
    <t>CVV</t>
  </si>
  <si>
    <t>Has Chip</t>
  </si>
  <si>
    <t>Cards Issued</t>
  </si>
  <si>
    <t>Credit Limit</t>
  </si>
  <si>
    <t>N/A</t>
  </si>
  <si>
    <t>Age Group</t>
  </si>
  <si>
    <t>Credit Score Category</t>
  </si>
  <si>
    <t>Debt-to-Income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</si>
</sst>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17" fontId="0" fillId="0" borderId="0" xfId="0" applyNumberFormat="1"/>
    <xf numFmtId="0" fontId="0" fillId="0" borderId="0" xfId="0" quotePrefix="1"/>
    <xf numFmtId="0" fontId="16" fillId="33" borderId="0" xfId="0" applyFont="1" applyFill="1"/>
    <xf numFmtId="2" fontId="0" fillId="0" borderId="0" xfId="0" applyNumberFormat="1"/>
    <xf numFmtId="1" fontId="0" fillId="0" borderId="0" xfId="0" applyNumberFormat="1" applyAlignment="1">
      <alignment horizontal="left"/>
    </xf>
    <xf numFmtId="0" fontId="0" fillId="0" borderId="0" xfId="0" quotePrefix="1" applyAlignment="1">
      <alignment horizontal="left"/>
    </xf>
    <xf numFmtId="0" fontId="16" fillId="33" borderId="0" xfId="0" applyFont="1" applyFill="1" applyAlignment="1">
      <alignment horizontal="center"/>
    </xf>
    <xf numFmtId="0" fontId="0" fillId="0" borderId="0" xfId="0" applyAlignment="1">
      <alignment horizontal="center"/>
    </xf>
    <xf numFmtId="2" fontId="16" fillId="33" borderId="0" xfId="0" applyNumberFormat="1" applyFont="1" applyFill="1"/>
    <xf numFmtId="10" fontId="16" fillId="33" borderId="0" xfId="1" applyNumberFormat="1" applyFont="1" applyFill="1"/>
    <xf numFmtId="10" fontId="0" fillId="0" borderId="0" xfId="1" applyNumberFormat="1" applyFont="1"/>
    <xf numFmtId="14" fontId="16" fillId="33" borderId="0" xfId="0" applyNumberFormat="1" applyFont="1" applyFill="1"/>
    <xf numFmtId="14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51B67-ADFE-448E-A377-5C2BD2148669}">
  <dimension ref="A1:Q1001"/>
  <sheetViews>
    <sheetView workbookViewId="0">
      <pane ySplit="1" topLeftCell="A1001" activePane="bottomLeft" state="frozen"/>
      <selection pane="bottomLeft" activeCell="A1001" sqref="A1001"/>
    </sheetView>
  </sheetViews>
  <sheetFormatPr defaultRowHeight="14.4" x14ac:dyDescent="0.3"/>
  <cols>
    <col min="2" max="2" width="12.88671875" bestFit="1" customWidth="1"/>
    <col min="3" max="3" width="15.88671875" bestFit="1" customWidth="1"/>
    <col min="4" max="4" width="11.5546875" bestFit="1" customWidth="1"/>
    <col min="5" max="5" width="13.33203125" bestFit="1" customWidth="1"/>
    <col min="6" max="6" width="13.33203125" customWidth="1"/>
    <col min="7" max="7" width="8.88671875" bestFit="1" customWidth="1"/>
    <col min="8" max="8" width="28.33203125" bestFit="1" customWidth="1"/>
    <col min="9" max="9" width="9.77734375" bestFit="1" customWidth="1"/>
    <col min="10" max="10" width="11" bestFit="1" customWidth="1"/>
    <col min="11" max="11" width="19.21875" bestFit="1" customWidth="1"/>
    <col min="12" max="12" width="15.33203125" style="4" bestFit="1" customWidth="1"/>
    <col min="13" max="13" width="11.77734375" style="4" bestFit="1" customWidth="1"/>
    <col min="14" max="14" width="21.33203125" style="11" bestFit="1" customWidth="1"/>
    <col min="15" max="15" width="13.5546875" bestFit="1" customWidth="1"/>
    <col min="16" max="16" width="13.5546875" customWidth="1"/>
    <col min="17" max="17" width="18.21875" bestFit="1" customWidth="1"/>
  </cols>
  <sheetData>
    <row r="1" spans="1:17" s="3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3720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9" t="s">
        <v>10</v>
      </c>
      <c r="M1" s="9" t="s">
        <v>11</v>
      </c>
      <c r="N1" s="10" t="s">
        <v>3722</v>
      </c>
      <c r="O1" s="3" t="s">
        <v>12</v>
      </c>
      <c r="P1" s="3" t="s">
        <v>3721</v>
      </c>
      <c r="Q1" s="3" t="s">
        <v>13</v>
      </c>
    </row>
    <row r="2" spans="1:17" x14ac:dyDescent="0.3">
      <c r="A2">
        <v>0</v>
      </c>
      <c r="B2">
        <v>33</v>
      </c>
      <c r="C2">
        <v>69</v>
      </c>
      <c r="D2">
        <v>1986</v>
      </c>
      <c r="E2">
        <v>3</v>
      </c>
      <c r="F2" t="str">
        <f>IF(B2&lt;26,"18-25",
   IF(B2&lt;36,"26-35",
   IF(B2&lt;51,"36-50",
   IF(B2&lt;66,"51-60","65+"))))</f>
        <v>26-35</v>
      </c>
      <c r="G2" t="s">
        <v>19</v>
      </c>
      <c r="H2" t="s">
        <v>1002</v>
      </c>
      <c r="I2">
        <v>43.59</v>
      </c>
      <c r="J2">
        <v>-70.33</v>
      </c>
      <c r="K2" t="s">
        <v>1003</v>
      </c>
      <c r="L2" s="4">
        <v>59613</v>
      </c>
      <c r="M2" s="4">
        <v>36199</v>
      </c>
      <c r="N2" s="11">
        <f t="shared" ref="N2:N65" si="0">(M2/L2)</f>
        <v>0.60723332159092813</v>
      </c>
      <c r="O2">
        <v>763</v>
      </c>
      <c r="P2" t="str">
        <f>IF(O2&lt;580,"Poor",
   IF(O2&lt;670,"Fair",
   IF(O2&lt;740,"Good",
   IF(O2&lt;800,"Very Good","Excellent"))))</f>
        <v>Very Good</v>
      </c>
      <c r="Q2">
        <v>4</v>
      </c>
    </row>
    <row r="3" spans="1:17" x14ac:dyDescent="0.3">
      <c r="A3">
        <v>1</v>
      </c>
      <c r="B3">
        <v>43</v>
      </c>
      <c r="C3">
        <v>74</v>
      </c>
      <c r="D3">
        <v>1976</v>
      </c>
      <c r="E3">
        <v>4</v>
      </c>
      <c r="F3" t="str">
        <f t="shared" ref="F3:F66" si="1">IF(B3&lt;26,"18-25",
   IF(B3&lt;36,"26-35",
   IF(B3&lt;51,"36-50",
   IF(B3&lt;66,"51-60","65+"))))</f>
        <v>36-50</v>
      </c>
      <c r="G3" t="s">
        <v>14</v>
      </c>
      <c r="H3" t="s">
        <v>1315</v>
      </c>
      <c r="I3">
        <v>30.44</v>
      </c>
      <c r="J3">
        <v>-87.18</v>
      </c>
      <c r="K3" t="s">
        <v>1316</v>
      </c>
      <c r="L3" s="4">
        <v>45360</v>
      </c>
      <c r="M3" s="4">
        <v>14587</v>
      </c>
      <c r="N3" s="11">
        <f t="shared" si="0"/>
        <v>0.32158289241622573</v>
      </c>
      <c r="O3">
        <v>704</v>
      </c>
      <c r="P3" t="str">
        <f t="shared" ref="P3:P66" si="2">IF(O3&lt;580,"Poor",
   IF(O3&lt;670,"Fair",
   IF(O3&lt;740,"Good",
   IF(O3&lt;800,"Very Good","Excellent"))))</f>
        <v>Good</v>
      </c>
      <c r="Q3">
        <v>3</v>
      </c>
    </row>
    <row r="4" spans="1:17" x14ac:dyDescent="0.3">
      <c r="A4">
        <v>2</v>
      </c>
      <c r="B4">
        <v>48</v>
      </c>
      <c r="C4">
        <v>64</v>
      </c>
      <c r="D4">
        <v>1971</v>
      </c>
      <c r="E4">
        <v>8</v>
      </c>
      <c r="F4" t="str">
        <f t="shared" si="1"/>
        <v>36-50</v>
      </c>
      <c r="G4" t="s">
        <v>19</v>
      </c>
      <c r="H4" t="s">
        <v>1879</v>
      </c>
      <c r="I4">
        <v>40.840000000000003</v>
      </c>
      <c r="J4">
        <v>-73.87</v>
      </c>
      <c r="K4" t="s">
        <v>1880</v>
      </c>
      <c r="L4" s="4">
        <v>27447</v>
      </c>
      <c r="M4" s="4">
        <v>80850</v>
      </c>
      <c r="N4" s="11">
        <f t="shared" si="0"/>
        <v>2.9456771231828616</v>
      </c>
      <c r="O4">
        <v>673</v>
      </c>
      <c r="P4" t="str">
        <f t="shared" si="2"/>
        <v>Good</v>
      </c>
      <c r="Q4">
        <v>5</v>
      </c>
    </row>
    <row r="5" spans="1:17" x14ac:dyDescent="0.3">
      <c r="A5">
        <v>3</v>
      </c>
      <c r="B5">
        <v>49</v>
      </c>
      <c r="C5">
        <v>65</v>
      </c>
      <c r="D5">
        <v>1970</v>
      </c>
      <c r="E5">
        <v>12</v>
      </c>
      <c r="F5" t="str">
        <f t="shared" si="1"/>
        <v>36-50</v>
      </c>
      <c r="G5" t="s">
        <v>19</v>
      </c>
      <c r="H5" t="s">
        <v>788</v>
      </c>
      <c r="I5">
        <v>33.89</v>
      </c>
      <c r="J5">
        <v>-98.51</v>
      </c>
      <c r="K5" t="s">
        <v>789</v>
      </c>
      <c r="L5" s="4">
        <v>27943</v>
      </c>
      <c r="M5" s="4">
        <v>18693</v>
      </c>
      <c r="N5" s="11">
        <f t="shared" si="0"/>
        <v>0.66896897255126508</v>
      </c>
      <c r="O5">
        <v>681</v>
      </c>
      <c r="P5" t="str">
        <f t="shared" si="2"/>
        <v>Good</v>
      </c>
      <c r="Q5">
        <v>4</v>
      </c>
    </row>
    <row r="6" spans="1:17" x14ac:dyDescent="0.3">
      <c r="A6">
        <v>4</v>
      </c>
      <c r="B6">
        <v>54</v>
      </c>
      <c r="C6">
        <v>72</v>
      </c>
      <c r="D6">
        <v>1965</v>
      </c>
      <c r="E6">
        <v>3</v>
      </c>
      <c r="F6" t="str">
        <f t="shared" si="1"/>
        <v>51-60</v>
      </c>
      <c r="G6" t="s">
        <v>14</v>
      </c>
      <c r="H6" t="s">
        <v>464</v>
      </c>
      <c r="I6">
        <v>47.61</v>
      </c>
      <c r="J6">
        <v>-122.3</v>
      </c>
      <c r="K6" t="s">
        <v>465</v>
      </c>
      <c r="L6" s="4">
        <v>76431</v>
      </c>
      <c r="M6" s="4">
        <v>115362</v>
      </c>
      <c r="N6" s="11">
        <f t="shared" si="0"/>
        <v>1.5093613847784275</v>
      </c>
      <c r="O6">
        <v>716</v>
      </c>
      <c r="P6" t="str">
        <f t="shared" si="2"/>
        <v>Good</v>
      </c>
      <c r="Q6">
        <v>5</v>
      </c>
    </row>
    <row r="7" spans="1:17" x14ac:dyDescent="0.3">
      <c r="A7">
        <v>5</v>
      </c>
      <c r="B7">
        <v>65</v>
      </c>
      <c r="C7">
        <v>65</v>
      </c>
      <c r="D7">
        <v>1955</v>
      </c>
      <c r="E7">
        <v>2</v>
      </c>
      <c r="F7" t="str">
        <f t="shared" si="1"/>
        <v>51-60</v>
      </c>
      <c r="G7" t="s">
        <v>19</v>
      </c>
      <c r="H7" t="s">
        <v>1060</v>
      </c>
      <c r="I7">
        <v>42.95</v>
      </c>
      <c r="J7">
        <v>-77.13</v>
      </c>
      <c r="K7" t="s">
        <v>1061</v>
      </c>
      <c r="L7" s="4">
        <v>20614</v>
      </c>
      <c r="M7" s="4">
        <v>14042</v>
      </c>
      <c r="N7" s="11">
        <f t="shared" si="0"/>
        <v>0.68118754244688073</v>
      </c>
      <c r="O7">
        <v>711</v>
      </c>
      <c r="P7" t="str">
        <f t="shared" si="2"/>
        <v>Good</v>
      </c>
      <c r="Q7">
        <v>2</v>
      </c>
    </row>
    <row r="8" spans="1:17" x14ac:dyDescent="0.3">
      <c r="A8">
        <v>6</v>
      </c>
      <c r="B8">
        <v>19</v>
      </c>
      <c r="C8">
        <v>63</v>
      </c>
      <c r="D8">
        <v>2000</v>
      </c>
      <c r="E8">
        <v>6</v>
      </c>
      <c r="F8" t="str">
        <f t="shared" si="1"/>
        <v>18-25</v>
      </c>
      <c r="G8" t="s">
        <v>14</v>
      </c>
      <c r="H8" t="s">
        <v>1796</v>
      </c>
      <c r="I8">
        <v>32.880000000000003</v>
      </c>
      <c r="J8">
        <v>-117.13</v>
      </c>
      <c r="K8" t="s">
        <v>1797</v>
      </c>
      <c r="L8" s="4">
        <v>55854</v>
      </c>
      <c r="M8" s="4">
        <v>111042</v>
      </c>
      <c r="N8" s="11">
        <f t="shared" si="0"/>
        <v>1.9880760554302288</v>
      </c>
      <c r="O8">
        <v>782</v>
      </c>
      <c r="P8" t="str">
        <f t="shared" si="2"/>
        <v>Very Good</v>
      </c>
      <c r="Q8">
        <v>1</v>
      </c>
    </row>
    <row r="9" spans="1:17" x14ac:dyDescent="0.3">
      <c r="A9">
        <v>7</v>
      </c>
      <c r="B9">
        <v>74</v>
      </c>
      <c r="C9">
        <v>61</v>
      </c>
      <c r="D9">
        <v>1945</v>
      </c>
      <c r="E9">
        <v>5</v>
      </c>
      <c r="F9" t="str">
        <f t="shared" si="1"/>
        <v>65+</v>
      </c>
      <c r="G9" t="s">
        <v>19</v>
      </c>
      <c r="H9" t="s">
        <v>1965</v>
      </c>
      <c r="I9">
        <v>39.299999999999997</v>
      </c>
      <c r="J9">
        <v>-76.61</v>
      </c>
      <c r="K9" t="s">
        <v>1966</v>
      </c>
      <c r="L9" s="4">
        <v>32682</v>
      </c>
      <c r="M9" s="4">
        <v>21379</v>
      </c>
      <c r="N9" s="11">
        <f t="shared" si="0"/>
        <v>0.65415213267241912</v>
      </c>
      <c r="O9">
        <v>650</v>
      </c>
      <c r="P9" t="str">
        <f t="shared" si="2"/>
        <v>Fair</v>
      </c>
      <c r="Q9">
        <v>3</v>
      </c>
    </row>
    <row r="10" spans="1:17" x14ac:dyDescent="0.3">
      <c r="A10">
        <v>8</v>
      </c>
      <c r="B10">
        <v>21</v>
      </c>
      <c r="C10">
        <v>69</v>
      </c>
      <c r="D10">
        <v>1998</v>
      </c>
      <c r="E10">
        <v>8</v>
      </c>
      <c r="F10" t="str">
        <f t="shared" si="1"/>
        <v>18-25</v>
      </c>
      <c r="G10" t="s">
        <v>19</v>
      </c>
      <c r="H10" t="s">
        <v>1934</v>
      </c>
      <c r="I10">
        <v>27.95</v>
      </c>
      <c r="J10">
        <v>-82.48</v>
      </c>
      <c r="K10" t="s">
        <v>1692</v>
      </c>
      <c r="L10" s="4">
        <v>38497</v>
      </c>
      <c r="M10" s="4">
        <v>33413</v>
      </c>
      <c r="N10" s="11">
        <f t="shared" si="0"/>
        <v>0.86793776138400391</v>
      </c>
      <c r="O10">
        <v>699</v>
      </c>
      <c r="P10" t="str">
        <f t="shared" si="2"/>
        <v>Good</v>
      </c>
      <c r="Q10">
        <v>2</v>
      </c>
    </row>
    <row r="11" spans="1:17" x14ac:dyDescent="0.3">
      <c r="A11">
        <v>9</v>
      </c>
      <c r="B11">
        <v>29</v>
      </c>
      <c r="C11">
        <v>60</v>
      </c>
      <c r="D11">
        <v>1990</v>
      </c>
      <c r="E11">
        <v>12</v>
      </c>
      <c r="F11" t="str">
        <f t="shared" si="1"/>
        <v>26-35</v>
      </c>
      <c r="G11" t="s">
        <v>19</v>
      </c>
      <c r="H11" t="s">
        <v>1267</v>
      </c>
      <c r="I11">
        <v>32.630000000000003</v>
      </c>
      <c r="J11">
        <v>-117.05</v>
      </c>
      <c r="K11" t="s">
        <v>684</v>
      </c>
      <c r="L11" s="4">
        <v>40988</v>
      </c>
      <c r="M11" s="4">
        <v>89801</v>
      </c>
      <c r="N11" s="11">
        <f t="shared" si="0"/>
        <v>2.1909095344979019</v>
      </c>
      <c r="O11">
        <v>540</v>
      </c>
      <c r="P11" t="str">
        <f t="shared" si="2"/>
        <v>Poor</v>
      </c>
      <c r="Q11">
        <v>3</v>
      </c>
    </row>
    <row r="12" spans="1:17" x14ac:dyDescent="0.3">
      <c r="A12">
        <v>10</v>
      </c>
      <c r="B12">
        <v>30</v>
      </c>
      <c r="C12">
        <v>66</v>
      </c>
      <c r="D12">
        <v>1990</v>
      </c>
      <c r="E12">
        <v>2</v>
      </c>
      <c r="F12" t="str">
        <f t="shared" si="1"/>
        <v>26-35</v>
      </c>
      <c r="G12" t="s">
        <v>19</v>
      </c>
      <c r="H12" t="s">
        <v>1513</v>
      </c>
      <c r="I12">
        <v>25.77</v>
      </c>
      <c r="J12">
        <v>-80.2</v>
      </c>
      <c r="K12" t="s">
        <v>1514</v>
      </c>
      <c r="L12" s="4">
        <v>58865</v>
      </c>
      <c r="M12" s="4">
        <v>94134</v>
      </c>
      <c r="N12" s="11">
        <f t="shared" si="0"/>
        <v>1.5991505988278263</v>
      </c>
      <c r="O12">
        <v>727</v>
      </c>
      <c r="P12" t="str">
        <f t="shared" si="2"/>
        <v>Good</v>
      </c>
      <c r="Q12">
        <v>2</v>
      </c>
    </row>
    <row r="13" spans="1:17" x14ac:dyDescent="0.3">
      <c r="A13">
        <v>11</v>
      </c>
      <c r="B13">
        <v>39</v>
      </c>
      <c r="C13">
        <v>67</v>
      </c>
      <c r="D13">
        <v>1980</v>
      </c>
      <c r="E13">
        <v>10</v>
      </c>
      <c r="F13" t="str">
        <f t="shared" si="1"/>
        <v>36-50</v>
      </c>
      <c r="G13" t="s">
        <v>14</v>
      </c>
      <c r="H13" t="s">
        <v>153</v>
      </c>
      <c r="I13">
        <v>39.450000000000003</v>
      </c>
      <c r="J13">
        <v>-76.81</v>
      </c>
      <c r="K13" t="s">
        <v>154</v>
      </c>
      <c r="L13" s="4">
        <v>67643</v>
      </c>
      <c r="M13" s="4">
        <v>0</v>
      </c>
      <c r="N13" s="11">
        <f t="shared" si="0"/>
        <v>0</v>
      </c>
      <c r="O13">
        <v>714</v>
      </c>
      <c r="P13" t="str">
        <f t="shared" si="2"/>
        <v>Good</v>
      </c>
      <c r="Q13">
        <v>6</v>
      </c>
    </row>
    <row r="14" spans="1:17" x14ac:dyDescent="0.3">
      <c r="A14">
        <v>12</v>
      </c>
      <c r="B14">
        <v>18</v>
      </c>
      <c r="C14">
        <v>63</v>
      </c>
      <c r="D14">
        <v>2002</v>
      </c>
      <c r="E14">
        <v>2</v>
      </c>
      <c r="F14" t="str">
        <f t="shared" si="1"/>
        <v>18-25</v>
      </c>
      <c r="G14" t="s">
        <v>14</v>
      </c>
      <c r="H14" t="s">
        <v>262</v>
      </c>
      <c r="I14">
        <v>38.06</v>
      </c>
      <c r="J14">
        <v>-78.900000000000006</v>
      </c>
      <c r="K14" t="s">
        <v>263</v>
      </c>
      <c r="L14" s="4">
        <v>37785</v>
      </c>
      <c r="M14" s="4">
        <v>58187</v>
      </c>
      <c r="N14" s="11">
        <f t="shared" si="0"/>
        <v>1.539949715495567</v>
      </c>
      <c r="O14">
        <v>748</v>
      </c>
      <c r="P14" t="str">
        <f t="shared" si="2"/>
        <v>Very Good</v>
      </c>
      <c r="Q14">
        <v>1</v>
      </c>
    </row>
    <row r="15" spans="1:17" x14ac:dyDescent="0.3">
      <c r="A15">
        <v>13</v>
      </c>
      <c r="B15">
        <v>52</v>
      </c>
      <c r="C15">
        <v>61</v>
      </c>
      <c r="D15">
        <v>1967</v>
      </c>
      <c r="E15">
        <v>6</v>
      </c>
      <c r="F15" t="str">
        <f t="shared" si="1"/>
        <v>51-60</v>
      </c>
      <c r="G15" t="s">
        <v>14</v>
      </c>
      <c r="H15" t="s">
        <v>282</v>
      </c>
      <c r="I15">
        <v>37.89</v>
      </c>
      <c r="J15">
        <v>-85.96</v>
      </c>
      <c r="K15" t="s">
        <v>283</v>
      </c>
      <c r="L15" s="4">
        <v>32378</v>
      </c>
      <c r="M15" s="4">
        <v>65919</v>
      </c>
      <c r="N15" s="11">
        <f t="shared" si="0"/>
        <v>2.0359194514793995</v>
      </c>
      <c r="O15">
        <v>588</v>
      </c>
      <c r="P15" t="str">
        <f t="shared" si="2"/>
        <v>Fair</v>
      </c>
      <c r="Q15">
        <v>4</v>
      </c>
    </row>
    <row r="16" spans="1:17" x14ac:dyDescent="0.3">
      <c r="A16">
        <v>14</v>
      </c>
      <c r="B16">
        <v>79</v>
      </c>
      <c r="C16">
        <v>57</v>
      </c>
      <c r="D16">
        <v>1940</v>
      </c>
      <c r="E16">
        <v>12</v>
      </c>
      <c r="F16" t="str">
        <f t="shared" si="1"/>
        <v>65+</v>
      </c>
      <c r="G16" t="s">
        <v>14</v>
      </c>
      <c r="H16" t="s">
        <v>1697</v>
      </c>
      <c r="I16">
        <v>21.39</v>
      </c>
      <c r="J16">
        <v>-158.01</v>
      </c>
      <c r="K16" t="s">
        <v>1698</v>
      </c>
      <c r="L16" s="4">
        <v>32232</v>
      </c>
      <c r="M16" s="4">
        <v>21134</v>
      </c>
      <c r="N16" s="11">
        <f t="shared" si="0"/>
        <v>0.6556837925043435</v>
      </c>
      <c r="O16">
        <v>652</v>
      </c>
      <c r="P16" t="str">
        <f t="shared" si="2"/>
        <v>Fair</v>
      </c>
      <c r="Q16">
        <v>5</v>
      </c>
    </row>
    <row r="17" spans="1:17" x14ac:dyDescent="0.3">
      <c r="A17">
        <v>15</v>
      </c>
      <c r="B17">
        <v>52</v>
      </c>
      <c r="C17">
        <v>66</v>
      </c>
      <c r="D17">
        <v>1968</v>
      </c>
      <c r="E17">
        <v>2</v>
      </c>
      <c r="F17" t="str">
        <f t="shared" si="1"/>
        <v>51-60</v>
      </c>
      <c r="G17" t="s">
        <v>14</v>
      </c>
      <c r="H17" t="s">
        <v>826</v>
      </c>
      <c r="I17">
        <v>34.020000000000003</v>
      </c>
      <c r="J17">
        <v>-118.31</v>
      </c>
      <c r="K17" t="s">
        <v>827</v>
      </c>
      <c r="L17" s="4">
        <v>29673</v>
      </c>
      <c r="M17" s="4">
        <v>12950</v>
      </c>
      <c r="N17" s="11">
        <f t="shared" si="0"/>
        <v>0.43642368483132815</v>
      </c>
      <c r="O17">
        <v>788</v>
      </c>
      <c r="P17" t="str">
        <f t="shared" si="2"/>
        <v>Very Good</v>
      </c>
      <c r="Q17">
        <v>3</v>
      </c>
    </row>
    <row r="18" spans="1:17" x14ac:dyDescent="0.3">
      <c r="A18">
        <v>16</v>
      </c>
      <c r="B18">
        <v>75</v>
      </c>
      <c r="C18">
        <v>67</v>
      </c>
      <c r="D18">
        <v>1944</v>
      </c>
      <c r="E18">
        <v>12</v>
      </c>
      <c r="F18" t="str">
        <f t="shared" si="1"/>
        <v>65+</v>
      </c>
      <c r="G18" t="s">
        <v>19</v>
      </c>
      <c r="H18" t="s">
        <v>130</v>
      </c>
      <c r="I18">
        <v>41.88</v>
      </c>
      <c r="J18">
        <v>-87.84</v>
      </c>
      <c r="K18" t="s">
        <v>131</v>
      </c>
      <c r="L18" s="4">
        <v>22158</v>
      </c>
      <c r="M18" s="4">
        <v>19101</v>
      </c>
      <c r="N18" s="11">
        <f t="shared" si="0"/>
        <v>0.86203628486325479</v>
      </c>
      <c r="O18">
        <v>681</v>
      </c>
      <c r="P18" t="str">
        <f t="shared" si="2"/>
        <v>Good</v>
      </c>
      <c r="Q18">
        <v>5</v>
      </c>
    </row>
    <row r="19" spans="1:17" x14ac:dyDescent="0.3">
      <c r="A19">
        <v>17</v>
      </c>
      <c r="B19">
        <v>76</v>
      </c>
      <c r="C19">
        <v>65</v>
      </c>
      <c r="D19">
        <v>1943</v>
      </c>
      <c r="E19">
        <v>7</v>
      </c>
      <c r="F19" t="str">
        <f t="shared" si="1"/>
        <v>65+</v>
      </c>
      <c r="G19" t="s">
        <v>19</v>
      </c>
      <c r="H19" t="s">
        <v>1781</v>
      </c>
      <c r="I19">
        <v>35.729999999999997</v>
      </c>
      <c r="J19">
        <v>-81.319999999999993</v>
      </c>
      <c r="K19" t="s">
        <v>1782</v>
      </c>
      <c r="L19" s="4">
        <v>21867</v>
      </c>
      <c r="M19" s="4">
        <v>21103</v>
      </c>
      <c r="N19" s="11">
        <f t="shared" si="0"/>
        <v>0.96506150820871628</v>
      </c>
      <c r="O19">
        <v>759</v>
      </c>
      <c r="P19" t="str">
        <f t="shared" si="2"/>
        <v>Very Good</v>
      </c>
      <c r="Q19">
        <v>2</v>
      </c>
    </row>
    <row r="20" spans="1:17" x14ac:dyDescent="0.3">
      <c r="A20">
        <v>18</v>
      </c>
      <c r="B20">
        <v>30</v>
      </c>
      <c r="C20">
        <v>62</v>
      </c>
      <c r="D20">
        <v>1989</v>
      </c>
      <c r="E20">
        <v>12</v>
      </c>
      <c r="F20" t="str">
        <f t="shared" si="1"/>
        <v>26-35</v>
      </c>
      <c r="G20" t="s">
        <v>19</v>
      </c>
      <c r="H20" t="s">
        <v>1768</v>
      </c>
      <c r="I20">
        <v>39.17</v>
      </c>
      <c r="J20">
        <v>-77.260000000000005</v>
      </c>
      <c r="K20" t="s">
        <v>1399</v>
      </c>
      <c r="L20" s="4">
        <v>64340</v>
      </c>
      <c r="M20" s="4">
        <v>94513</v>
      </c>
      <c r="N20" s="11">
        <f t="shared" si="0"/>
        <v>1.468961765620143</v>
      </c>
      <c r="O20">
        <v>637</v>
      </c>
      <c r="P20" t="str">
        <f t="shared" si="2"/>
        <v>Fair</v>
      </c>
      <c r="Q20">
        <v>1</v>
      </c>
    </row>
    <row r="21" spans="1:17" x14ac:dyDescent="0.3">
      <c r="A21">
        <v>19</v>
      </c>
      <c r="B21">
        <v>82</v>
      </c>
      <c r="C21">
        <v>68</v>
      </c>
      <c r="D21">
        <v>1937</v>
      </c>
      <c r="E21">
        <v>5</v>
      </c>
      <c r="F21" t="str">
        <f t="shared" si="1"/>
        <v>65+</v>
      </c>
      <c r="G21" t="s">
        <v>14</v>
      </c>
      <c r="H21" t="s">
        <v>1841</v>
      </c>
      <c r="I21">
        <v>34.409999999999997</v>
      </c>
      <c r="J21">
        <v>-119.7</v>
      </c>
      <c r="K21" t="s">
        <v>1842</v>
      </c>
      <c r="L21" s="4">
        <v>34903</v>
      </c>
      <c r="M21" s="4">
        <v>1336</v>
      </c>
      <c r="N21" s="11">
        <f t="shared" si="0"/>
        <v>3.8277511961722487E-2</v>
      </c>
      <c r="O21">
        <v>630</v>
      </c>
      <c r="P21" t="str">
        <f t="shared" si="2"/>
        <v>Fair</v>
      </c>
      <c r="Q21">
        <v>1</v>
      </c>
    </row>
    <row r="22" spans="1:17" x14ac:dyDescent="0.3">
      <c r="A22">
        <v>20</v>
      </c>
      <c r="B22">
        <v>86</v>
      </c>
      <c r="C22">
        <v>67</v>
      </c>
      <c r="D22">
        <v>1933</v>
      </c>
      <c r="E22">
        <v>12</v>
      </c>
      <c r="F22" t="str">
        <f t="shared" si="1"/>
        <v>65+</v>
      </c>
      <c r="G22" t="s">
        <v>14</v>
      </c>
      <c r="H22" t="s">
        <v>1382</v>
      </c>
      <c r="I22">
        <v>32.42</v>
      </c>
      <c r="J22">
        <v>-97.1</v>
      </c>
      <c r="K22" t="s">
        <v>1383</v>
      </c>
      <c r="L22" s="4">
        <v>23371</v>
      </c>
      <c r="M22" s="4">
        <v>0</v>
      </c>
      <c r="N22" s="11">
        <f t="shared" si="0"/>
        <v>0</v>
      </c>
      <c r="O22">
        <v>757</v>
      </c>
      <c r="P22" t="str">
        <f t="shared" si="2"/>
        <v>Very Good</v>
      </c>
      <c r="Q22">
        <v>8</v>
      </c>
    </row>
    <row r="23" spans="1:17" x14ac:dyDescent="0.3">
      <c r="A23">
        <v>21</v>
      </c>
      <c r="B23">
        <v>48</v>
      </c>
      <c r="C23">
        <v>66</v>
      </c>
      <c r="D23">
        <v>1972</v>
      </c>
      <c r="E23">
        <v>2</v>
      </c>
      <c r="F23" t="str">
        <f t="shared" si="1"/>
        <v>36-50</v>
      </c>
      <c r="G23" t="s">
        <v>19</v>
      </c>
      <c r="H23" t="s">
        <v>590</v>
      </c>
      <c r="I23">
        <v>39.47</v>
      </c>
      <c r="J23">
        <v>-87.38</v>
      </c>
      <c r="K23" t="s">
        <v>591</v>
      </c>
      <c r="L23" s="4">
        <v>43084</v>
      </c>
      <c r="M23" s="4">
        <v>0</v>
      </c>
      <c r="N23" s="11">
        <f t="shared" si="0"/>
        <v>0</v>
      </c>
      <c r="O23">
        <v>850</v>
      </c>
      <c r="P23" t="str">
        <f t="shared" si="2"/>
        <v>Excellent</v>
      </c>
      <c r="Q23">
        <v>3</v>
      </c>
    </row>
    <row r="24" spans="1:17" x14ac:dyDescent="0.3">
      <c r="A24">
        <v>22</v>
      </c>
      <c r="B24">
        <v>56</v>
      </c>
      <c r="C24">
        <v>66</v>
      </c>
      <c r="D24">
        <v>1963</v>
      </c>
      <c r="E24">
        <v>3</v>
      </c>
      <c r="F24" t="str">
        <f t="shared" si="1"/>
        <v>51-60</v>
      </c>
      <c r="G24" t="s">
        <v>19</v>
      </c>
      <c r="H24" t="s">
        <v>1226</v>
      </c>
      <c r="I24">
        <v>38.99</v>
      </c>
      <c r="J24">
        <v>-76.88</v>
      </c>
      <c r="K24" t="s">
        <v>1227</v>
      </c>
      <c r="L24" s="4">
        <v>53966</v>
      </c>
      <c r="M24" s="4">
        <v>135478</v>
      </c>
      <c r="N24" s="11">
        <f t="shared" si="0"/>
        <v>2.5104324945335952</v>
      </c>
      <c r="O24">
        <v>747</v>
      </c>
      <c r="P24" t="str">
        <f t="shared" si="2"/>
        <v>Very Good</v>
      </c>
      <c r="Q24">
        <v>1</v>
      </c>
    </row>
    <row r="25" spans="1:17" x14ac:dyDescent="0.3">
      <c r="A25">
        <v>23</v>
      </c>
      <c r="B25">
        <v>18</v>
      </c>
      <c r="C25">
        <v>70</v>
      </c>
      <c r="D25">
        <v>2001</v>
      </c>
      <c r="E25">
        <v>5</v>
      </c>
      <c r="F25" t="str">
        <f t="shared" si="1"/>
        <v>18-25</v>
      </c>
      <c r="G25" t="s">
        <v>14</v>
      </c>
      <c r="H25" t="s">
        <v>429</v>
      </c>
      <c r="I25">
        <v>29.8</v>
      </c>
      <c r="J25">
        <v>-98.73</v>
      </c>
      <c r="K25" t="s">
        <v>430</v>
      </c>
      <c r="L25" s="4">
        <v>63600</v>
      </c>
      <c r="M25" s="4">
        <v>102773</v>
      </c>
      <c r="N25" s="11">
        <f t="shared" si="0"/>
        <v>1.6159276729559748</v>
      </c>
      <c r="O25">
        <v>645</v>
      </c>
      <c r="P25" t="str">
        <f t="shared" si="2"/>
        <v>Fair</v>
      </c>
      <c r="Q25">
        <v>1</v>
      </c>
    </row>
    <row r="26" spans="1:17" x14ac:dyDescent="0.3">
      <c r="A26">
        <v>24</v>
      </c>
      <c r="B26">
        <v>48</v>
      </c>
      <c r="C26">
        <v>64</v>
      </c>
      <c r="D26">
        <v>1971</v>
      </c>
      <c r="E26">
        <v>11</v>
      </c>
      <c r="F26" t="str">
        <f t="shared" si="1"/>
        <v>36-50</v>
      </c>
      <c r="G26" t="s">
        <v>14</v>
      </c>
      <c r="H26" t="s">
        <v>900</v>
      </c>
      <c r="I26">
        <v>42.27</v>
      </c>
      <c r="J26">
        <v>-89.06</v>
      </c>
      <c r="K26" t="s">
        <v>901</v>
      </c>
      <c r="L26" s="4">
        <v>38554</v>
      </c>
      <c r="M26" s="4">
        <v>47186</v>
      </c>
      <c r="N26" s="11">
        <f t="shared" si="0"/>
        <v>1.2238937594023966</v>
      </c>
      <c r="O26">
        <v>708</v>
      </c>
      <c r="P26" t="str">
        <f t="shared" si="2"/>
        <v>Good</v>
      </c>
      <c r="Q26">
        <v>1</v>
      </c>
    </row>
    <row r="27" spans="1:17" x14ac:dyDescent="0.3">
      <c r="A27">
        <v>25</v>
      </c>
      <c r="B27">
        <v>22</v>
      </c>
      <c r="C27">
        <v>64</v>
      </c>
      <c r="D27">
        <v>1997</v>
      </c>
      <c r="E27">
        <v>3</v>
      </c>
      <c r="F27" t="str">
        <f t="shared" si="1"/>
        <v>18-25</v>
      </c>
      <c r="G27" t="s">
        <v>14</v>
      </c>
      <c r="H27" t="s">
        <v>531</v>
      </c>
      <c r="I27">
        <v>33.36</v>
      </c>
      <c r="J27">
        <v>-111.93</v>
      </c>
      <c r="K27" t="s">
        <v>532</v>
      </c>
      <c r="L27" s="4">
        <v>49190</v>
      </c>
      <c r="M27" s="4">
        <v>122458</v>
      </c>
      <c r="N27" s="11">
        <f t="shared" si="0"/>
        <v>2.4894897336857085</v>
      </c>
      <c r="O27">
        <v>630</v>
      </c>
      <c r="P27" t="str">
        <f t="shared" si="2"/>
        <v>Fair</v>
      </c>
      <c r="Q27">
        <v>1</v>
      </c>
    </row>
    <row r="28" spans="1:17" x14ac:dyDescent="0.3">
      <c r="A28">
        <v>26</v>
      </c>
      <c r="B28">
        <v>49</v>
      </c>
      <c r="C28">
        <v>68</v>
      </c>
      <c r="D28">
        <v>1970</v>
      </c>
      <c r="E28">
        <v>12</v>
      </c>
      <c r="F28" t="str">
        <f t="shared" si="1"/>
        <v>36-50</v>
      </c>
      <c r="G28" t="s">
        <v>14</v>
      </c>
      <c r="H28" t="s">
        <v>1776</v>
      </c>
      <c r="I28">
        <v>40.68</v>
      </c>
      <c r="J28">
        <v>-80.27</v>
      </c>
      <c r="K28" t="s">
        <v>1249</v>
      </c>
      <c r="L28" s="4">
        <v>41071</v>
      </c>
      <c r="M28" s="4">
        <v>124139</v>
      </c>
      <c r="N28" s="11">
        <f t="shared" si="0"/>
        <v>3.0225463222224929</v>
      </c>
      <c r="O28">
        <v>685</v>
      </c>
      <c r="P28" t="str">
        <f t="shared" si="2"/>
        <v>Good</v>
      </c>
      <c r="Q28">
        <v>1</v>
      </c>
    </row>
    <row r="29" spans="1:17" x14ac:dyDescent="0.3">
      <c r="A29">
        <v>27</v>
      </c>
      <c r="B29">
        <v>78</v>
      </c>
      <c r="C29">
        <v>63</v>
      </c>
      <c r="D29">
        <v>1941</v>
      </c>
      <c r="E29">
        <v>8</v>
      </c>
      <c r="F29" t="str">
        <f t="shared" si="1"/>
        <v>65+</v>
      </c>
      <c r="G29" t="s">
        <v>14</v>
      </c>
      <c r="H29" t="s">
        <v>952</v>
      </c>
      <c r="I29">
        <v>32.28</v>
      </c>
      <c r="J29">
        <v>-90</v>
      </c>
      <c r="K29" t="s">
        <v>953</v>
      </c>
      <c r="L29" s="4">
        <v>23821</v>
      </c>
      <c r="M29" s="4">
        <v>22427</v>
      </c>
      <c r="N29" s="11">
        <f t="shared" si="0"/>
        <v>0.94148020654044751</v>
      </c>
      <c r="O29">
        <v>613</v>
      </c>
      <c r="P29" t="str">
        <f t="shared" si="2"/>
        <v>Fair</v>
      </c>
      <c r="Q29">
        <v>8</v>
      </c>
    </row>
    <row r="30" spans="1:17" x14ac:dyDescent="0.3">
      <c r="A30">
        <v>28</v>
      </c>
      <c r="B30">
        <v>39</v>
      </c>
      <c r="C30">
        <v>65</v>
      </c>
      <c r="D30">
        <v>1980</v>
      </c>
      <c r="E30">
        <v>4</v>
      </c>
      <c r="F30" t="str">
        <f t="shared" si="1"/>
        <v>36-50</v>
      </c>
      <c r="G30" t="s">
        <v>14</v>
      </c>
      <c r="H30" t="s">
        <v>1173</v>
      </c>
      <c r="I30">
        <v>38.630000000000003</v>
      </c>
      <c r="J30">
        <v>-77.260000000000005</v>
      </c>
      <c r="K30" t="s">
        <v>1174</v>
      </c>
      <c r="L30" s="4">
        <v>54273</v>
      </c>
      <c r="M30" s="4">
        <v>110237</v>
      </c>
      <c r="N30" s="11">
        <f t="shared" si="0"/>
        <v>2.0311572973670149</v>
      </c>
      <c r="O30">
        <v>789</v>
      </c>
      <c r="P30" t="str">
        <f t="shared" si="2"/>
        <v>Very Good</v>
      </c>
      <c r="Q30">
        <v>4</v>
      </c>
    </row>
    <row r="31" spans="1:17" x14ac:dyDescent="0.3">
      <c r="A31">
        <v>29</v>
      </c>
      <c r="B31">
        <v>68</v>
      </c>
      <c r="C31">
        <v>60</v>
      </c>
      <c r="D31">
        <v>1951</v>
      </c>
      <c r="E31">
        <v>8</v>
      </c>
      <c r="F31" t="str">
        <f t="shared" si="1"/>
        <v>65+</v>
      </c>
      <c r="G31" t="s">
        <v>14</v>
      </c>
      <c r="H31" t="s">
        <v>264</v>
      </c>
      <c r="I31">
        <v>42.47</v>
      </c>
      <c r="J31">
        <v>-70.959999999999994</v>
      </c>
      <c r="K31" t="s">
        <v>265</v>
      </c>
      <c r="L31" s="4">
        <v>27358</v>
      </c>
      <c r="M31" s="4">
        <v>13557</v>
      </c>
      <c r="N31" s="11">
        <f t="shared" si="0"/>
        <v>0.49554060969369107</v>
      </c>
      <c r="O31">
        <v>665</v>
      </c>
      <c r="P31" t="str">
        <f t="shared" si="2"/>
        <v>Fair</v>
      </c>
      <c r="Q31">
        <v>2</v>
      </c>
    </row>
    <row r="32" spans="1:17" x14ac:dyDescent="0.3">
      <c r="A32">
        <v>30</v>
      </c>
      <c r="B32">
        <v>23</v>
      </c>
      <c r="C32">
        <v>59</v>
      </c>
      <c r="D32">
        <v>1996</v>
      </c>
      <c r="E32">
        <v>8</v>
      </c>
      <c r="F32" t="str">
        <f t="shared" si="1"/>
        <v>18-25</v>
      </c>
      <c r="G32" t="s">
        <v>14</v>
      </c>
      <c r="H32" t="s">
        <v>1686</v>
      </c>
      <c r="I32">
        <v>31.96</v>
      </c>
      <c r="J32">
        <v>-94.05</v>
      </c>
      <c r="K32" t="s">
        <v>1687</v>
      </c>
      <c r="L32" s="4">
        <v>38983</v>
      </c>
      <c r="M32" s="4">
        <v>96098</v>
      </c>
      <c r="N32" s="11">
        <f t="shared" si="0"/>
        <v>2.4651258240771616</v>
      </c>
      <c r="O32">
        <v>577</v>
      </c>
      <c r="P32" t="str">
        <f t="shared" si="2"/>
        <v>Poor</v>
      </c>
      <c r="Q32">
        <v>1</v>
      </c>
    </row>
    <row r="33" spans="1:17" x14ac:dyDescent="0.3">
      <c r="A33">
        <v>31</v>
      </c>
      <c r="B33">
        <v>51</v>
      </c>
      <c r="C33">
        <v>65</v>
      </c>
      <c r="D33">
        <v>1968</v>
      </c>
      <c r="E33">
        <v>6</v>
      </c>
      <c r="F33" t="str">
        <f t="shared" si="1"/>
        <v>51-60</v>
      </c>
      <c r="G33" t="s">
        <v>14</v>
      </c>
      <c r="H33" t="s">
        <v>1973</v>
      </c>
      <c r="I33">
        <v>41.62</v>
      </c>
      <c r="J33">
        <v>-87.72</v>
      </c>
      <c r="K33" t="s">
        <v>1974</v>
      </c>
      <c r="L33" s="4">
        <v>45570</v>
      </c>
      <c r="M33" s="4">
        <v>0</v>
      </c>
      <c r="N33" s="11">
        <f t="shared" si="0"/>
        <v>0</v>
      </c>
      <c r="O33">
        <v>712</v>
      </c>
      <c r="P33" t="str">
        <f t="shared" si="2"/>
        <v>Good</v>
      </c>
      <c r="Q33">
        <v>3</v>
      </c>
    </row>
    <row r="34" spans="1:17" x14ac:dyDescent="0.3">
      <c r="A34">
        <v>32</v>
      </c>
      <c r="B34">
        <v>82</v>
      </c>
      <c r="C34">
        <v>67</v>
      </c>
      <c r="D34">
        <v>1937</v>
      </c>
      <c r="E34">
        <v>9</v>
      </c>
      <c r="F34" t="str">
        <f t="shared" si="1"/>
        <v>65+</v>
      </c>
      <c r="G34" t="s">
        <v>14</v>
      </c>
      <c r="H34" t="s">
        <v>927</v>
      </c>
      <c r="I34">
        <v>40.31</v>
      </c>
      <c r="J34">
        <v>-79.540000000000006</v>
      </c>
      <c r="K34" t="s">
        <v>928</v>
      </c>
      <c r="L34" s="4">
        <v>52315</v>
      </c>
      <c r="M34" s="4">
        <v>3174</v>
      </c>
      <c r="N34" s="11">
        <f t="shared" si="0"/>
        <v>6.0670935678103798E-2</v>
      </c>
      <c r="O34">
        <v>695</v>
      </c>
      <c r="P34" t="str">
        <f t="shared" si="2"/>
        <v>Good</v>
      </c>
      <c r="Q34">
        <v>4</v>
      </c>
    </row>
    <row r="35" spans="1:17" x14ac:dyDescent="0.3">
      <c r="A35">
        <v>33</v>
      </c>
      <c r="B35">
        <v>77</v>
      </c>
      <c r="C35">
        <v>71</v>
      </c>
      <c r="D35">
        <v>1942</v>
      </c>
      <c r="E35">
        <v>6</v>
      </c>
      <c r="F35" t="str">
        <f t="shared" si="1"/>
        <v>65+</v>
      </c>
      <c r="G35" t="s">
        <v>14</v>
      </c>
      <c r="H35" t="s">
        <v>1175</v>
      </c>
      <c r="I35">
        <v>39.21</v>
      </c>
      <c r="J35">
        <v>-119.71</v>
      </c>
      <c r="K35" t="s">
        <v>1176</v>
      </c>
      <c r="L35" s="4">
        <v>38692</v>
      </c>
      <c r="M35" s="4">
        <v>8902</v>
      </c>
      <c r="N35" s="11">
        <f t="shared" si="0"/>
        <v>0.23007340018608499</v>
      </c>
      <c r="O35">
        <v>596</v>
      </c>
      <c r="P35" t="str">
        <f t="shared" si="2"/>
        <v>Fair</v>
      </c>
      <c r="Q35">
        <v>5</v>
      </c>
    </row>
    <row r="36" spans="1:17" x14ac:dyDescent="0.3">
      <c r="A36">
        <v>34</v>
      </c>
      <c r="B36">
        <v>41</v>
      </c>
      <c r="C36">
        <v>55</v>
      </c>
      <c r="D36">
        <v>1978</v>
      </c>
      <c r="E36">
        <v>8</v>
      </c>
      <c r="F36" t="str">
        <f t="shared" si="1"/>
        <v>36-50</v>
      </c>
      <c r="G36" t="s">
        <v>19</v>
      </c>
      <c r="H36" t="s">
        <v>56</v>
      </c>
      <c r="I36">
        <v>38.479999999999997</v>
      </c>
      <c r="J36">
        <v>-121.34</v>
      </c>
      <c r="K36" t="s">
        <v>57</v>
      </c>
      <c r="L36" s="4">
        <v>51854</v>
      </c>
      <c r="M36" s="4">
        <v>72162</v>
      </c>
      <c r="N36" s="11">
        <f t="shared" si="0"/>
        <v>1.3916380607089134</v>
      </c>
      <c r="O36">
        <v>737</v>
      </c>
      <c r="P36" t="str">
        <f t="shared" si="2"/>
        <v>Good</v>
      </c>
      <c r="Q36">
        <v>2</v>
      </c>
    </row>
    <row r="37" spans="1:17" x14ac:dyDescent="0.3">
      <c r="A37">
        <v>35</v>
      </c>
      <c r="B37">
        <v>20</v>
      </c>
      <c r="C37">
        <v>64</v>
      </c>
      <c r="D37">
        <v>1999</v>
      </c>
      <c r="E37">
        <v>6</v>
      </c>
      <c r="F37" t="str">
        <f t="shared" si="1"/>
        <v>18-25</v>
      </c>
      <c r="G37" t="s">
        <v>19</v>
      </c>
      <c r="H37" t="s">
        <v>994</v>
      </c>
      <c r="I37">
        <v>43.66</v>
      </c>
      <c r="J37">
        <v>-70.25</v>
      </c>
      <c r="K37" t="s">
        <v>995</v>
      </c>
      <c r="L37" s="4">
        <v>48495</v>
      </c>
      <c r="M37" s="4">
        <v>97630</v>
      </c>
      <c r="N37" s="11">
        <f t="shared" si="0"/>
        <v>2.0131972368285389</v>
      </c>
      <c r="O37">
        <v>773</v>
      </c>
      <c r="P37" t="str">
        <f t="shared" si="2"/>
        <v>Very Good</v>
      </c>
      <c r="Q37">
        <v>3</v>
      </c>
    </row>
    <row r="38" spans="1:17" x14ac:dyDescent="0.3">
      <c r="A38">
        <v>36</v>
      </c>
      <c r="B38">
        <v>31</v>
      </c>
      <c r="C38">
        <v>63</v>
      </c>
      <c r="D38">
        <v>1988</v>
      </c>
      <c r="E38">
        <v>6</v>
      </c>
      <c r="F38" t="str">
        <f t="shared" si="1"/>
        <v>26-35</v>
      </c>
      <c r="G38" t="s">
        <v>19</v>
      </c>
      <c r="H38" t="s">
        <v>1809</v>
      </c>
      <c r="I38">
        <v>37.229999999999997</v>
      </c>
      <c r="J38">
        <v>-80.42</v>
      </c>
      <c r="K38" t="s">
        <v>1810</v>
      </c>
      <c r="L38" s="4">
        <v>50242</v>
      </c>
      <c r="M38" s="4">
        <v>84457</v>
      </c>
      <c r="N38" s="11">
        <f t="shared" si="0"/>
        <v>1.6810039409259185</v>
      </c>
      <c r="O38">
        <v>722</v>
      </c>
      <c r="P38" t="str">
        <f t="shared" si="2"/>
        <v>Good</v>
      </c>
      <c r="Q38">
        <v>2</v>
      </c>
    </row>
    <row r="39" spans="1:17" x14ac:dyDescent="0.3">
      <c r="A39">
        <v>37</v>
      </c>
      <c r="B39">
        <v>41</v>
      </c>
      <c r="C39">
        <v>60</v>
      </c>
      <c r="D39">
        <v>1978</v>
      </c>
      <c r="E39">
        <v>7</v>
      </c>
      <c r="F39" t="str">
        <f t="shared" si="1"/>
        <v>36-50</v>
      </c>
      <c r="G39" t="s">
        <v>14</v>
      </c>
      <c r="H39" t="s">
        <v>1528</v>
      </c>
      <c r="I39">
        <v>43.31</v>
      </c>
      <c r="J39">
        <v>-76.569999999999993</v>
      </c>
      <c r="K39" t="s">
        <v>1529</v>
      </c>
      <c r="L39" s="4">
        <v>34690</v>
      </c>
      <c r="M39" s="4">
        <v>48954</v>
      </c>
      <c r="N39" s="11">
        <f t="shared" si="0"/>
        <v>1.4111847794753531</v>
      </c>
      <c r="O39">
        <v>683</v>
      </c>
      <c r="P39" t="str">
        <f t="shared" si="2"/>
        <v>Good</v>
      </c>
      <c r="Q39">
        <v>4</v>
      </c>
    </row>
    <row r="40" spans="1:17" x14ac:dyDescent="0.3">
      <c r="A40">
        <v>38</v>
      </c>
      <c r="B40">
        <v>45</v>
      </c>
      <c r="C40">
        <v>64</v>
      </c>
      <c r="D40">
        <v>1974</v>
      </c>
      <c r="E40">
        <v>12</v>
      </c>
      <c r="F40" t="str">
        <f t="shared" si="1"/>
        <v>36-50</v>
      </c>
      <c r="G40" t="s">
        <v>14</v>
      </c>
      <c r="H40" t="s">
        <v>151</v>
      </c>
      <c r="I40">
        <v>26.63</v>
      </c>
      <c r="J40">
        <v>-81.849999999999994</v>
      </c>
      <c r="K40" t="s">
        <v>152</v>
      </c>
      <c r="L40" s="4">
        <v>40006</v>
      </c>
      <c r="M40" s="4">
        <v>72794</v>
      </c>
      <c r="N40" s="11">
        <f t="shared" si="0"/>
        <v>1.819577063440484</v>
      </c>
      <c r="O40">
        <v>621</v>
      </c>
      <c r="P40" t="str">
        <f t="shared" si="2"/>
        <v>Fair</v>
      </c>
      <c r="Q40">
        <v>1</v>
      </c>
    </row>
    <row r="41" spans="1:17" x14ac:dyDescent="0.3">
      <c r="A41">
        <v>39</v>
      </c>
      <c r="B41">
        <v>54</v>
      </c>
      <c r="C41">
        <v>67</v>
      </c>
      <c r="D41">
        <v>1965</v>
      </c>
      <c r="E41">
        <v>5</v>
      </c>
      <c r="F41" t="str">
        <f t="shared" si="1"/>
        <v>51-60</v>
      </c>
      <c r="G41" t="s">
        <v>14</v>
      </c>
      <c r="H41" t="s">
        <v>1723</v>
      </c>
      <c r="I41">
        <v>41.29</v>
      </c>
      <c r="J41">
        <v>-72.36</v>
      </c>
      <c r="K41" t="s">
        <v>53</v>
      </c>
      <c r="L41" s="4">
        <v>61740</v>
      </c>
      <c r="M41" s="4">
        <v>126015</v>
      </c>
      <c r="N41" s="11">
        <f t="shared" si="0"/>
        <v>2.0410592808551993</v>
      </c>
      <c r="O41">
        <v>583</v>
      </c>
      <c r="P41" t="str">
        <f t="shared" si="2"/>
        <v>Fair</v>
      </c>
      <c r="Q41">
        <v>2</v>
      </c>
    </row>
    <row r="42" spans="1:17" x14ac:dyDescent="0.3">
      <c r="A42">
        <v>40</v>
      </c>
      <c r="B42">
        <v>71</v>
      </c>
      <c r="C42">
        <v>74</v>
      </c>
      <c r="D42">
        <v>1948</v>
      </c>
      <c r="E42">
        <v>6</v>
      </c>
      <c r="F42" t="str">
        <f t="shared" si="1"/>
        <v>65+</v>
      </c>
      <c r="G42" t="s">
        <v>19</v>
      </c>
      <c r="H42" t="s">
        <v>1313</v>
      </c>
      <c r="I42">
        <v>39.92</v>
      </c>
      <c r="J42">
        <v>-83.79</v>
      </c>
      <c r="K42" t="s">
        <v>1314</v>
      </c>
      <c r="L42" s="4">
        <v>29243</v>
      </c>
      <c r="M42" s="4">
        <v>30686</v>
      </c>
      <c r="N42" s="11">
        <f t="shared" si="0"/>
        <v>1.0493451424272475</v>
      </c>
      <c r="O42">
        <v>726</v>
      </c>
      <c r="P42" t="str">
        <f t="shared" si="2"/>
        <v>Good</v>
      </c>
      <c r="Q42">
        <v>4</v>
      </c>
    </row>
    <row r="43" spans="1:17" x14ac:dyDescent="0.3">
      <c r="A43">
        <v>41</v>
      </c>
      <c r="B43">
        <v>38</v>
      </c>
      <c r="C43">
        <v>70</v>
      </c>
      <c r="D43">
        <v>1981</v>
      </c>
      <c r="E43">
        <v>3</v>
      </c>
      <c r="F43" t="str">
        <f t="shared" si="1"/>
        <v>36-50</v>
      </c>
      <c r="G43" t="s">
        <v>19</v>
      </c>
      <c r="H43" t="s">
        <v>1151</v>
      </c>
      <c r="I43">
        <v>43.08</v>
      </c>
      <c r="J43">
        <v>-91.56</v>
      </c>
      <c r="K43" t="s">
        <v>1152</v>
      </c>
      <c r="L43" s="4">
        <v>27183</v>
      </c>
      <c r="M43" s="4">
        <v>58323</v>
      </c>
      <c r="N43" s="11">
        <f t="shared" si="0"/>
        <v>2.1455689217525657</v>
      </c>
      <c r="O43">
        <v>637</v>
      </c>
      <c r="P43" t="str">
        <f t="shared" si="2"/>
        <v>Fair</v>
      </c>
      <c r="Q43">
        <v>1</v>
      </c>
    </row>
    <row r="44" spans="1:17" x14ac:dyDescent="0.3">
      <c r="A44">
        <v>42</v>
      </c>
      <c r="B44">
        <v>78</v>
      </c>
      <c r="C44">
        <v>66</v>
      </c>
      <c r="D44">
        <v>1941</v>
      </c>
      <c r="E44">
        <v>11</v>
      </c>
      <c r="F44" t="str">
        <f t="shared" si="1"/>
        <v>65+</v>
      </c>
      <c r="G44" t="s">
        <v>14</v>
      </c>
      <c r="H44" t="s">
        <v>1773</v>
      </c>
      <c r="I44">
        <v>30.84</v>
      </c>
      <c r="J44">
        <v>-83.27</v>
      </c>
      <c r="K44" t="s">
        <v>1774</v>
      </c>
      <c r="L44" s="4">
        <v>8526</v>
      </c>
      <c r="M44" s="4">
        <v>3723</v>
      </c>
      <c r="N44" s="11">
        <f t="shared" si="0"/>
        <v>0.43666432090077412</v>
      </c>
      <c r="O44">
        <v>684</v>
      </c>
      <c r="P44" t="str">
        <f t="shared" si="2"/>
        <v>Good</v>
      </c>
      <c r="Q44">
        <v>3</v>
      </c>
    </row>
    <row r="45" spans="1:17" x14ac:dyDescent="0.3">
      <c r="A45">
        <v>43</v>
      </c>
      <c r="B45">
        <v>26</v>
      </c>
      <c r="C45">
        <v>66</v>
      </c>
      <c r="D45">
        <v>1993</v>
      </c>
      <c r="E45">
        <v>8</v>
      </c>
      <c r="F45" t="str">
        <f t="shared" si="1"/>
        <v>26-35</v>
      </c>
      <c r="G45" t="s">
        <v>14</v>
      </c>
      <c r="H45" t="s">
        <v>1219</v>
      </c>
      <c r="I45">
        <v>33.99</v>
      </c>
      <c r="J45">
        <v>-118.39</v>
      </c>
      <c r="K45" t="s">
        <v>1220</v>
      </c>
      <c r="L45" s="4">
        <v>61104</v>
      </c>
      <c r="M45" s="4">
        <v>79486</v>
      </c>
      <c r="N45" s="11">
        <f t="shared" si="0"/>
        <v>1.3008313694684472</v>
      </c>
      <c r="O45">
        <v>721</v>
      </c>
      <c r="P45" t="str">
        <f t="shared" si="2"/>
        <v>Good</v>
      </c>
      <c r="Q45">
        <v>4</v>
      </c>
    </row>
    <row r="46" spans="1:17" x14ac:dyDescent="0.3">
      <c r="A46">
        <v>44</v>
      </c>
      <c r="B46">
        <v>85</v>
      </c>
      <c r="C46">
        <v>67</v>
      </c>
      <c r="D46">
        <v>1934</v>
      </c>
      <c r="E46">
        <v>12</v>
      </c>
      <c r="F46" t="str">
        <f t="shared" si="1"/>
        <v>65+</v>
      </c>
      <c r="G46" t="s">
        <v>19</v>
      </c>
      <c r="H46" t="s">
        <v>1338</v>
      </c>
      <c r="I46">
        <v>43.48</v>
      </c>
      <c r="J46">
        <v>-124.16</v>
      </c>
      <c r="K46" t="s">
        <v>1339</v>
      </c>
      <c r="L46" s="4">
        <v>38194</v>
      </c>
      <c r="M46" s="4">
        <v>1674</v>
      </c>
      <c r="N46" s="11">
        <f t="shared" si="0"/>
        <v>4.3828873645075143E-2</v>
      </c>
      <c r="O46">
        <v>680</v>
      </c>
      <c r="P46" t="str">
        <f t="shared" si="2"/>
        <v>Good</v>
      </c>
      <c r="Q46">
        <v>3</v>
      </c>
    </row>
    <row r="47" spans="1:17" x14ac:dyDescent="0.3">
      <c r="A47">
        <v>45</v>
      </c>
      <c r="B47">
        <v>61</v>
      </c>
      <c r="C47">
        <v>67</v>
      </c>
      <c r="D47">
        <v>1959</v>
      </c>
      <c r="E47">
        <v>1</v>
      </c>
      <c r="F47" t="str">
        <f t="shared" si="1"/>
        <v>51-60</v>
      </c>
      <c r="G47" t="s">
        <v>14</v>
      </c>
      <c r="H47" t="s">
        <v>1054</v>
      </c>
      <c r="I47">
        <v>40.86</v>
      </c>
      <c r="J47">
        <v>-74.150000000000006</v>
      </c>
      <c r="K47" t="s">
        <v>1055</v>
      </c>
      <c r="L47" s="4">
        <v>63781</v>
      </c>
      <c r="M47" s="4">
        <v>111808</v>
      </c>
      <c r="N47" s="11">
        <f t="shared" si="0"/>
        <v>1.7529985418855145</v>
      </c>
      <c r="O47">
        <v>654</v>
      </c>
      <c r="P47" t="str">
        <f t="shared" si="2"/>
        <v>Fair</v>
      </c>
      <c r="Q47">
        <v>1</v>
      </c>
    </row>
    <row r="48" spans="1:17" x14ac:dyDescent="0.3">
      <c r="A48">
        <v>46</v>
      </c>
      <c r="B48">
        <v>62</v>
      </c>
      <c r="C48">
        <v>66</v>
      </c>
      <c r="D48">
        <v>1957</v>
      </c>
      <c r="E48">
        <v>6</v>
      </c>
      <c r="F48" t="str">
        <f t="shared" si="1"/>
        <v>51-60</v>
      </c>
      <c r="G48" t="s">
        <v>19</v>
      </c>
      <c r="H48" t="s">
        <v>133</v>
      </c>
      <c r="I48">
        <v>40.659999999999997</v>
      </c>
      <c r="J48">
        <v>-73.84</v>
      </c>
      <c r="K48" t="s">
        <v>33</v>
      </c>
      <c r="L48" s="4">
        <v>53996</v>
      </c>
      <c r="M48" s="4">
        <v>98211</v>
      </c>
      <c r="N48" s="11">
        <f t="shared" si="0"/>
        <v>1.8188569523668421</v>
      </c>
      <c r="O48">
        <v>632</v>
      </c>
      <c r="P48" t="str">
        <f t="shared" si="2"/>
        <v>Fair</v>
      </c>
      <c r="Q48">
        <v>4</v>
      </c>
    </row>
    <row r="49" spans="1:17" x14ac:dyDescent="0.3">
      <c r="A49">
        <v>47</v>
      </c>
      <c r="B49">
        <v>47</v>
      </c>
      <c r="C49">
        <v>62</v>
      </c>
      <c r="D49">
        <v>1972</v>
      </c>
      <c r="E49">
        <v>9</v>
      </c>
      <c r="F49" t="str">
        <f t="shared" si="1"/>
        <v>36-50</v>
      </c>
      <c r="G49" t="s">
        <v>19</v>
      </c>
      <c r="H49" t="s">
        <v>872</v>
      </c>
      <c r="I49">
        <v>40.840000000000003</v>
      </c>
      <c r="J49">
        <v>-73.87</v>
      </c>
      <c r="K49" t="s">
        <v>69</v>
      </c>
      <c r="L49" s="4">
        <v>25434</v>
      </c>
      <c r="M49" s="4">
        <v>45540</v>
      </c>
      <c r="N49" s="11">
        <f t="shared" si="0"/>
        <v>1.7905166312809624</v>
      </c>
      <c r="O49">
        <v>712</v>
      </c>
      <c r="P49" t="str">
        <f t="shared" si="2"/>
        <v>Good</v>
      </c>
      <c r="Q49">
        <v>4</v>
      </c>
    </row>
    <row r="50" spans="1:17" x14ac:dyDescent="0.3">
      <c r="A50">
        <v>48</v>
      </c>
      <c r="B50">
        <v>69</v>
      </c>
      <c r="C50">
        <v>63</v>
      </c>
      <c r="D50">
        <v>1950</v>
      </c>
      <c r="E50">
        <v>4</v>
      </c>
      <c r="F50" t="str">
        <f t="shared" si="1"/>
        <v>65+</v>
      </c>
      <c r="G50" t="s">
        <v>19</v>
      </c>
      <c r="H50" t="s">
        <v>1574</v>
      </c>
      <c r="I50">
        <v>35.11</v>
      </c>
      <c r="J50">
        <v>-106.62</v>
      </c>
      <c r="K50" t="s">
        <v>1575</v>
      </c>
      <c r="L50" s="4">
        <v>16542</v>
      </c>
      <c r="M50" s="4">
        <v>36831</v>
      </c>
      <c r="N50" s="11">
        <f t="shared" si="0"/>
        <v>2.2265143271672105</v>
      </c>
      <c r="O50">
        <v>733</v>
      </c>
      <c r="P50" t="str">
        <f t="shared" si="2"/>
        <v>Good</v>
      </c>
      <c r="Q50">
        <v>3</v>
      </c>
    </row>
    <row r="51" spans="1:17" x14ac:dyDescent="0.3">
      <c r="A51">
        <v>49</v>
      </c>
      <c r="B51">
        <v>38</v>
      </c>
      <c r="C51">
        <v>74</v>
      </c>
      <c r="D51">
        <v>1981</v>
      </c>
      <c r="E51">
        <v>6</v>
      </c>
      <c r="F51" t="str">
        <f t="shared" si="1"/>
        <v>36-50</v>
      </c>
      <c r="G51" t="s">
        <v>19</v>
      </c>
      <c r="H51" t="s">
        <v>1231</v>
      </c>
      <c r="I51">
        <v>40.81</v>
      </c>
      <c r="J51">
        <v>-81.93</v>
      </c>
      <c r="K51" t="s">
        <v>243</v>
      </c>
      <c r="L51" s="4">
        <v>38663</v>
      </c>
      <c r="M51" s="4">
        <v>59053</v>
      </c>
      <c r="N51" s="11">
        <f t="shared" si="0"/>
        <v>1.5273775961513592</v>
      </c>
      <c r="O51">
        <v>686</v>
      </c>
      <c r="P51" t="str">
        <f t="shared" si="2"/>
        <v>Good</v>
      </c>
      <c r="Q51">
        <v>3</v>
      </c>
    </row>
    <row r="52" spans="1:17" x14ac:dyDescent="0.3">
      <c r="A52">
        <v>50</v>
      </c>
      <c r="B52">
        <v>68</v>
      </c>
      <c r="C52">
        <v>72</v>
      </c>
      <c r="D52">
        <v>1951</v>
      </c>
      <c r="E52">
        <v>7</v>
      </c>
      <c r="F52" t="str">
        <f t="shared" si="1"/>
        <v>65+</v>
      </c>
      <c r="G52" t="s">
        <v>14</v>
      </c>
      <c r="H52" t="s">
        <v>956</v>
      </c>
      <c r="I52">
        <v>45.82</v>
      </c>
      <c r="J52">
        <v>-88.06</v>
      </c>
      <c r="K52" t="s">
        <v>957</v>
      </c>
      <c r="L52" s="4">
        <v>39238</v>
      </c>
      <c r="M52" s="4">
        <v>85457</v>
      </c>
      <c r="N52" s="11">
        <f t="shared" si="0"/>
        <v>2.1779142667822011</v>
      </c>
      <c r="O52">
        <v>702</v>
      </c>
      <c r="P52" t="str">
        <f t="shared" si="2"/>
        <v>Good</v>
      </c>
      <c r="Q52">
        <v>4</v>
      </c>
    </row>
    <row r="53" spans="1:17" x14ac:dyDescent="0.3">
      <c r="A53">
        <v>51</v>
      </c>
      <c r="B53">
        <v>29</v>
      </c>
      <c r="C53">
        <v>67</v>
      </c>
      <c r="D53">
        <v>1991</v>
      </c>
      <c r="E53">
        <v>2</v>
      </c>
      <c r="F53" t="str">
        <f t="shared" si="1"/>
        <v>26-35</v>
      </c>
      <c r="G53" t="s">
        <v>14</v>
      </c>
      <c r="H53" t="s">
        <v>1113</v>
      </c>
      <c r="I53">
        <v>36.29</v>
      </c>
      <c r="J53">
        <v>-86.6</v>
      </c>
      <c r="K53" t="s">
        <v>1043</v>
      </c>
      <c r="L53" s="4">
        <v>51303</v>
      </c>
      <c r="M53" s="4">
        <v>106248</v>
      </c>
      <c r="N53" s="11">
        <f t="shared" si="0"/>
        <v>2.0709900005847612</v>
      </c>
      <c r="O53">
        <v>688</v>
      </c>
      <c r="P53" t="str">
        <f t="shared" si="2"/>
        <v>Good</v>
      </c>
      <c r="Q53">
        <v>3</v>
      </c>
    </row>
    <row r="54" spans="1:17" x14ac:dyDescent="0.3">
      <c r="A54">
        <v>52</v>
      </c>
      <c r="B54">
        <v>56</v>
      </c>
      <c r="C54">
        <v>66</v>
      </c>
      <c r="D54">
        <v>1963</v>
      </c>
      <c r="E54">
        <v>4</v>
      </c>
      <c r="F54" t="str">
        <f t="shared" si="1"/>
        <v>51-60</v>
      </c>
      <c r="G54" t="s">
        <v>14</v>
      </c>
      <c r="H54" t="s">
        <v>1046</v>
      </c>
      <c r="I54">
        <v>41.56</v>
      </c>
      <c r="J54">
        <v>-73.59</v>
      </c>
      <c r="K54" t="s">
        <v>1047</v>
      </c>
      <c r="L54" s="4">
        <v>63796</v>
      </c>
      <c r="M54" s="4">
        <v>82173</v>
      </c>
      <c r="N54" s="11">
        <f t="shared" si="0"/>
        <v>1.2880588124647314</v>
      </c>
      <c r="O54">
        <v>730</v>
      </c>
      <c r="P54" t="str">
        <f t="shared" si="2"/>
        <v>Good</v>
      </c>
      <c r="Q54">
        <v>3</v>
      </c>
    </row>
    <row r="55" spans="1:17" x14ac:dyDescent="0.3">
      <c r="A55">
        <v>53</v>
      </c>
      <c r="B55">
        <v>49</v>
      </c>
      <c r="C55">
        <v>68</v>
      </c>
      <c r="D55">
        <v>1970</v>
      </c>
      <c r="E55">
        <v>12</v>
      </c>
      <c r="F55" t="str">
        <f t="shared" si="1"/>
        <v>36-50</v>
      </c>
      <c r="G55" t="s">
        <v>14</v>
      </c>
      <c r="H55" t="s">
        <v>939</v>
      </c>
      <c r="I55">
        <v>38.619999999999997</v>
      </c>
      <c r="J55">
        <v>-120.62</v>
      </c>
      <c r="K55" t="s">
        <v>940</v>
      </c>
      <c r="L55" s="4">
        <v>39700</v>
      </c>
      <c r="M55" s="4">
        <v>59062</v>
      </c>
      <c r="N55" s="11">
        <f t="shared" si="0"/>
        <v>1.4877078085642317</v>
      </c>
      <c r="O55">
        <v>701</v>
      </c>
      <c r="P55" t="str">
        <f t="shared" si="2"/>
        <v>Good</v>
      </c>
      <c r="Q55">
        <v>3</v>
      </c>
    </row>
    <row r="56" spans="1:17" x14ac:dyDescent="0.3">
      <c r="A56">
        <v>54</v>
      </c>
      <c r="B56">
        <v>21</v>
      </c>
      <c r="C56">
        <v>68</v>
      </c>
      <c r="D56">
        <v>1998</v>
      </c>
      <c r="E56">
        <v>4</v>
      </c>
      <c r="F56" t="str">
        <f t="shared" si="1"/>
        <v>18-25</v>
      </c>
      <c r="G56" t="s">
        <v>14</v>
      </c>
      <c r="H56" t="s">
        <v>74</v>
      </c>
      <c r="I56">
        <v>41.66</v>
      </c>
      <c r="J56">
        <v>-83.58</v>
      </c>
      <c r="K56" t="s">
        <v>75</v>
      </c>
      <c r="L56" s="4">
        <v>44160</v>
      </c>
      <c r="M56" s="4">
        <v>134173</v>
      </c>
      <c r="N56" s="11">
        <f t="shared" si="0"/>
        <v>3.0383378623188406</v>
      </c>
      <c r="O56">
        <v>696</v>
      </c>
      <c r="P56" t="str">
        <f t="shared" si="2"/>
        <v>Good</v>
      </c>
      <c r="Q56">
        <v>3</v>
      </c>
    </row>
    <row r="57" spans="1:17" x14ac:dyDescent="0.3">
      <c r="A57">
        <v>55</v>
      </c>
      <c r="B57">
        <v>61</v>
      </c>
      <c r="C57">
        <v>68</v>
      </c>
      <c r="D57">
        <v>1958</v>
      </c>
      <c r="E57">
        <v>3</v>
      </c>
      <c r="F57" t="str">
        <f t="shared" si="1"/>
        <v>51-60</v>
      </c>
      <c r="G57" t="s">
        <v>14</v>
      </c>
      <c r="H57" t="s">
        <v>1908</v>
      </c>
      <c r="I57">
        <v>37.92</v>
      </c>
      <c r="J57">
        <v>-122.34</v>
      </c>
      <c r="K57" t="s">
        <v>435</v>
      </c>
      <c r="L57" s="4">
        <v>44583</v>
      </c>
      <c r="M57" s="4">
        <v>85531</v>
      </c>
      <c r="N57" s="11">
        <f t="shared" si="0"/>
        <v>1.9184666801247112</v>
      </c>
      <c r="O57">
        <v>717</v>
      </c>
      <c r="P57" t="str">
        <f t="shared" si="2"/>
        <v>Good</v>
      </c>
      <c r="Q57">
        <v>5</v>
      </c>
    </row>
    <row r="58" spans="1:17" x14ac:dyDescent="0.3">
      <c r="A58">
        <v>56</v>
      </c>
      <c r="B58">
        <v>22</v>
      </c>
      <c r="C58">
        <v>73</v>
      </c>
      <c r="D58">
        <v>1998</v>
      </c>
      <c r="E58">
        <v>2</v>
      </c>
      <c r="F58" t="str">
        <f t="shared" si="1"/>
        <v>18-25</v>
      </c>
      <c r="G58" t="s">
        <v>14</v>
      </c>
      <c r="H58" t="s">
        <v>621</v>
      </c>
      <c r="I58">
        <v>40.76</v>
      </c>
      <c r="J58">
        <v>-111.84</v>
      </c>
      <c r="K58" t="s">
        <v>622</v>
      </c>
      <c r="L58" s="4">
        <v>21490</v>
      </c>
      <c r="M58" s="4">
        <v>32587</v>
      </c>
      <c r="N58" s="11">
        <f t="shared" si="0"/>
        <v>1.5163797114937181</v>
      </c>
      <c r="O58">
        <v>682</v>
      </c>
      <c r="P58" t="str">
        <f t="shared" si="2"/>
        <v>Good</v>
      </c>
      <c r="Q58">
        <v>2</v>
      </c>
    </row>
    <row r="59" spans="1:17" x14ac:dyDescent="0.3">
      <c r="A59">
        <v>57</v>
      </c>
      <c r="B59">
        <v>28</v>
      </c>
      <c r="C59">
        <v>66</v>
      </c>
      <c r="D59">
        <v>1992</v>
      </c>
      <c r="E59">
        <v>2</v>
      </c>
      <c r="F59" t="str">
        <f t="shared" si="1"/>
        <v>26-35</v>
      </c>
      <c r="G59" t="s">
        <v>14</v>
      </c>
      <c r="H59" t="s">
        <v>1185</v>
      </c>
      <c r="I59">
        <v>32.33</v>
      </c>
      <c r="J59">
        <v>-111.05</v>
      </c>
      <c r="K59" t="s">
        <v>1186</v>
      </c>
      <c r="L59" s="4">
        <v>43826</v>
      </c>
      <c r="M59" s="4">
        <v>84935</v>
      </c>
      <c r="N59" s="11">
        <f t="shared" si="0"/>
        <v>1.9380048373111851</v>
      </c>
      <c r="O59">
        <v>823</v>
      </c>
      <c r="P59" t="str">
        <f t="shared" si="2"/>
        <v>Excellent</v>
      </c>
      <c r="Q59">
        <v>1</v>
      </c>
    </row>
    <row r="60" spans="1:17" x14ac:dyDescent="0.3">
      <c r="A60">
        <v>58</v>
      </c>
      <c r="B60">
        <v>38</v>
      </c>
      <c r="C60">
        <v>66</v>
      </c>
      <c r="D60">
        <v>1981</v>
      </c>
      <c r="E60">
        <v>4</v>
      </c>
      <c r="F60" t="str">
        <f t="shared" si="1"/>
        <v>36-50</v>
      </c>
      <c r="G60" t="s">
        <v>14</v>
      </c>
      <c r="H60" t="s">
        <v>1424</v>
      </c>
      <c r="I60">
        <v>38.81</v>
      </c>
      <c r="J60">
        <v>-90.96</v>
      </c>
      <c r="K60" t="s">
        <v>1425</v>
      </c>
      <c r="L60" s="4">
        <v>52512</v>
      </c>
      <c r="M60" s="4">
        <v>95640</v>
      </c>
      <c r="N60" s="11">
        <f t="shared" si="0"/>
        <v>1.8212979890310785</v>
      </c>
      <c r="O60">
        <v>706</v>
      </c>
      <c r="P60" t="str">
        <f t="shared" si="2"/>
        <v>Good</v>
      </c>
      <c r="Q60">
        <v>2</v>
      </c>
    </row>
    <row r="61" spans="1:17" x14ac:dyDescent="0.3">
      <c r="A61">
        <v>59</v>
      </c>
      <c r="B61">
        <v>85</v>
      </c>
      <c r="C61">
        <v>69</v>
      </c>
      <c r="D61">
        <v>1934</v>
      </c>
      <c r="E61">
        <v>8</v>
      </c>
      <c r="F61" t="str">
        <f t="shared" si="1"/>
        <v>65+</v>
      </c>
      <c r="G61" t="s">
        <v>14</v>
      </c>
      <c r="H61" t="s">
        <v>968</v>
      </c>
      <c r="I61">
        <v>32.78</v>
      </c>
      <c r="J61">
        <v>-108.26</v>
      </c>
      <c r="K61" t="s">
        <v>969</v>
      </c>
      <c r="L61" s="4">
        <v>25066</v>
      </c>
      <c r="M61" s="4">
        <v>424</v>
      </c>
      <c r="N61" s="11">
        <f t="shared" si="0"/>
        <v>1.6915343493178012E-2</v>
      </c>
      <c r="O61">
        <v>695</v>
      </c>
      <c r="P61" t="str">
        <f t="shared" si="2"/>
        <v>Good</v>
      </c>
      <c r="Q61">
        <v>7</v>
      </c>
    </row>
    <row r="62" spans="1:17" x14ac:dyDescent="0.3">
      <c r="A62">
        <v>60</v>
      </c>
      <c r="B62">
        <v>47</v>
      </c>
      <c r="C62">
        <v>64</v>
      </c>
      <c r="D62">
        <v>1972</v>
      </c>
      <c r="E62">
        <v>8</v>
      </c>
      <c r="F62" t="str">
        <f t="shared" si="1"/>
        <v>36-50</v>
      </c>
      <c r="G62" t="s">
        <v>14</v>
      </c>
      <c r="H62" t="s">
        <v>1562</v>
      </c>
      <c r="I62">
        <v>43.23</v>
      </c>
      <c r="J62">
        <v>-77.06</v>
      </c>
      <c r="K62" t="s">
        <v>1563</v>
      </c>
      <c r="L62" s="4">
        <v>34057</v>
      </c>
      <c r="M62" s="4">
        <v>59247</v>
      </c>
      <c r="N62" s="11">
        <f t="shared" si="0"/>
        <v>1.7396423642716623</v>
      </c>
      <c r="O62">
        <v>655</v>
      </c>
      <c r="P62" t="str">
        <f t="shared" si="2"/>
        <v>Fair</v>
      </c>
      <c r="Q62">
        <v>4</v>
      </c>
    </row>
    <row r="63" spans="1:17" x14ac:dyDescent="0.3">
      <c r="A63">
        <v>61</v>
      </c>
      <c r="B63">
        <v>44</v>
      </c>
      <c r="C63">
        <v>65</v>
      </c>
      <c r="D63">
        <v>1976</v>
      </c>
      <c r="E63">
        <v>2</v>
      </c>
      <c r="F63" t="str">
        <f t="shared" si="1"/>
        <v>36-50</v>
      </c>
      <c r="G63" t="s">
        <v>14</v>
      </c>
      <c r="H63" t="s">
        <v>1523</v>
      </c>
      <c r="I63">
        <v>41.05</v>
      </c>
      <c r="J63">
        <v>-73.739999999999995</v>
      </c>
      <c r="K63" t="s">
        <v>1524</v>
      </c>
      <c r="L63" s="4">
        <v>93406</v>
      </c>
      <c r="M63" s="4">
        <v>151935</v>
      </c>
      <c r="N63" s="11">
        <f t="shared" si="0"/>
        <v>1.6266085690426739</v>
      </c>
      <c r="O63">
        <v>801</v>
      </c>
      <c r="P63" t="str">
        <f t="shared" si="2"/>
        <v>Excellent</v>
      </c>
      <c r="Q63">
        <v>3</v>
      </c>
    </row>
    <row r="64" spans="1:17" x14ac:dyDescent="0.3">
      <c r="A64">
        <v>62</v>
      </c>
      <c r="B64">
        <v>78</v>
      </c>
      <c r="C64">
        <v>68</v>
      </c>
      <c r="D64">
        <v>1941</v>
      </c>
      <c r="E64">
        <v>11</v>
      </c>
      <c r="F64" t="str">
        <f t="shared" si="1"/>
        <v>65+</v>
      </c>
      <c r="G64" t="s">
        <v>14</v>
      </c>
      <c r="H64" t="s">
        <v>1455</v>
      </c>
      <c r="I64">
        <v>41.13</v>
      </c>
      <c r="J64">
        <v>-124.04</v>
      </c>
      <c r="K64" t="s">
        <v>1456</v>
      </c>
      <c r="L64" s="4">
        <v>22290</v>
      </c>
      <c r="M64" s="4">
        <v>9235</v>
      </c>
      <c r="N64" s="11">
        <f t="shared" si="0"/>
        <v>0.41431135038133693</v>
      </c>
      <c r="O64">
        <v>716</v>
      </c>
      <c r="P64" t="str">
        <f t="shared" si="2"/>
        <v>Good</v>
      </c>
      <c r="Q64">
        <v>6</v>
      </c>
    </row>
    <row r="65" spans="1:17" x14ac:dyDescent="0.3">
      <c r="A65">
        <v>63</v>
      </c>
      <c r="B65">
        <v>40</v>
      </c>
      <c r="C65">
        <v>64</v>
      </c>
      <c r="D65">
        <v>1979</v>
      </c>
      <c r="E65">
        <v>12</v>
      </c>
      <c r="F65" t="str">
        <f t="shared" si="1"/>
        <v>36-50</v>
      </c>
      <c r="G65" t="s">
        <v>19</v>
      </c>
      <c r="H65" t="s">
        <v>595</v>
      </c>
      <c r="I65">
        <v>40.72</v>
      </c>
      <c r="J65">
        <v>-74.17</v>
      </c>
      <c r="K65" t="s">
        <v>596</v>
      </c>
      <c r="L65" s="4">
        <v>35418</v>
      </c>
      <c r="M65" s="4">
        <v>51741</v>
      </c>
      <c r="N65" s="11">
        <f t="shared" si="0"/>
        <v>1.4608673555819076</v>
      </c>
      <c r="O65">
        <v>660</v>
      </c>
      <c r="P65" t="str">
        <f t="shared" si="2"/>
        <v>Fair</v>
      </c>
      <c r="Q65">
        <v>6</v>
      </c>
    </row>
    <row r="66" spans="1:17" x14ac:dyDescent="0.3">
      <c r="A66">
        <v>64</v>
      </c>
      <c r="B66">
        <v>39</v>
      </c>
      <c r="C66">
        <v>68</v>
      </c>
      <c r="D66">
        <v>1980</v>
      </c>
      <c r="E66">
        <v>3</v>
      </c>
      <c r="F66" t="str">
        <f t="shared" si="1"/>
        <v>36-50</v>
      </c>
      <c r="G66" t="s">
        <v>14</v>
      </c>
      <c r="H66" t="s">
        <v>781</v>
      </c>
      <c r="I66">
        <v>34</v>
      </c>
      <c r="J66">
        <v>-118.03</v>
      </c>
      <c r="K66" t="s">
        <v>782</v>
      </c>
      <c r="L66" s="4">
        <v>51465</v>
      </c>
      <c r="M66" s="4">
        <v>0</v>
      </c>
      <c r="N66" s="11">
        <f t="shared" ref="N66:N129" si="3">(M66/L66)</f>
        <v>0</v>
      </c>
      <c r="O66">
        <v>702</v>
      </c>
      <c r="P66" t="str">
        <f t="shared" si="2"/>
        <v>Good</v>
      </c>
      <c r="Q66">
        <v>2</v>
      </c>
    </row>
    <row r="67" spans="1:17" x14ac:dyDescent="0.3">
      <c r="A67">
        <v>65</v>
      </c>
      <c r="B67">
        <v>51</v>
      </c>
      <c r="C67">
        <v>72</v>
      </c>
      <c r="D67">
        <v>1968</v>
      </c>
      <c r="E67">
        <v>10</v>
      </c>
      <c r="F67" t="str">
        <f t="shared" ref="F67:F130" si="4">IF(B67&lt;26,"18-25",
   IF(B67&lt;36,"26-35",
   IF(B67&lt;51,"36-50",
   IF(B67&lt;66,"51-60","65+"))))</f>
        <v>51-60</v>
      </c>
      <c r="G67" t="s">
        <v>14</v>
      </c>
      <c r="H67" t="s">
        <v>436</v>
      </c>
      <c r="I67">
        <v>33.99</v>
      </c>
      <c r="J67">
        <v>-81.08</v>
      </c>
      <c r="K67" t="s">
        <v>437</v>
      </c>
      <c r="L67" s="4">
        <v>34517</v>
      </c>
      <c r="M67" s="4">
        <v>74143</v>
      </c>
      <c r="N67" s="11">
        <f t="shared" si="3"/>
        <v>2.1480140220760786</v>
      </c>
      <c r="O67">
        <v>645</v>
      </c>
      <c r="P67" t="str">
        <f t="shared" ref="P67:P130" si="5">IF(O67&lt;580,"Poor",
   IF(O67&lt;670,"Fair",
   IF(O67&lt;740,"Good",
   IF(O67&lt;800,"Very Good","Excellent"))))</f>
        <v>Fair</v>
      </c>
      <c r="Q67">
        <v>2</v>
      </c>
    </row>
    <row r="68" spans="1:17" x14ac:dyDescent="0.3">
      <c r="A68">
        <v>66</v>
      </c>
      <c r="B68">
        <v>20</v>
      </c>
      <c r="C68">
        <v>71</v>
      </c>
      <c r="D68">
        <v>1999</v>
      </c>
      <c r="E68">
        <v>6</v>
      </c>
      <c r="F68" t="str">
        <f t="shared" si="4"/>
        <v>18-25</v>
      </c>
      <c r="G68" t="s">
        <v>14</v>
      </c>
      <c r="H68" t="s">
        <v>225</v>
      </c>
      <c r="I68">
        <v>41.23</v>
      </c>
      <c r="J68">
        <v>-80.81</v>
      </c>
      <c r="K68" t="s">
        <v>226</v>
      </c>
      <c r="L68" s="4">
        <v>31314</v>
      </c>
      <c r="M68" s="4">
        <v>40331</v>
      </c>
      <c r="N68" s="11">
        <f t="shared" si="3"/>
        <v>1.2879542696557451</v>
      </c>
      <c r="O68">
        <v>721</v>
      </c>
      <c r="P68" t="str">
        <f t="shared" si="5"/>
        <v>Good</v>
      </c>
      <c r="Q68">
        <v>4</v>
      </c>
    </row>
    <row r="69" spans="1:17" x14ac:dyDescent="0.3">
      <c r="A69">
        <v>67</v>
      </c>
      <c r="B69">
        <v>23</v>
      </c>
      <c r="C69">
        <v>65</v>
      </c>
      <c r="D69">
        <v>1996</v>
      </c>
      <c r="E69">
        <v>4</v>
      </c>
      <c r="F69" t="str">
        <f t="shared" si="4"/>
        <v>18-25</v>
      </c>
      <c r="G69" t="s">
        <v>14</v>
      </c>
      <c r="H69" t="s">
        <v>1348</v>
      </c>
      <c r="I69">
        <v>47.22</v>
      </c>
      <c r="J69">
        <v>-122.54</v>
      </c>
      <c r="K69" t="s">
        <v>837</v>
      </c>
      <c r="L69" s="4">
        <v>47639</v>
      </c>
      <c r="M69" s="4">
        <v>0</v>
      </c>
      <c r="N69" s="11">
        <f t="shared" si="3"/>
        <v>0</v>
      </c>
      <c r="O69">
        <v>732</v>
      </c>
      <c r="P69" t="str">
        <f t="shared" si="5"/>
        <v>Good</v>
      </c>
      <c r="Q69">
        <v>2</v>
      </c>
    </row>
    <row r="70" spans="1:17" x14ac:dyDescent="0.3">
      <c r="A70">
        <v>68</v>
      </c>
      <c r="B70">
        <v>42</v>
      </c>
      <c r="C70">
        <v>70</v>
      </c>
      <c r="D70">
        <v>1977</v>
      </c>
      <c r="E70">
        <v>10</v>
      </c>
      <c r="F70" t="str">
        <f t="shared" si="4"/>
        <v>36-50</v>
      </c>
      <c r="G70" t="s">
        <v>19</v>
      </c>
      <c r="H70" t="s">
        <v>20</v>
      </c>
      <c r="I70">
        <v>41.55</v>
      </c>
      <c r="J70">
        <v>-90.6</v>
      </c>
      <c r="K70" t="s">
        <v>21</v>
      </c>
      <c r="L70" s="4">
        <v>41997</v>
      </c>
      <c r="M70" s="4">
        <v>0</v>
      </c>
      <c r="N70" s="11">
        <f t="shared" si="3"/>
        <v>0</v>
      </c>
      <c r="O70">
        <v>704</v>
      </c>
      <c r="P70" t="str">
        <f t="shared" si="5"/>
        <v>Good</v>
      </c>
      <c r="Q70">
        <v>3</v>
      </c>
    </row>
    <row r="71" spans="1:17" x14ac:dyDescent="0.3">
      <c r="A71">
        <v>69</v>
      </c>
      <c r="B71">
        <v>54</v>
      </c>
      <c r="C71">
        <v>67</v>
      </c>
      <c r="D71">
        <v>1965</v>
      </c>
      <c r="E71">
        <v>10</v>
      </c>
      <c r="F71" t="str">
        <f t="shared" si="4"/>
        <v>51-60</v>
      </c>
      <c r="G71" t="s">
        <v>14</v>
      </c>
      <c r="H71" t="s">
        <v>1232</v>
      </c>
      <c r="I71">
        <v>40.520000000000003</v>
      </c>
      <c r="J71">
        <v>-81.47</v>
      </c>
      <c r="K71" t="s">
        <v>613</v>
      </c>
      <c r="L71" s="4">
        <v>38318</v>
      </c>
      <c r="M71" s="4">
        <v>93284</v>
      </c>
      <c r="N71" s="11">
        <f t="shared" si="3"/>
        <v>2.434469439949893</v>
      </c>
      <c r="O71">
        <v>748</v>
      </c>
      <c r="P71" t="str">
        <f t="shared" si="5"/>
        <v>Very Good</v>
      </c>
      <c r="Q71">
        <v>6</v>
      </c>
    </row>
    <row r="72" spans="1:17" x14ac:dyDescent="0.3">
      <c r="A72">
        <v>70</v>
      </c>
      <c r="B72">
        <v>20</v>
      </c>
      <c r="C72">
        <v>64</v>
      </c>
      <c r="D72">
        <v>2000</v>
      </c>
      <c r="E72">
        <v>2</v>
      </c>
      <c r="F72" t="str">
        <f t="shared" si="4"/>
        <v>18-25</v>
      </c>
      <c r="G72" t="s">
        <v>19</v>
      </c>
      <c r="H72" t="s">
        <v>1678</v>
      </c>
      <c r="I72">
        <v>40.26</v>
      </c>
      <c r="J72">
        <v>-76.709999999999994</v>
      </c>
      <c r="K72" t="s">
        <v>1679</v>
      </c>
      <c r="L72" s="4">
        <v>63292</v>
      </c>
      <c r="M72" s="4">
        <v>145756</v>
      </c>
      <c r="N72" s="11">
        <f t="shared" si="3"/>
        <v>2.3029134803766671</v>
      </c>
      <c r="O72">
        <v>635</v>
      </c>
      <c r="P72" t="str">
        <f t="shared" si="5"/>
        <v>Fair</v>
      </c>
      <c r="Q72">
        <v>1</v>
      </c>
    </row>
    <row r="73" spans="1:17" x14ac:dyDescent="0.3">
      <c r="A73">
        <v>71</v>
      </c>
      <c r="B73">
        <v>39</v>
      </c>
      <c r="C73">
        <v>69</v>
      </c>
      <c r="D73">
        <v>1980</v>
      </c>
      <c r="E73">
        <v>5</v>
      </c>
      <c r="F73" t="str">
        <f t="shared" si="4"/>
        <v>36-50</v>
      </c>
      <c r="G73" t="s">
        <v>19</v>
      </c>
      <c r="H73" t="s">
        <v>1552</v>
      </c>
      <c r="I73">
        <v>43.44</v>
      </c>
      <c r="J73">
        <v>-93.21</v>
      </c>
      <c r="K73" t="s">
        <v>1553</v>
      </c>
      <c r="L73" s="4">
        <v>32801</v>
      </c>
      <c r="M73" s="4">
        <v>44496</v>
      </c>
      <c r="N73" s="11">
        <f t="shared" si="3"/>
        <v>1.35654400780464</v>
      </c>
      <c r="O73">
        <v>701</v>
      </c>
      <c r="P73" t="str">
        <f t="shared" si="5"/>
        <v>Good</v>
      </c>
      <c r="Q73">
        <v>2</v>
      </c>
    </row>
    <row r="74" spans="1:17" x14ac:dyDescent="0.3">
      <c r="A74">
        <v>72</v>
      </c>
      <c r="B74">
        <v>37</v>
      </c>
      <c r="C74">
        <v>66</v>
      </c>
      <c r="D74">
        <v>1982</v>
      </c>
      <c r="E74">
        <v>12</v>
      </c>
      <c r="F74" t="str">
        <f t="shared" si="4"/>
        <v>36-50</v>
      </c>
      <c r="G74" t="s">
        <v>19</v>
      </c>
      <c r="H74" t="s">
        <v>1795</v>
      </c>
      <c r="I74">
        <v>46.51</v>
      </c>
      <c r="J74">
        <v>-112.12</v>
      </c>
      <c r="K74" t="s">
        <v>852</v>
      </c>
      <c r="L74" s="4">
        <v>41401</v>
      </c>
      <c r="M74" s="4">
        <v>71180</v>
      </c>
      <c r="N74" s="11">
        <f t="shared" si="3"/>
        <v>1.7192821429434071</v>
      </c>
      <c r="O74">
        <v>580</v>
      </c>
      <c r="P74" t="str">
        <f t="shared" si="5"/>
        <v>Fair</v>
      </c>
      <c r="Q74">
        <v>1</v>
      </c>
    </row>
    <row r="75" spans="1:17" x14ac:dyDescent="0.3">
      <c r="A75">
        <v>73</v>
      </c>
      <c r="B75">
        <v>48</v>
      </c>
      <c r="C75">
        <v>73</v>
      </c>
      <c r="D75">
        <v>1971</v>
      </c>
      <c r="E75">
        <v>12</v>
      </c>
      <c r="F75" t="str">
        <f t="shared" si="4"/>
        <v>36-50</v>
      </c>
      <c r="G75" t="s">
        <v>19</v>
      </c>
      <c r="H75" t="s">
        <v>673</v>
      </c>
      <c r="I75">
        <v>41.71</v>
      </c>
      <c r="J75">
        <v>-73.959999999999994</v>
      </c>
      <c r="K75" t="s">
        <v>674</v>
      </c>
      <c r="L75" s="4">
        <v>53478</v>
      </c>
      <c r="M75" s="4">
        <v>73030</v>
      </c>
      <c r="N75" s="11">
        <f t="shared" si="3"/>
        <v>1.3656082875201017</v>
      </c>
      <c r="O75">
        <v>674</v>
      </c>
      <c r="P75" t="str">
        <f t="shared" si="5"/>
        <v>Good</v>
      </c>
      <c r="Q75">
        <v>3</v>
      </c>
    </row>
    <row r="76" spans="1:17" x14ac:dyDescent="0.3">
      <c r="A76">
        <v>74</v>
      </c>
      <c r="B76">
        <v>54</v>
      </c>
      <c r="C76">
        <v>74</v>
      </c>
      <c r="D76">
        <v>1965</v>
      </c>
      <c r="E76">
        <v>5</v>
      </c>
      <c r="F76" t="str">
        <f t="shared" si="4"/>
        <v>51-60</v>
      </c>
      <c r="G76" t="s">
        <v>14</v>
      </c>
      <c r="H76" t="s">
        <v>760</v>
      </c>
      <c r="I76">
        <v>38.86</v>
      </c>
      <c r="J76">
        <v>-104.76</v>
      </c>
      <c r="K76" t="s">
        <v>761</v>
      </c>
      <c r="L76" s="4">
        <v>41957</v>
      </c>
      <c r="M76" s="4">
        <v>151027</v>
      </c>
      <c r="N76" s="11">
        <f t="shared" si="3"/>
        <v>3.5995662225611937</v>
      </c>
      <c r="O76">
        <v>783</v>
      </c>
      <c r="P76" t="str">
        <f t="shared" si="5"/>
        <v>Very Good</v>
      </c>
      <c r="Q76">
        <v>3</v>
      </c>
    </row>
    <row r="77" spans="1:17" x14ac:dyDescent="0.3">
      <c r="A77">
        <v>75</v>
      </c>
      <c r="B77">
        <v>80</v>
      </c>
      <c r="C77">
        <v>66</v>
      </c>
      <c r="D77">
        <v>1939</v>
      </c>
      <c r="E77">
        <v>12</v>
      </c>
      <c r="F77" t="str">
        <f t="shared" si="4"/>
        <v>65+</v>
      </c>
      <c r="G77" t="s">
        <v>14</v>
      </c>
      <c r="H77" t="s">
        <v>1539</v>
      </c>
      <c r="I77">
        <v>29.76</v>
      </c>
      <c r="J77">
        <v>-95.38</v>
      </c>
      <c r="K77" t="s">
        <v>1540</v>
      </c>
      <c r="L77" s="4">
        <v>22326</v>
      </c>
      <c r="M77" s="4">
        <v>1620</v>
      </c>
      <c r="N77" s="11">
        <f t="shared" si="3"/>
        <v>7.2561139478634781E-2</v>
      </c>
      <c r="O77">
        <v>564</v>
      </c>
      <c r="P77" t="str">
        <f t="shared" si="5"/>
        <v>Poor</v>
      </c>
      <c r="Q77">
        <v>4</v>
      </c>
    </row>
    <row r="78" spans="1:17" x14ac:dyDescent="0.3">
      <c r="A78">
        <v>76</v>
      </c>
      <c r="B78">
        <v>22</v>
      </c>
      <c r="C78">
        <v>63</v>
      </c>
      <c r="D78">
        <v>1997</v>
      </c>
      <c r="E78">
        <v>8</v>
      </c>
      <c r="F78" t="str">
        <f t="shared" si="4"/>
        <v>18-25</v>
      </c>
      <c r="G78" t="s">
        <v>14</v>
      </c>
      <c r="H78" t="s">
        <v>1028</v>
      </c>
      <c r="I78">
        <v>40.229999999999997</v>
      </c>
      <c r="J78">
        <v>-83.37</v>
      </c>
      <c r="K78" t="s">
        <v>1029</v>
      </c>
      <c r="L78" s="4">
        <v>51613</v>
      </c>
      <c r="M78" s="4">
        <v>62635</v>
      </c>
      <c r="N78" s="11">
        <f t="shared" si="3"/>
        <v>1.213550849592157</v>
      </c>
      <c r="O78">
        <v>649</v>
      </c>
      <c r="P78" t="str">
        <f t="shared" si="5"/>
        <v>Fair</v>
      </c>
      <c r="Q78">
        <v>2</v>
      </c>
    </row>
    <row r="79" spans="1:17" x14ac:dyDescent="0.3">
      <c r="A79">
        <v>77</v>
      </c>
      <c r="B79">
        <v>99</v>
      </c>
      <c r="C79">
        <v>67</v>
      </c>
      <c r="D79">
        <v>1920</v>
      </c>
      <c r="E79">
        <v>10</v>
      </c>
      <c r="F79" t="str">
        <f t="shared" si="4"/>
        <v>65+</v>
      </c>
      <c r="G79" t="s">
        <v>14</v>
      </c>
      <c r="H79" t="s">
        <v>1946</v>
      </c>
      <c r="I79">
        <v>40.24</v>
      </c>
      <c r="J79">
        <v>-76.92</v>
      </c>
      <c r="K79" t="s">
        <v>1947</v>
      </c>
      <c r="L79" s="4">
        <v>51110</v>
      </c>
      <c r="M79" s="4">
        <v>3781</v>
      </c>
      <c r="N79" s="11">
        <f t="shared" si="3"/>
        <v>7.397769516728625E-2</v>
      </c>
      <c r="O79">
        <v>709</v>
      </c>
      <c r="P79" t="str">
        <f t="shared" si="5"/>
        <v>Good</v>
      </c>
      <c r="Q79">
        <v>8</v>
      </c>
    </row>
    <row r="80" spans="1:17" x14ac:dyDescent="0.3">
      <c r="A80">
        <v>78</v>
      </c>
      <c r="B80">
        <v>37</v>
      </c>
      <c r="C80">
        <v>63</v>
      </c>
      <c r="D80">
        <v>1983</v>
      </c>
      <c r="E80">
        <v>1</v>
      </c>
      <c r="F80" t="str">
        <f t="shared" si="4"/>
        <v>36-50</v>
      </c>
      <c r="G80" t="s">
        <v>19</v>
      </c>
      <c r="H80" t="s">
        <v>360</v>
      </c>
      <c r="I80">
        <v>33.950000000000003</v>
      </c>
      <c r="J80">
        <v>-118.29</v>
      </c>
      <c r="K80" t="s">
        <v>361</v>
      </c>
      <c r="L80" s="4">
        <v>25205</v>
      </c>
      <c r="M80" s="4">
        <v>65179</v>
      </c>
      <c r="N80" s="11">
        <f t="shared" si="3"/>
        <v>2.5859551676254711</v>
      </c>
      <c r="O80">
        <v>688</v>
      </c>
      <c r="P80" t="str">
        <f t="shared" si="5"/>
        <v>Good</v>
      </c>
      <c r="Q80">
        <v>1</v>
      </c>
    </row>
    <row r="81" spans="1:17" x14ac:dyDescent="0.3">
      <c r="A81">
        <v>79</v>
      </c>
      <c r="B81">
        <v>70</v>
      </c>
      <c r="C81">
        <v>66</v>
      </c>
      <c r="D81">
        <v>1949</v>
      </c>
      <c r="E81">
        <v>10</v>
      </c>
      <c r="F81" t="str">
        <f t="shared" si="4"/>
        <v>65+</v>
      </c>
      <c r="G81" t="s">
        <v>14</v>
      </c>
      <c r="H81" t="s">
        <v>1265</v>
      </c>
      <c r="I81">
        <v>30.36</v>
      </c>
      <c r="J81">
        <v>-87.17</v>
      </c>
      <c r="K81" t="s">
        <v>1266</v>
      </c>
      <c r="L81" s="4">
        <v>29164</v>
      </c>
      <c r="M81" s="4">
        <v>19851</v>
      </c>
      <c r="N81" s="11">
        <f t="shared" si="3"/>
        <v>0.6806679467837059</v>
      </c>
      <c r="O81">
        <v>625</v>
      </c>
      <c r="P81" t="str">
        <f t="shared" si="5"/>
        <v>Fair</v>
      </c>
      <c r="Q81">
        <v>4</v>
      </c>
    </row>
    <row r="82" spans="1:17" x14ac:dyDescent="0.3">
      <c r="A82">
        <v>80</v>
      </c>
      <c r="B82">
        <v>82</v>
      </c>
      <c r="C82">
        <v>67</v>
      </c>
      <c r="D82">
        <v>1937</v>
      </c>
      <c r="E82">
        <v>8</v>
      </c>
      <c r="F82" t="str">
        <f t="shared" si="4"/>
        <v>65+</v>
      </c>
      <c r="G82" t="s">
        <v>14</v>
      </c>
      <c r="H82" t="s">
        <v>1656</v>
      </c>
      <c r="I82">
        <v>41.01</v>
      </c>
      <c r="J82">
        <v>-84.47</v>
      </c>
      <c r="K82" t="s">
        <v>1657</v>
      </c>
      <c r="L82" s="4">
        <v>21815</v>
      </c>
      <c r="M82" s="4">
        <v>1597</v>
      </c>
      <c r="N82" s="11">
        <f t="shared" si="3"/>
        <v>7.3206509282603707E-2</v>
      </c>
      <c r="O82">
        <v>498</v>
      </c>
      <c r="P82" t="str">
        <f t="shared" si="5"/>
        <v>Poor</v>
      </c>
      <c r="Q82">
        <v>5</v>
      </c>
    </row>
    <row r="83" spans="1:17" x14ac:dyDescent="0.3">
      <c r="A83">
        <v>81</v>
      </c>
      <c r="B83">
        <v>66</v>
      </c>
      <c r="C83">
        <v>68</v>
      </c>
      <c r="D83">
        <v>1953</v>
      </c>
      <c r="E83">
        <v>3</v>
      </c>
      <c r="F83" t="str">
        <f t="shared" si="4"/>
        <v>65+</v>
      </c>
      <c r="G83" t="s">
        <v>14</v>
      </c>
      <c r="H83" t="s">
        <v>487</v>
      </c>
      <c r="I83">
        <v>29.57</v>
      </c>
      <c r="J83">
        <v>-97.96</v>
      </c>
      <c r="K83" t="s">
        <v>488</v>
      </c>
      <c r="L83" s="4">
        <v>35560</v>
      </c>
      <c r="M83" s="4">
        <v>60397</v>
      </c>
      <c r="N83" s="11">
        <f t="shared" si="3"/>
        <v>1.6984533183352082</v>
      </c>
      <c r="O83">
        <v>723</v>
      </c>
      <c r="P83" t="str">
        <f t="shared" si="5"/>
        <v>Good</v>
      </c>
      <c r="Q83">
        <v>5</v>
      </c>
    </row>
    <row r="84" spans="1:17" x14ac:dyDescent="0.3">
      <c r="A84">
        <v>82</v>
      </c>
      <c r="B84">
        <v>22</v>
      </c>
      <c r="C84">
        <v>68</v>
      </c>
      <c r="D84">
        <v>1997</v>
      </c>
      <c r="E84">
        <v>9</v>
      </c>
      <c r="F84" t="str">
        <f t="shared" si="4"/>
        <v>18-25</v>
      </c>
      <c r="G84" t="s">
        <v>14</v>
      </c>
      <c r="H84" t="s">
        <v>774</v>
      </c>
      <c r="I84">
        <v>41.83</v>
      </c>
      <c r="J84">
        <v>-87.68</v>
      </c>
      <c r="K84" t="s">
        <v>22</v>
      </c>
      <c r="L84" s="4">
        <v>2026</v>
      </c>
      <c r="M84" s="4">
        <v>1417</v>
      </c>
      <c r="N84" s="11">
        <f t="shared" si="3"/>
        <v>0.69940769990128326</v>
      </c>
      <c r="O84">
        <v>779</v>
      </c>
      <c r="P84" t="str">
        <f t="shared" si="5"/>
        <v>Very Good</v>
      </c>
      <c r="Q84">
        <v>1</v>
      </c>
    </row>
    <row r="85" spans="1:17" x14ac:dyDescent="0.3">
      <c r="A85">
        <v>83</v>
      </c>
      <c r="B85">
        <v>31</v>
      </c>
      <c r="C85">
        <v>69</v>
      </c>
      <c r="D85">
        <v>1988</v>
      </c>
      <c r="E85">
        <v>5</v>
      </c>
      <c r="F85" t="str">
        <f t="shared" si="4"/>
        <v>26-35</v>
      </c>
      <c r="G85" t="s">
        <v>19</v>
      </c>
      <c r="H85" t="s">
        <v>1171</v>
      </c>
      <c r="I85">
        <v>38.29</v>
      </c>
      <c r="J85">
        <v>-77.48</v>
      </c>
      <c r="K85" t="s">
        <v>1172</v>
      </c>
      <c r="L85" s="4">
        <v>59455</v>
      </c>
      <c r="M85" s="4">
        <v>96224</v>
      </c>
      <c r="N85" s="11">
        <f t="shared" si="3"/>
        <v>1.6184341098309647</v>
      </c>
      <c r="O85">
        <v>557</v>
      </c>
      <c r="P85" t="str">
        <f t="shared" si="5"/>
        <v>Poor</v>
      </c>
      <c r="Q85">
        <v>1</v>
      </c>
    </row>
    <row r="86" spans="1:17" x14ac:dyDescent="0.3">
      <c r="A86">
        <v>84</v>
      </c>
      <c r="B86">
        <v>47</v>
      </c>
      <c r="C86">
        <v>68</v>
      </c>
      <c r="D86">
        <v>1972</v>
      </c>
      <c r="E86">
        <v>9</v>
      </c>
      <c r="F86" t="str">
        <f t="shared" si="4"/>
        <v>36-50</v>
      </c>
      <c r="G86" t="s">
        <v>19</v>
      </c>
      <c r="H86" t="s">
        <v>186</v>
      </c>
      <c r="I86">
        <v>36.49</v>
      </c>
      <c r="J86">
        <v>-81.5</v>
      </c>
      <c r="K86" t="s">
        <v>187</v>
      </c>
      <c r="L86" s="4">
        <v>25748</v>
      </c>
      <c r="M86" s="4">
        <v>41455</v>
      </c>
      <c r="N86" s="11">
        <f t="shared" si="3"/>
        <v>1.6100279633369583</v>
      </c>
      <c r="O86">
        <v>738</v>
      </c>
      <c r="P86" t="str">
        <f t="shared" si="5"/>
        <v>Good</v>
      </c>
      <c r="Q86">
        <v>3</v>
      </c>
    </row>
    <row r="87" spans="1:17" x14ac:dyDescent="0.3">
      <c r="A87">
        <v>85</v>
      </c>
      <c r="B87">
        <v>29</v>
      </c>
      <c r="C87">
        <v>60</v>
      </c>
      <c r="D87">
        <v>1990</v>
      </c>
      <c r="E87">
        <v>4</v>
      </c>
      <c r="F87" t="str">
        <f t="shared" si="4"/>
        <v>26-35</v>
      </c>
      <c r="G87" t="s">
        <v>19</v>
      </c>
      <c r="H87" t="s">
        <v>375</v>
      </c>
      <c r="I87">
        <v>34.92</v>
      </c>
      <c r="J87">
        <v>-76.89</v>
      </c>
      <c r="K87" t="s">
        <v>376</v>
      </c>
      <c r="L87" s="4">
        <v>32636</v>
      </c>
      <c r="M87" s="4">
        <v>42290</v>
      </c>
      <c r="N87" s="11">
        <f t="shared" si="3"/>
        <v>1.2958083098418924</v>
      </c>
      <c r="O87">
        <v>782</v>
      </c>
      <c r="P87" t="str">
        <f t="shared" si="5"/>
        <v>Very Good</v>
      </c>
      <c r="Q87">
        <v>1</v>
      </c>
    </row>
    <row r="88" spans="1:17" x14ac:dyDescent="0.3">
      <c r="A88">
        <v>86</v>
      </c>
      <c r="B88">
        <v>24</v>
      </c>
      <c r="C88">
        <v>65</v>
      </c>
      <c r="D88">
        <v>1995</v>
      </c>
      <c r="E88">
        <v>6</v>
      </c>
      <c r="F88" t="str">
        <f t="shared" si="4"/>
        <v>18-25</v>
      </c>
      <c r="G88" t="s">
        <v>19</v>
      </c>
      <c r="H88" t="s">
        <v>1595</v>
      </c>
      <c r="I88">
        <v>33</v>
      </c>
      <c r="J88">
        <v>-81.3</v>
      </c>
      <c r="K88" t="s">
        <v>1596</v>
      </c>
      <c r="L88" s="4">
        <v>23212</v>
      </c>
      <c r="M88" s="4">
        <v>25138</v>
      </c>
      <c r="N88" s="11">
        <f t="shared" si="3"/>
        <v>1.0829743236257108</v>
      </c>
      <c r="O88">
        <v>799</v>
      </c>
      <c r="P88" t="str">
        <f t="shared" si="5"/>
        <v>Very Good</v>
      </c>
      <c r="Q88">
        <v>3</v>
      </c>
    </row>
    <row r="89" spans="1:17" x14ac:dyDescent="0.3">
      <c r="A89">
        <v>87</v>
      </c>
      <c r="B89">
        <v>58</v>
      </c>
      <c r="C89">
        <v>71</v>
      </c>
      <c r="D89">
        <v>1961</v>
      </c>
      <c r="E89">
        <v>5</v>
      </c>
      <c r="F89" t="str">
        <f t="shared" si="4"/>
        <v>51-60</v>
      </c>
      <c r="G89" t="s">
        <v>19</v>
      </c>
      <c r="H89" t="s">
        <v>491</v>
      </c>
      <c r="I89">
        <v>26.13</v>
      </c>
      <c r="J89">
        <v>-97.63</v>
      </c>
      <c r="K89" t="s">
        <v>492</v>
      </c>
      <c r="L89" s="4">
        <v>24155</v>
      </c>
      <c r="M89" s="4">
        <v>2870</v>
      </c>
      <c r="N89" s="11">
        <f t="shared" si="3"/>
        <v>0.11881598012833781</v>
      </c>
      <c r="O89">
        <v>802</v>
      </c>
      <c r="P89" t="str">
        <f t="shared" si="5"/>
        <v>Excellent</v>
      </c>
      <c r="Q89">
        <v>3</v>
      </c>
    </row>
    <row r="90" spans="1:17" x14ac:dyDescent="0.3">
      <c r="A90">
        <v>88</v>
      </c>
      <c r="B90">
        <v>22</v>
      </c>
      <c r="C90">
        <v>68</v>
      </c>
      <c r="D90">
        <v>1997</v>
      </c>
      <c r="E90">
        <v>8</v>
      </c>
      <c r="F90" t="str">
        <f t="shared" si="4"/>
        <v>18-25</v>
      </c>
      <c r="G90" t="s">
        <v>19</v>
      </c>
      <c r="H90" t="s">
        <v>1183</v>
      </c>
      <c r="I90">
        <v>35.46</v>
      </c>
      <c r="J90">
        <v>-86.08</v>
      </c>
      <c r="K90" t="s">
        <v>1184</v>
      </c>
      <c r="L90" s="4">
        <v>33337</v>
      </c>
      <c r="M90" s="4">
        <v>71679</v>
      </c>
      <c r="N90" s="11">
        <f t="shared" si="3"/>
        <v>2.1501334853166152</v>
      </c>
      <c r="O90">
        <v>712</v>
      </c>
      <c r="P90" t="str">
        <f t="shared" si="5"/>
        <v>Good</v>
      </c>
      <c r="Q90">
        <v>1</v>
      </c>
    </row>
    <row r="91" spans="1:17" x14ac:dyDescent="0.3">
      <c r="A91">
        <v>89</v>
      </c>
      <c r="B91">
        <v>35</v>
      </c>
      <c r="C91">
        <v>67</v>
      </c>
      <c r="D91">
        <v>1984</v>
      </c>
      <c r="E91">
        <v>6</v>
      </c>
      <c r="F91" t="str">
        <f t="shared" si="4"/>
        <v>26-35</v>
      </c>
      <c r="G91" t="s">
        <v>19</v>
      </c>
      <c r="H91" t="s">
        <v>483</v>
      </c>
      <c r="I91">
        <v>32.270000000000003</v>
      </c>
      <c r="J91">
        <v>-106.61</v>
      </c>
      <c r="K91" t="s">
        <v>484</v>
      </c>
      <c r="L91" s="4">
        <v>30217</v>
      </c>
      <c r="M91" s="4">
        <v>23394</v>
      </c>
      <c r="N91" s="11">
        <f t="shared" si="3"/>
        <v>0.77419995366846472</v>
      </c>
      <c r="O91">
        <v>705</v>
      </c>
      <c r="P91" t="str">
        <f t="shared" si="5"/>
        <v>Good</v>
      </c>
      <c r="Q91">
        <v>4</v>
      </c>
    </row>
    <row r="92" spans="1:17" x14ac:dyDescent="0.3">
      <c r="A92">
        <v>90</v>
      </c>
      <c r="B92">
        <v>63</v>
      </c>
      <c r="C92">
        <v>62</v>
      </c>
      <c r="D92">
        <v>1956</v>
      </c>
      <c r="E92">
        <v>8</v>
      </c>
      <c r="F92" t="str">
        <f t="shared" si="4"/>
        <v>51-60</v>
      </c>
      <c r="G92" t="s">
        <v>19</v>
      </c>
      <c r="H92" t="s">
        <v>1766</v>
      </c>
      <c r="I92">
        <v>28.37</v>
      </c>
      <c r="J92">
        <v>-80.75</v>
      </c>
      <c r="K92" t="s">
        <v>1767</v>
      </c>
      <c r="L92" s="4">
        <v>12796</v>
      </c>
      <c r="M92" s="4">
        <v>22192</v>
      </c>
      <c r="N92" s="11">
        <f t="shared" si="3"/>
        <v>1.7342919662394498</v>
      </c>
      <c r="O92">
        <v>644</v>
      </c>
      <c r="P92" t="str">
        <f t="shared" si="5"/>
        <v>Fair</v>
      </c>
      <c r="Q92">
        <v>3</v>
      </c>
    </row>
    <row r="93" spans="1:17" x14ac:dyDescent="0.3">
      <c r="A93">
        <v>91</v>
      </c>
      <c r="B93">
        <v>38</v>
      </c>
      <c r="C93">
        <v>72</v>
      </c>
      <c r="D93">
        <v>1981</v>
      </c>
      <c r="E93">
        <v>10</v>
      </c>
      <c r="F93" t="str">
        <f t="shared" si="4"/>
        <v>36-50</v>
      </c>
      <c r="G93" t="s">
        <v>14</v>
      </c>
      <c r="H93" t="s">
        <v>412</v>
      </c>
      <c r="I93">
        <v>39.729999999999997</v>
      </c>
      <c r="J93">
        <v>-75.53</v>
      </c>
      <c r="K93" t="s">
        <v>413</v>
      </c>
      <c r="L93" s="4">
        <v>72647</v>
      </c>
      <c r="M93" s="4">
        <v>90579</v>
      </c>
      <c r="N93" s="11">
        <f t="shared" si="3"/>
        <v>1.2468374468319408</v>
      </c>
      <c r="O93">
        <v>739</v>
      </c>
      <c r="P93" t="str">
        <f t="shared" si="5"/>
        <v>Good</v>
      </c>
      <c r="Q93">
        <v>1</v>
      </c>
    </row>
    <row r="94" spans="1:17" x14ac:dyDescent="0.3">
      <c r="A94">
        <v>92</v>
      </c>
      <c r="B94">
        <v>76</v>
      </c>
      <c r="C94">
        <v>68</v>
      </c>
      <c r="D94">
        <v>1943</v>
      </c>
      <c r="E94">
        <v>10</v>
      </c>
      <c r="F94" t="str">
        <f t="shared" si="4"/>
        <v>65+</v>
      </c>
      <c r="G94" t="s">
        <v>14</v>
      </c>
      <c r="H94" t="s">
        <v>1094</v>
      </c>
      <c r="I94">
        <v>43.54</v>
      </c>
      <c r="J94">
        <v>-96.73</v>
      </c>
      <c r="K94" t="s">
        <v>1095</v>
      </c>
      <c r="L94" s="4">
        <v>31145</v>
      </c>
      <c r="M94" s="4">
        <v>5132</v>
      </c>
      <c r="N94" s="11">
        <f t="shared" si="3"/>
        <v>0.16477765291379035</v>
      </c>
      <c r="O94">
        <v>689</v>
      </c>
      <c r="P94" t="str">
        <f t="shared" si="5"/>
        <v>Good</v>
      </c>
      <c r="Q94">
        <v>4</v>
      </c>
    </row>
    <row r="95" spans="1:17" x14ac:dyDescent="0.3">
      <c r="A95">
        <v>93</v>
      </c>
      <c r="B95">
        <v>33</v>
      </c>
      <c r="C95">
        <v>69</v>
      </c>
      <c r="D95">
        <v>1986</v>
      </c>
      <c r="E95">
        <v>8</v>
      </c>
      <c r="F95" t="str">
        <f t="shared" si="4"/>
        <v>26-35</v>
      </c>
      <c r="G95" t="s">
        <v>14</v>
      </c>
      <c r="H95" t="s">
        <v>733</v>
      </c>
      <c r="I95">
        <v>35.75</v>
      </c>
      <c r="J95">
        <v>-87.79</v>
      </c>
      <c r="K95" t="s">
        <v>734</v>
      </c>
      <c r="L95" s="4">
        <v>28696</v>
      </c>
      <c r="M95" s="4">
        <v>52910</v>
      </c>
      <c r="N95" s="11">
        <f t="shared" si="3"/>
        <v>1.8438109841092836</v>
      </c>
      <c r="O95">
        <v>686</v>
      </c>
      <c r="P95" t="str">
        <f t="shared" si="5"/>
        <v>Good</v>
      </c>
      <c r="Q95">
        <v>4</v>
      </c>
    </row>
    <row r="96" spans="1:17" x14ac:dyDescent="0.3">
      <c r="A96">
        <v>94</v>
      </c>
      <c r="B96">
        <v>59</v>
      </c>
      <c r="C96">
        <v>72</v>
      </c>
      <c r="D96">
        <v>1961</v>
      </c>
      <c r="E96">
        <v>1</v>
      </c>
      <c r="F96" t="str">
        <f t="shared" si="4"/>
        <v>51-60</v>
      </c>
      <c r="G96" t="s">
        <v>14</v>
      </c>
      <c r="H96" t="s">
        <v>665</v>
      </c>
      <c r="I96">
        <v>35.71</v>
      </c>
      <c r="J96">
        <v>-81.150000000000006</v>
      </c>
      <c r="K96" t="s">
        <v>666</v>
      </c>
      <c r="L96" s="4">
        <v>36760</v>
      </c>
      <c r="M96" s="4">
        <v>95755</v>
      </c>
      <c r="N96" s="11">
        <f t="shared" si="3"/>
        <v>2.6048694232861807</v>
      </c>
      <c r="O96">
        <v>593</v>
      </c>
      <c r="P96" t="str">
        <f t="shared" si="5"/>
        <v>Fair</v>
      </c>
      <c r="Q96">
        <v>2</v>
      </c>
    </row>
    <row r="97" spans="1:17" x14ac:dyDescent="0.3">
      <c r="A97">
        <v>95</v>
      </c>
      <c r="B97">
        <v>25</v>
      </c>
      <c r="C97">
        <v>67</v>
      </c>
      <c r="D97">
        <v>1994</v>
      </c>
      <c r="E97">
        <v>8</v>
      </c>
      <c r="F97" t="str">
        <f t="shared" si="4"/>
        <v>18-25</v>
      </c>
      <c r="G97" t="s">
        <v>14</v>
      </c>
      <c r="H97" t="s">
        <v>677</v>
      </c>
      <c r="I97">
        <v>47.62</v>
      </c>
      <c r="J97">
        <v>-122.16</v>
      </c>
      <c r="K97" t="s">
        <v>678</v>
      </c>
      <c r="L97" s="4">
        <v>88554</v>
      </c>
      <c r="M97" s="4">
        <v>142154</v>
      </c>
      <c r="N97" s="11">
        <f t="shared" si="3"/>
        <v>1.6052803938839577</v>
      </c>
      <c r="O97">
        <v>701</v>
      </c>
      <c r="P97" t="str">
        <f t="shared" si="5"/>
        <v>Good</v>
      </c>
      <c r="Q97">
        <v>2</v>
      </c>
    </row>
    <row r="98" spans="1:17" x14ac:dyDescent="0.3">
      <c r="A98">
        <v>96</v>
      </c>
      <c r="B98">
        <v>69</v>
      </c>
      <c r="C98">
        <v>66</v>
      </c>
      <c r="D98">
        <v>1950</v>
      </c>
      <c r="E98">
        <v>12</v>
      </c>
      <c r="F98" t="str">
        <f t="shared" si="4"/>
        <v>65+</v>
      </c>
      <c r="G98" t="s">
        <v>14</v>
      </c>
      <c r="H98" t="s">
        <v>1181</v>
      </c>
      <c r="I98">
        <v>33.89</v>
      </c>
      <c r="J98">
        <v>-117.78</v>
      </c>
      <c r="K98" t="s">
        <v>1182</v>
      </c>
      <c r="L98" s="4">
        <v>99825</v>
      </c>
      <c r="M98" s="4">
        <v>4344</v>
      </c>
      <c r="N98" s="11">
        <f t="shared" si="3"/>
        <v>4.3516153268219386E-2</v>
      </c>
      <c r="O98">
        <v>685</v>
      </c>
      <c r="P98" t="str">
        <f t="shared" si="5"/>
        <v>Good</v>
      </c>
      <c r="Q98">
        <v>4</v>
      </c>
    </row>
    <row r="99" spans="1:17" x14ac:dyDescent="0.3">
      <c r="A99">
        <v>97</v>
      </c>
      <c r="B99">
        <v>69</v>
      </c>
      <c r="C99">
        <v>60</v>
      </c>
      <c r="D99">
        <v>1950</v>
      </c>
      <c r="E99">
        <v>3</v>
      </c>
      <c r="F99" t="str">
        <f t="shared" si="4"/>
        <v>65+</v>
      </c>
      <c r="G99" t="s">
        <v>14</v>
      </c>
      <c r="H99" t="s">
        <v>1971</v>
      </c>
      <c r="I99">
        <v>35.97</v>
      </c>
      <c r="J99">
        <v>-83.94</v>
      </c>
      <c r="K99" t="s">
        <v>1972</v>
      </c>
      <c r="L99" s="4">
        <v>32952</v>
      </c>
      <c r="M99" s="4">
        <v>5077</v>
      </c>
      <c r="N99" s="11">
        <f t="shared" si="3"/>
        <v>0.1540725904345715</v>
      </c>
      <c r="O99">
        <v>765</v>
      </c>
      <c r="P99" t="str">
        <f t="shared" si="5"/>
        <v>Very Good</v>
      </c>
      <c r="Q99">
        <v>1</v>
      </c>
    </row>
    <row r="100" spans="1:17" x14ac:dyDescent="0.3">
      <c r="A100">
        <v>98</v>
      </c>
      <c r="B100">
        <v>80</v>
      </c>
      <c r="C100">
        <v>67</v>
      </c>
      <c r="D100">
        <v>1939</v>
      </c>
      <c r="E100">
        <v>4</v>
      </c>
      <c r="F100" t="str">
        <f t="shared" si="4"/>
        <v>65+</v>
      </c>
      <c r="G100" t="s">
        <v>14</v>
      </c>
      <c r="H100" t="s">
        <v>1426</v>
      </c>
      <c r="I100">
        <v>40.14</v>
      </c>
      <c r="J100">
        <v>-87.61</v>
      </c>
      <c r="K100" t="s">
        <v>502</v>
      </c>
      <c r="L100" s="4">
        <v>16646</v>
      </c>
      <c r="M100" s="4">
        <v>1639</v>
      </c>
      <c r="N100" s="11">
        <f t="shared" si="3"/>
        <v>9.8462092995314193E-2</v>
      </c>
      <c r="O100">
        <v>590</v>
      </c>
      <c r="P100" t="str">
        <f t="shared" si="5"/>
        <v>Fair</v>
      </c>
      <c r="Q100">
        <v>2</v>
      </c>
    </row>
    <row r="101" spans="1:17" x14ac:dyDescent="0.3">
      <c r="A101">
        <v>99</v>
      </c>
      <c r="B101">
        <v>63</v>
      </c>
      <c r="C101">
        <v>65</v>
      </c>
      <c r="D101">
        <v>1956</v>
      </c>
      <c r="E101">
        <v>11</v>
      </c>
      <c r="F101" t="str">
        <f t="shared" si="4"/>
        <v>51-60</v>
      </c>
      <c r="G101" t="s">
        <v>14</v>
      </c>
      <c r="H101" t="s">
        <v>560</v>
      </c>
      <c r="I101">
        <v>26.23</v>
      </c>
      <c r="J101">
        <v>-80.13</v>
      </c>
      <c r="K101" t="s">
        <v>561</v>
      </c>
      <c r="L101" s="4">
        <v>54095</v>
      </c>
      <c r="M101" s="4">
        <v>76109</v>
      </c>
      <c r="N101" s="11">
        <f t="shared" si="3"/>
        <v>1.4069507348183752</v>
      </c>
      <c r="O101">
        <v>753</v>
      </c>
      <c r="P101" t="str">
        <f t="shared" si="5"/>
        <v>Very Good</v>
      </c>
      <c r="Q101">
        <v>3</v>
      </c>
    </row>
    <row r="102" spans="1:17" x14ac:dyDescent="0.3">
      <c r="A102">
        <v>100</v>
      </c>
      <c r="B102">
        <v>56</v>
      </c>
      <c r="C102">
        <v>66</v>
      </c>
      <c r="D102">
        <v>1963</v>
      </c>
      <c r="E102">
        <v>9</v>
      </c>
      <c r="F102" t="str">
        <f t="shared" si="4"/>
        <v>51-60</v>
      </c>
      <c r="G102" t="s">
        <v>19</v>
      </c>
      <c r="H102" t="s">
        <v>1543</v>
      </c>
      <c r="I102">
        <v>35.979999999999997</v>
      </c>
      <c r="J102">
        <v>-79.989999999999995</v>
      </c>
      <c r="K102" t="s">
        <v>1544</v>
      </c>
      <c r="L102" s="4">
        <v>48944</v>
      </c>
      <c r="M102" s="4">
        <v>79960</v>
      </c>
      <c r="N102" s="11">
        <f t="shared" si="3"/>
        <v>1.6337038247793396</v>
      </c>
      <c r="O102">
        <v>813</v>
      </c>
      <c r="P102" t="str">
        <f t="shared" si="5"/>
        <v>Excellent</v>
      </c>
      <c r="Q102">
        <v>7</v>
      </c>
    </row>
    <row r="103" spans="1:17" x14ac:dyDescent="0.3">
      <c r="A103">
        <v>101</v>
      </c>
      <c r="B103">
        <v>18</v>
      </c>
      <c r="C103">
        <v>62</v>
      </c>
      <c r="D103">
        <v>2002</v>
      </c>
      <c r="E103">
        <v>1</v>
      </c>
      <c r="F103" t="str">
        <f t="shared" si="4"/>
        <v>18-25</v>
      </c>
      <c r="G103" t="s">
        <v>14</v>
      </c>
      <c r="H103" t="s">
        <v>1713</v>
      </c>
      <c r="I103">
        <v>32.880000000000003</v>
      </c>
      <c r="J103">
        <v>-105.95</v>
      </c>
      <c r="K103" t="s">
        <v>1714</v>
      </c>
      <c r="L103" s="4">
        <v>30778</v>
      </c>
      <c r="M103" s="4">
        <v>73680</v>
      </c>
      <c r="N103" s="11">
        <f t="shared" si="3"/>
        <v>2.393917733445968</v>
      </c>
      <c r="O103">
        <v>681</v>
      </c>
      <c r="P103" t="str">
        <f t="shared" si="5"/>
        <v>Good</v>
      </c>
      <c r="Q103">
        <v>1</v>
      </c>
    </row>
    <row r="104" spans="1:17" x14ac:dyDescent="0.3">
      <c r="A104">
        <v>102</v>
      </c>
      <c r="B104">
        <v>32</v>
      </c>
      <c r="C104">
        <v>67</v>
      </c>
      <c r="D104">
        <v>1987</v>
      </c>
      <c r="E104">
        <v>7</v>
      </c>
      <c r="F104" t="str">
        <f t="shared" si="4"/>
        <v>26-35</v>
      </c>
      <c r="G104" t="s">
        <v>14</v>
      </c>
      <c r="H104" t="s">
        <v>1706</v>
      </c>
      <c r="I104">
        <v>33.76</v>
      </c>
      <c r="J104">
        <v>-117.97</v>
      </c>
      <c r="K104" t="s">
        <v>1707</v>
      </c>
      <c r="L104" s="4">
        <v>33212</v>
      </c>
      <c r="M104" s="4">
        <v>59638</v>
      </c>
      <c r="N104" s="11">
        <f t="shared" si="3"/>
        <v>1.7956762615921955</v>
      </c>
      <c r="O104">
        <v>649</v>
      </c>
      <c r="P104" t="str">
        <f t="shared" si="5"/>
        <v>Fair</v>
      </c>
      <c r="Q104">
        <v>1</v>
      </c>
    </row>
    <row r="105" spans="1:17" x14ac:dyDescent="0.3">
      <c r="A105">
        <v>103</v>
      </c>
      <c r="B105">
        <v>41</v>
      </c>
      <c r="C105">
        <v>71</v>
      </c>
      <c r="D105">
        <v>1978</v>
      </c>
      <c r="E105">
        <v>3</v>
      </c>
      <c r="F105" t="str">
        <f t="shared" si="4"/>
        <v>36-50</v>
      </c>
      <c r="G105" t="s">
        <v>14</v>
      </c>
      <c r="H105" t="s">
        <v>599</v>
      </c>
      <c r="I105">
        <v>35.82</v>
      </c>
      <c r="J105">
        <v>-78.650000000000006</v>
      </c>
      <c r="K105" t="s">
        <v>600</v>
      </c>
      <c r="L105" s="4">
        <v>34774</v>
      </c>
      <c r="M105" s="4">
        <v>78060</v>
      </c>
      <c r="N105" s="11">
        <f t="shared" si="3"/>
        <v>2.2447805831943408</v>
      </c>
      <c r="O105">
        <v>850</v>
      </c>
      <c r="P105" t="str">
        <f t="shared" si="5"/>
        <v>Excellent</v>
      </c>
      <c r="Q105">
        <v>5</v>
      </c>
    </row>
    <row r="106" spans="1:17" x14ac:dyDescent="0.3">
      <c r="A106">
        <v>104</v>
      </c>
      <c r="B106">
        <v>33</v>
      </c>
      <c r="C106">
        <v>65</v>
      </c>
      <c r="D106">
        <v>1986</v>
      </c>
      <c r="E106">
        <v>11</v>
      </c>
      <c r="F106" t="str">
        <f t="shared" si="4"/>
        <v>26-35</v>
      </c>
      <c r="G106" t="s">
        <v>14</v>
      </c>
      <c r="H106" t="s">
        <v>931</v>
      </c>
      <c r="I106">
        <v>32.69</v>
      </c>
      <c r="J106">
        <v>-97.01</v>
      </c>
      <c r="K106" t="s">
        <v>932</v>
      </c>
      <c r="L106" s="4">
        <v>37384</v>
      </c>
      <c r="M106" s="4">
        <v>49182</v>
      </c>
      <c r="N106" s="11">
        <f t="shared" si="3"/>
        <v>1.3155895570297453</v>
      </c>
      <c r="O106">
        <v>713</v>
      </c>
      <c r="P106" t="str">
        <f t="shared" si="5"/>
        <v>Good</v>
      </c>
      <c r="Q106">
        <v>3</v>
      </c>
    </row>
    <row r="107" spans="1:17" x14ac:dyDescent="0.3">
      <c r="A107">
        <v>105</v>
      </c>
      <c r="B107">
        <v>54</v>
      </c>
      <c r="C107">
        <v>68</v>
      </c>
      <c r="D107">
        <v>1965</v>
      </c>
      <c r="E107">
        <v>8</v>
      </c>
      <c r="F107" t="str">
        <f t="shared" si="4"/>
        <v>51-60</v>
      </c>
      <c r="G107" t="s">
        <v>19</v>
      </c>
      <c r="H107" t="s">
        <v>1890</v>
      </c>
      <c r="I107">
        <v>41.47</v>
      </c>
      <c r="J107">
        <v>-75.569999999999993</v>
      </c>
      <c r="K107" t="s">
        <v>1891</v>
      </c>
      <c r="L107" s="4">
        <v>37579</v>
      </c>
      <c r="M107" s="4">
        <v>0</v>
      </c>
      <c r="N107" s="11">
        <f t="shared" si="3"/>
        <v>0</v>
      </c>
      <c r="O107">
        <v>742</v>
      </c>
      <c r="P107" t="str">
        <f t="shared" si="5"/>
        <v>Very Good</v>
      </c>
      <c r="Q107">
        <v>5</v>
      </c>
    </row>
    <row r="108" spans="1:17" x14ac:dyDescent="0.3">
      <c r="A108">
        <v>106</v>
      </c>
      <c r="B108">
        <v>52</v>
      </c>
      <c r="C108">
        <v>60</v>
      </c>
      <c r="D108">
        <v>1967</v>
      </c>
      <c r="E108">
        <v>10</v>
      </c>
      <c r="F108" t="str">
        <f t="shared" si="4"/>
        <v>51-60</v>
      </c>
      <c r="G108" t="s">
        <v>19</v>
      </c>
      <c r="H108" t="s">
        <v>1647</v>
      </c>
      <c r="I108">
        <v>39.770000000000003</v>
      </c>
      <c r="J108">
        <v>-86.14</v>
      </c>
      <c r="K108" t="s">
        <v>1648</v>
      </c>
      <c r="L108" s="4">
        <v>29957</v>
      </c>
      <c r="M108" s="4">
        <v>60321</v>
      </c>
      <c r="N108" s="11">
        <f t="shared" si="3"/>
        <v>2.0135861401341923</v>
      </c>
      <c r="O108">
        <v>624</v>
      </c>
      <c r="P108" t="str">
        <f t="shared" si="5"/>
        <v>Fair</v>
      </c>
      <c r="Q108">
        <v>5</v>
      </c>
    </row>
    <row r="109" spans="1:17" x14ac:dyDescent="0.3">
      <c r="A109">
        <v>107</v>
      </c>
      <c r="B109">
        <v>50</v>
      </c>
      <c r="C109">
        <v>70</v>
      </c>
      <c r="D109">
        <v>1970</v>
      </c>
      <c r="E109">
        <v>1</v>
      </c>
      <c r="F109" t="str">
        <f t="shared" si="4"/>
        <v>36-50</v>
      </c>
      <c r="G109" t="s">
        <v>19</v>
      </c>
      <c r="H109" t="s">
        <v>1509</v>
      </c>
      <c r="I109">
        <v>34.29</v>
      </c>
      <c r="J109">
        <v>-94.33</v>
      </c>
      <c r="K109" t="s">
        <v>1510</v>
      </c>
      <c r="L109" s="4">
        <v>26758</v>
      </c>
      <c r="M109" s="4">
        <v>41064</v>
      </c>
      <c r="N109" s="11">
        <f t="shared" si="3"/>
        <v>1.5346438448314523</v>
      </c>
      <c r="O109">
        <v>734</v>
      </c>
      <c r="P109" t="str">
        <f t="shared" si="5"/>
        <v>Good</v>
      </c>
      <c r="Q109">
        <v>5</v>
      </c>
    </row>
    <row r="110" spans="1:17" x14ac:dyDescent="0.3">
      <c r="A110">
        <v>108</v>
      </c>
      <c r="B110">
        <v>50</v>
      </c>
      <c r="C110">
        <v>68</v>
      </c>
      <c r="D110">
        <v>1969</v>
      </c>
      <c r="E110">
        <v>11</v>
      </c>
      <c r="F110" t="str">
        <f t="shared" si="4"/>
        <v>36-50</v>
      </c>
      <c r="G110" t="s">
        <v>14</v>
      </c>
      <c r="H110" t="s">
        <v>363</v>
      </c>
      <c r="I110">
        <v>31.44</v>
      </c>
      <c r="J110">
        <v>-93.45</v>
      </c>
      <c r="K110" t="s">
        <v>364</v>
      </c>
      <c r="L110" s="4">
        <v>38142</v>
      </c>
      <c r="M110" s="4">
        <v>0</v>
      </c>
      <c r="N110" s="11">
        <f t="shared" si="3"/>
        <v>0</v>
      </c>
      <c r="O110">
        <v>768</v>
      </c>
      <c r="P110" t="str">
        <f t="shared" si="5"/>
        <v>Very Good</v>
      </c>
      <c r="Q110">
        <v>4</v>
      </c>
    </row>
    <row r="111" spans="1:17" x14ac:dyDescent="0.3">
      <c r="A111">
        <v>109</v>
      </c>
      <c r="B111">
        <v>29</v>
      </c>
      <c r="C111">
        <v>66</v>
      </c>
      <c r="D111">
        <v>1990</v>
      </c>
      <c r="E111">
        <v>8</v>
      </c>
      <c r="F111" t="str">
        <f t="shared" si="4"/>
        <v>26-35</v>
      </c>
      <c r="G111" t="s">
        <v>14</v>
      </c>
      <c r="H111" t="s">
        <v>767</v>
      </c>
      <c r="I111">
        <v>45.6</v>
      </c>
      <c r="J111">
        <v>-108.68</v>
      </c>
      <c r="K111" t="s">
        <v>768</v>
      </c>
      <c r="L111" s="4">
        <v>40005</v>
      </c>
      <c r="M111" s="4">
        <v>37694</v>
      </c>
      <c r="N111" s="11">
        <f t="shared" si="3"/>
        <v>0.94223222097237846</v>
      </c>
      <c r="O111">
        <v>737</v>
      </c>
      <c r="P111" t="str">
        <f t="shared" si="5"/>
        <v>Good</v>
      </c>
      <c r="Q111">
        <v>2</v>
      </c>
    </row>
    <row r="112" spans="1:17" x14ac:dyDescent="0.3">
      <c r="A112">
        <v>110</v>
      </c>
      <c r="B112">
        <v>52</v>
      </c>
      <c r="C112">
        <v>72</v>
      </c>
      <c r="D112">
        <v>1967</v>
      </c>
      <c r="E112">
        <v>10</v>
      </c>
      <c r="F112" t="str">
        <f t="shared" si="4"/>
        <v>51-60</v>
      </c>
      <c r="G112" t="s">
        <v>14</v>
      </c>
      <c r="H112" t="s">
        <v>206</v>
      </c>
      <c r="I112">
        <v>30.26</v>
      </c>
      <c r="J112">
        <v>-97.74</v>
      </c>
      <c r="K112" t="s">
        <v>207</v>
      </c>
      <c r="L112" s="4">
        <v>52186</v>
      </c>
      <c r="M112" s="4">
        <v>42852</v>
      </c>
      <c r="N112" s="11">
        <f t="shared" si="3"/>
        <v>0.8211397692867819</v>
      </c>
      <c r="O112">
        <v>737</v>
      </c>
      <c r="P112" t="str">
        <f t="shared" si="5"/>
        <v>Good</v>
      </c>
      <c r="Q112">
        <v>4</v>
      </c>
    </row>
    <row r="113" spans="1:17" x14ac:dyDescent="0.3">
      <c r="A113">
        <v>111</v>
      </c>
      <c r="B113">
        <v>25</v>
      </c>
      <c r="C113">
        <v>65</v>
      </c>
      <c r="D113">
        <v>1994</v>
      </c>
      <c r="E113">
        <v>10</v>
      </c>
      <c r="F113" t="str">
        <f t="shared" si="4"/>
        <v>18-25</v>
      </c>
      <c r="G113" t="s">
        <v>14</v>
      </c>
      <c r="H113" t="s">
        <v>1958</v>
      </c>
      <c r="I113">
        <v>33.79</v>
      </c>
      <c r="J113">
        <v>-82.47</v>
      </c>
      <c r="K113" t="s">
        <v>1277</v>
      </c>
      <c r="L113" s="4">
        <v>30004</v>
      </c>
      <c r="M113" s="4">
        <v>67526</v>
      </c>
      <c r="N113" s="11">
        <f t="shared" si="3"/>
        <v>2.2505665911211836</v>
      </c>
      <c r="O113">
        <v>738</v>
      </c>
      <c r="P113" t="str">
        <f t="shared" si="5"/>
        <v>Good</v>
      </c>
      <c r="Q113">
        <v>3</v>
      </c>
    </row>
    <row r="114" spans="1:17" x14ac:dyDescent="0.3">
      <c r="A114">
        <v>112</v>
      </c>
      <c r="B114">
        <v>54</v>
      </c>
      <c r="C114">
        <v>66</v>
      </c>
      <c r="D114">
        <v>1965</v>
      </c>
      <c r="E114">
        <v>12</v>
      </c>
      <c r="F114" t="str">
        <f t="shared" si="4"/>
        <v>51-60</v>
      </c>
      <c r="G114" t="s">
        <v>14</v>
      </c>
      <c r="H114" t="s">
        <v>658</v>
      </c>
      <c r="I114">
        <v>43.98</v>
      </c>
      <c r="J114">
        <v>-75.599999999999994</v>
      </c>
      <c r="K114" t="s">
        <v>659</v>
      </c>
      <c r="L114" s="4">
        <v>35114</v>
      </c>
      <c r="M114" s="4">
        <v>24637</v>
      </c>
      <c r="N114" s="11">
        <f t="shared" si="3"/>
        <v>0.70162897989405937</v>
      </c>
      <c r="O114">
        <v>686</v>
      </c>
      <c r="P114" t="str">
        <f t="shared" si="5"/>
        <v>Good</v>
      </c>
      <c r="Q114">
        <v>5</v>
      </c>
    </row>
    <row r="115" spans="1:17" x14ac:dyDescent="0.3">
      <c r="A115">
        <v>113</v>
      </c>
      <c r="B115">
        <v>74</v>
      </c>
      <c r="C115">
        <v>71</v>
      </c>
      <c r="D115">
        <v>1946</v>
      </c>
      <c r="E115">
        <v>1</v>
      </c>
      <c r="F115" t="str">
        <f t="shared" si="4"/>
        <v>65+</v>
      </c>
      <c r="G115" t="s">
        <v>14</v>
      </c>
      <c r="H115" t="s">
        <v>525</v>
      </c>
      <c r="I115">
        <v>32.86</v>
      </c>
      <c r="J115">
        <v>-97.21</v>
      </c>
      <c r="K115" t="s">
        <v>526</v>
      </c>
      <c r="L115" s="4">
        <v>39003</v>
      </c>
      <c r="M115" s="4">
        <v>10793</v>
      </c>
      <c r="N115" s="11">
        <f t="shared" si="3"/>
        <v>0.27672230341255799</v>
      </c>
      <c r="O115">
        <v>788</v>
      </c>
      <c r="P115" t="str">
        <f t="shared" si="5"/>
        <v>Very Good</v>
      </c>
      <c r="Q115">
        <v>5</v>
      </c>
    </row>
    <row r="116" spans="1:17" x14ac:dyDescent="0.3">
      <c r="A116">
        <v>114</v>
      </c>
      <c r="B116">
        <v>47</v>
      </c>
      <c r="C116">
        <v>65</v>
      </c>
      <c r="D116">
        <v>1972</v>
      </c>
      <c r="E116">
        <v>12</v>
      </c>
      <c r="F116" t="str">
        <f t="shared" si="4"/>
        <v>36-50</v>
      </c>
      <c r="G116" t="s">
        <v>14</v>
      </c>
      <c r="H116" t="s">
        <v>1835</v>
      </c>
      <c r="I116">
        <v>34.18</v>
      </c>
      <c r="J116">
        <v>-118.39</v>
      </c>
      <c r="K116" t="s">
        <v>1836</v>
      </c>
      <c r="L116" s="4">
        <v>34441</v>
      </c>
      <c r="M116" s="4">
        <v>907</v>
      </c>
      <c r="N116" s="11">
        <f t="shared" si="3"/>
        <v>2.6334891553671497E-2</v>
      </c>
      <c r="O116">
        <v>725</v>
      </c>
      <c r="P116" t="str">
        <f t="shared" si="5"/>
        <v>Good</v>
      </c>
      <c r="Q116">
        <v>4</v>
      </c>
    </row>
    <row r="117" spans="1:17" x14ac:dyDescent="0.3">
      <c r="A117">
        <v>115</v>
      </c>
      <c r="B117">
        <v>61</v>
      </c>
      <c r="C117">
        <v>69</v>
      </c>
      <c r="D117">
        <v>1958</v>
      </c>
      <c r="E117">
        <v>7</v>
      </c>
      <c r="F117" t="str">
        <f t="shared" si="4"/>
        <v>51-60</v>
      </c>
      <c r="G117" t="s">
        <v>19</v>
      </c>
      <c r="H117" t="s">
        <v>853</v>
      </c>
      <c r="I117">
        <v>40.93</v>
      </c>
      <c r="J117">
        <v>-73.72</v>
      </c>
      <c r="K117" t="s">
        <v>854</v>
      </c>
      <c r="L117" s="4">
        <v>101018</v>
      </c>
      <c r="M117" s="4">
        <v>78115</v>
      </c>
      <c r="N117" s="11">
        <f t="shared" si="3"/>
        <v>0.77327802965808079</v>
      </c>
      <c r="O117">
        <v>748</v>
      </c>
      <c r="P117" t="str">
        <f t="shared" si="5"/>
        <v>Very Good</v>
      </c>
      <c r="Q117">
        <v>6</v>
      </c>
    </row>
    <row r="118" spans="1:17" x14ac:dyDescent="0.3">
      <c r="A118">
        <v>116</v>
      </c>
      <c r="B118">
        <v>31</v>
      </c>
      <c r="C118">
        <v>68</v>
      </c>
      <c r="D118">
        <v>1988</v>
      </c>
      <c r="E118">
        <v>8</v>
      </c>
      <c r="F118" t="str">
        <f t="shared" si="4"/>
        <v>26-35</v>
      </c>
      <c r="G118" t="s">
        <v>19</v>
      </c>
      <c r="H118" t="s">
        <v>1530</v>
      </c>
      <c r="I118">
        <v>42.95</v>
      </c>
      <c r="J118">
        <v>-77.59</v>
      </c>
      <c r="K118" t="s">
        <v>1531</v>
      </c>
      <c r="L118" s="4">
        <v>67230</v>
      </c>
      <c r="M118" s="4">
        <v>45269</v>
      </c>
      <c r="N118" s="11">
        <f t="shared" si="3"/>
        <v>0.67334523278298375</v>
      </c>
      <c r="O118">
        <v>685</v>
      </c>
      <c r="P118" t="str">
        <f t="shared" si="5"/>
        <v>Good</v>
      </c>
      <c r="Q118">
        <v>2</v>
      </c>
    </row>
    <row r="119" spans="1:17" x14ac:dyDescent="0.3">
      <c r="A119">
        <v>117</v>
      </c>
      <c r="B119">
        <v>20</v>
      </c>
      <c r="C119">
        <v>71</v>
      </c>
      <c r="D119">
        <v>2000</v>
      </c>
      <c r="E119">
        <v>1</v>
      </c>
      <c r="F119" t="str">
        <f t="shared" si="4"/>
        <v>18-25</v>
      </c>
      <c r="G119" t="s">
        <v>19</v>
      </c>
      <c r="H119" t="s">
        <v>1474</v>
      </c>
      <c r="I119">
        <v>36.24</v>
      </c>
      <c r="J119">
        <v>-90.04</v>
      </c>
      <c r="K119" t="s">
        <v>1475</v>
      </c>
      <c r="L119" s="4">
        <v>30229</v>
      </c>
      <c r="M119" s="4">
        <v>43239</v>
      </c>
      <c r="N119" s="11">
        <f t="shared" si="3"/>
        <v>1.4303814218134903</v>
      </c>
      <c r="O119">
        <v>595</v>
      </c>
      <c r="P119" t="str">
        <f t="shared" si="5"/>
        <v>Fair</v>
      </c>
      <c r="Q119">
        <v>3</v>
      </c>
    </row>
    <row r="120" spans="1:17" x14ac:dyDescent="0.3">
      <c r="A120">
        <v>118</v>
      </c>
      <c r="B120">
        <v>56</v>
      </c>
      <c r="C120">
        <v>68</v>
      </c>
      <c r="D120">
        <v>1963</v>
      </c>
      <c r="E120">
        <v>12</v>
      </c>
      <c r="F120" t="str">
        <f t="shared" si="4"/>
        <v>51-60</v>
      </c>
      <c r="G120" t="s">
        <v>14</v>
      </c>
      <c r="H120" t="s">
        <v>860</v>
      </c>
      <c r="I120">
        <v>33.520000000000003</v>
      </c>
      <c r="J120">
        <v>-86.79</v>
      </c>
      <c r="K120" t="s">
        <v>861</v>
      </c>
      <c r="L120" s="4">
        <v>31533</v>
      </c>
      <c r="M120" s="4">
        <v>42315</v>
      </c>
      <c r="N120" s="11">
        <f t="shared" si="3"/>
        <v>1.3419275045190753</v>
      </c>
      <c r="O120">
        <v>753</v>
      </c>
      <c r="P120" t="str">
        <f t="shared" si="5"/>
        <v>Very Good</v>
      </c>
      <c r="Q120">
        <v>3</v>
      </c>
    </row>
    <row r="121" spans="1:17" x14ac:dyDescent="0.3">
      <c r="A121">
        <v>119</v>
      </c>
      <c r="B121">
        <v>44</v>
      </c>
      <c r="C121">
        <v>67</v>
      </c>
      <c r="D121">
        <v>1975</v>
      </c>
      <c r="E121">
        <v>9</v>
      </c>
      <c r="F121" t="str">
        <f t="shared" si="4"/>
        <v>36-50</v>
      </c>
      <c r="G121" t="s">
        <v>14</v>
      </c>
      <c r="H121" t="s">
        <v>310</v>
      </c>
      <c r="I121">
        <v>36.159999999999997</v>
      </c>
      <c r="J121">
        <v>-115.28</v>
      </c>
      <c r="K121" t="s">
        <v>311</v>
      </c>
      <c r="L121" s="4">
        <v>56605</v>
      </c>
      <c r="M121" s="4">
        <v>87970</v>
      </c>
      <c r="N121" s="11">
        <f t="shared" si="3"/>
        <v>1.5541029944351206</v>
      </c>
      <c r="O121">
        <v>624</v>
      </c>
      <c r="P121" t="str">
        <f t="shared" si="5"/>
        <v>Fair</v>
      </c>
      <c r="Q121">
        <v>3</v>
      </c>
    </row>
    <row r="122" spans="1:17" x14ac:dyDescent="0.3">
      <c r="A122">
        <v>120</v>
      </c>
      <c r="B122">
        <v>50</v>
      </c>
      <c r="C122">
        <v>71</v>
      </c>
      <c r="D122">
        <v>1969</v>
      </c>
      <c r="E122">
        <v>9</v>
      </c>
      <c r="F122" t="str">
        <f t="shared" si="4"/>
        <v>36-50</v>
      </c>
      <c r="G122" t="s">
        <v>14</v>
      </c>
      <c r="H122" t="s">
        <v>1000</v>
      </c>
      <c r="I122">
        <v>42.88</v>
      </c>
      <c r="J122">
        <v>-88</v>
      </c>
      <c r="K122" t="s">
        <v>1001</v>
      </c>
      <c r="L122" s="4">
        <v>61008</v>
      </c>
      <c r="M122" s="4">
        <v>0</v>
      </c>
      <c r="N122" s="11">
        <f t="shared" si="3"/>
        <v>0</v>
      </c>
      <c r="O122">
        <v>781</v>
      </c>
      <c r="P122" t="str">
        <f t="shared" si="5"/>
        <v>Very Good</v>
      </c>
      <c r="Q122">
        <v>4</v>
      </c>
    </row>
    <row r="123" spans="1:17" x14ac:dyDescent="0.3">
      <c r="A123">
        <v>121</v>
      </c>
      <c r="B123">
        <v>34</v>
      </c>
      <c r="C123">
        <v>66</v>
      </c>
      <c r="D123">
        <v>1985</v>
      </c>
      <c r="E123">
        <v>11</v>
      </c>
      <c r="F123" t="str">
        <f t="shared" si="4"/>
        <v>26-35</v>
      </c>
      <c r="G123" t="s">
        <v>14</v>
      </c>
      <c r="H123" t="s">
        <v>1944</v>
      </c>
      <c r="I123">
        <v>44.21</v>
      </c>
      <c r="J123">
        <v>-88.43</v>
      </c>
      <c r="K123" t="s">
        <v>1945</v>
      </c>
      <c r="L123" s="4">
        <v>45419</v>
      </c>
      <c r="M123" s="4">
        <v>124370</v>
      </c>
      <c r="N123" s="11">
        <f t="shared" si="3"/>
        <v>2.7382813360047558</v>
      </c>
      <c r="O123">
        <v>721</v>
      </c>
      <c r="P123" t="str">
        <f t="shared" si="5"/>
        <v>Good</v>
      </c>
      <c r="Q123">
        <v>3</v>
      </c>
    </row>
    <row r="124" spans="1:17" x14ac:dyDescent="0.3">
      <c r="A124">
        <v>122</v>
      </c>
      <c r="B124">
        <v>65</v>
      </c>
      <c r="C124">
        <v>66</v>
      </c>
      <c r="D124">
        <v>1954</v>
      </c>
      <c r="E124">
        <v>3</v>
      </c>
      <c r="F124" t="str">
        <f t="shared" si="4"/>
        <v>51-60</v>
      </c>
      <c r="G124" t="s">
        <v>14</v>
      </c>
      <c r="H124" t="s">
        <v>1604</v>
      </c>
      <c r="I124">
        <v>29.69</v>
      </c>
      <c r="J124">
        <v>-91.3</v>
      </c>
      <c r="K124" t="s">
        <v>1605</v>
      </c>
      <c r="L124" s="4">
        <v>39221</v>
      </c>
      <c r="M124" s="4">
        <v>45409</v>
      </c>
      <c r="N124" s="11">
        <f t="shared" si="3"/>
        <v>1.1577726218097448</v>
      </c>
      <c r="O124">
        <v>786</v>
      </c>
      <c r="P124" t="str">
        <f t="shared" si="5"/>
        <v>Very Good</v>
      </c>
      <c r="Q124">
        <v>4</v>
      </c>
    </row>
    <row r="125" spans="1:17" x14ac:dyDescent="0.3">
      <c r="A125">
        <v>123</v>
      </c>
      <c r="B125">
        <v>43</v>
      </c>
      <c r="C125">
        <v>66</v>
      </c>
      <c r="D125">
        <v>1976</v>
      </c>
      <c r="E125">
        <v>9</v>
      </c>
      <c r="F125" t="str">
        <f t="shared" si="4"/>
        <v>36-50</v>
      </c>
      <c r="G125" t="s">
        <v>14</v>
      </c>
      <c r="H125" t="s">
        <v>1038</v>
      </c>
      <c r="I125">
        <v>33.24</v>
      </c>
      <c r="J125">
        <v>-84.27</v>
      </c>
      <c r="K125" t="s">
        <v>1039</v>
      </c>
      <c r="L125" s="4">
        <v>36315</v>
      </c>
      <c r="M125" s="4">
        <v>0</v>
      </c>
      <c r="N125" s="11">
        <f t="shared" si="3"/>
        <v>0</v>
      </c>
      <c r="O125">
        <v>824</v>
      </c>
      <c r="P125" t="str">
        <f t="shared" si="5"/>
        <v>Excellent</v>
      </c>
      <c r="Q125">
        <v>3</v>
      </c>
    </row>
    <row r="126" spans="1:17" x14ac:dyDescent="0.3">
      <c r="A126">
        <v>124</v>
      </c>
      <c r="B126">
        <v>31</v>
      </c>
      <c r="C126">
        <v>70</v>
      </c>
      <c r="D126">
        <v>1988</v>
      </c>
      <c r="E126">
        <v>8</v>
      </c>
      <c r="F126" t="str">
        <f t="shared" si="4"/>
        <v>26-35</v>
      </c>
      <c r="G126" t="s">
        <v>14</v>
      </c>
      <c r="H126" t="s">
        <v>559</v>
      </c>
      <c r="I126">
        <v>34.6</v>
      </c>
      <c r="J126">
        <v>-98.42</v>
      </c>
      <c r="K126" t="s">
        <v>43</v>
      </c>
      <c r="L126" s="4">
        <v>34311</v>
      </c>
      <c r="M126" s="4">
        <v>6971</v>
      </c>
      <c r="N126" s="11">
        <f t="shared" si="3"/>
        <v>0.20317099472472386</v>
      </c>
      <c r="O126">
        <v>680</v>
      </c>
      <c r="P126" t="str">
        <f t="shared" si="5"/>
        <v>Good</v>
      </c>
      <c r="Q126">
        <v>4</v>
      </c>
    </row>
    <row r="127" spans="1:17" x14ac:dyDescent="0.3">
      <c r="A127">
        <v>125</v>
      </c>
      <c r="B127">
        <v>64</v>
      </c>
      <c r="C127">
        <v>70</v>
      </c>
      <c r="D127">
        <v>1956</v>
      </c>
      <c r="E127">
        <v>2</v>
      </c>
      <c r="F127" t="str">
        <f t="shared" si="4"/>
        <v>51-60</v>
      </c>
      <c r="G127" t="s">
        <v>14</v>
      </c>
      <c r="H127" t="s">
        <v>1096</v>
      </c>
      <c r="I127">
        <v>37.630000000000003</v>
      </c>
      <c r="J127">
        <v>-121.01</v>
      </c>
      <c r="K127" t="s">
        <v>77</v>
      </c>
      <c r="L127" s="4">
        <v>26535</v>
      </c>
      <c r="M127" s="4">
        <v>93592</v>
      </c>
      <c r="N127" s="11">
        <f t="shared" si="3"/>
        <v>3.5271151309591104</v>
      </c>
      <c r="O127">
        <v>724</v>
      </c>
      <c r="P127" t="str">
        <f t="shared" si="5"/>
        <v>Good</v>
      </c>
      <c r="Q127">
        <v>5</v>
      </c>
    </row>
    <row r="128" spans="1:17" x14ac:dyDescent="0.3">
      <c r="A128">
        <v>126</v>
      </c>
      <c r="B128">
        <v>63</v>
      </c>
      <c r="C128">
        <v>65</v>
      </c>
      <c r="D128">
        <v>1956</v>
      </c>
      <c r="E128">
        <v>10</v>
      </c>
      <c r="F128" t="str">
        <f t="shared" si="4"/>
        <v>51-60</v>
      </c>
      <c r="G128" t="s">
        <v>19</v>
      </c>
      <c r="H128" t="s">
        <v>1476</v>
      </c>
      <c r="I128">
        <v>34.72</v>
      </c>
      <c r="J128">
        <v>-92.35</v>
      </c>
      <c r="K128" t="s">
        <v>1477</v>
      </c>
      <c r="L128" s="4">
        <v>26600</v>
      </c>
      <c r="M128" s="4">
        <v>0</v>
      </c>
      <c r="N128" s="11">
        <f t="shared" si="3"/>
        <v>0</v>
      </c>
      <c r="O128">
        <v>799</v>
      </c>
      <c r="P128" t="str">
        <f t="shared" si="5"/>
        <v>Very Good</v>
      </c>
      <c r="Q128">
        <v>4</v>
      </c>
    </row>
    <row r="129" spans="1:17" x14ac:dyDescent="0.3">
      <c r="A129">
        <v>127</v>
      </c>
      <c r="B129">
        <v>48</v>
      </c>
      <c r="C129">
        <v>68</v>
      </c>
      <c r="D129">
        <v>1971</v>
      </c>
      <c r="E129">
        <v>7</v>
      </c>
      <c r="F129" t="str">
        <f t="shared" si="4"/>
        <v>36-50</v>
      </c>
      <c r="G129" t="s">
        <v>19</v>
      </c>
      <c r="H129" t="s">
        <v>794</v>
      </c>
      <c r="I129">
        <v>31.7</v>
      </c>
      <c r="J129">
        <v>-86.26</v>
      </c>
      <c r="K129" t="s">
        <v>795</v>
      </c>
      <c r="L129" s="4">
        <v>31553</v>
      </c>
      <c r="M129" s="4">
        <v>63938</v>
      </c>
      <c r="N129" s="11">
        <f t="shared" si="3"/>
        <v>2.0263683326466579</v>
      </c>
      <c r="O129">
        <v>729</v>
      </c>
      <c r="P129" t="str">
        <f t="shared" si="5"/>
        <v>Good</v>
      </c>
      <c r="Q129">
        <v>3</v>
      </c>
    </row>
    <row r="130" spans="1:17" x14ac:dyDescent="0.3">
      <c r="A130">
        <v>128</v>
      </c>
      <c r="B130">
        <v>40</v>
      </c>
      <c r="C130">
        <v>66</v>
      </c>
      <c r="D130">
        <v>1979</v>
      </c>
      <c r="E130">
        <v>4</v>
      </c>
      <c r="F130" t="str">
        <f t="shared" si="4"/>
        <v>36-50</v>
      </c>
      <c r="G130" t="s">
        <v>14</v>
      </c>
      <c r="H130" t="s">
        <v>44</v>
      </c>
      <c r="I130">
        <v>29.76</v>
      </c>
      <c r="J130">
        <v>-95.38</v>
      </c>
      <c r="K130" t="s">
        <v>45</v>
      </c>
      <c r="L130" s="4">
        <v>31377</v>
      </c>
      <c r="M130" s="4">
        <v>59615</v>
      </c>
      <c r="N130" s="11">
        <f t="shared" ref="N130:N193" si="6">(M130/L130)</f>
        <v>1.8999585683781113</v>
      </c>
      <c r="O130">
        <v>722</v>
      </c>
      <c r="P130" t="str">
        <f t="shared" si="5"/>
        <v>Good</v>
      </c>
      <c r="Q130">
        <v>2</v>
      </c>
    </row>
    <row r="131" spans="1:17" x14ac:dyDescent="0.3">
      <c r="A131">
        <v>129</v>
      </c>
      <c r="B131">
        <v>56</v>
      </c>
      <c r="C131">
        <v>63</v>
      </c>
      <c r="D131">
        <v>1963</v>
      </c>
      <c r="E131">
        <v>6</v>
      </c>
      <c r="F131" t="str">
        <f t="shared" ref="F131:F194" si="7">IF(B131&lt;26,"18-25",
   IF(B131&lt;36,"26-35",
   IF(B131&lt;51,"36-50",
   IF(B131&lt;66,"51-60","65+"))))</f>
        <v>51-60</v>
      </c>
      <c r="G131" t="s">
        <v>14</v>
      </c>
      <c r="H131" t="s">
        <v>1372</v>
      </c>
      <c r="I131">
        <v>34.1</v>
      </c>
      <c r="J131">
        <v>-118.05</v>
      </c>
      <c r="K131" t="s">
        <v>1373</v>
      </c>
      <c r="L131" s="4">
        <v>44875</v>
      </c>
      <c r="M131" s="4">
        <v>125909</v>
      </c>
      <c r="N131" s="11">
        <f t="shared" si="6"/>
        <v>2.8057715877437328</v>
      </c>
      <c r="O131">
        <v>510</v>
      </c>
      <c r="P131" t="str">
        <f t="shared" ref="P131:P194" si="8">IF(O131&lt;580,"Poor",
   IF(O131&lt;670,"Fair",
   IF(O131&lt;740,"Good",
   IF(O131&lt;800,"Very Good","Excellent"))))</f>
        <v>Poor</v>
      </c>
      <c r="Q131">
        <v>1</v>
      </c>
    </row>
    <row r="132" spans="1:17" x14ac:dyDescent="0.3">
      <c r="A132">
        <v>130</v>
      </c>
      <c r="B132">
        <v>63</v>
      </c>
      <c r="C132">
        <v>69</v>
      </c>
      <c r="D132">
        <v>1956</v>
      </c>
      <c r="E132">
        <v>9</v>
      </c>
      <c r="F132" t="str">
        <f t="shared" si="7"/>
        <v>51-60</v>
      </c>
      <c r="G132" t="s">
        <v>14</v>
      </c>
      <c r="H132" t="s">
        <v>162</v>
      </c>
      <c r="I132">
        <v>35.19</v>
      </c>
      <c r="J132">
        <v>-80.83</v>
      </c>
      <c r="K132" t="s">
        <v>163</v>
      </c>
      <c r="L132" s="4">
        <v>81048</v>
      </c>
      <c r="M132" s="4">
        <v>156195</v>
      </c>
      <c r="N132" s="11">
        <f t="shared" si="6"/>
        <v>1.9271912940479716</v>
      </c>
      <c r="O132">
        <v>781</v>
      </c>
      <c r="P132" t="str">
        <f t="shared" si="8"/>
        <v>Very Good</v>
      </c>
      <c r="Q132">
        <v>4</v>
      </c>
    </row>
    <row r="133" spans="1:17" x14ac:dyDescent="0.3">
      <c r="A133">
        <v>131</v>
      </c>
      <c r="B133">
        <v>23</v>
      </c>
      <c r="C133">
        <v>75</v>
      </c>
      <c r="D133">
        <v>1996</v>
      </c>
      <c r="E133">
        <v>10</v>
      </c>
      <c r="F133" t="str">
        <f t="shared" si="7"/>
        <v>18-25</v>
      </c>
      <c r="G133" t="s">
        <v>14</v>
      </c>
      <c r="H133" t="s">
        <v>1026</v>
      </c>
      <c r="I133">
        <v>34.22</v>
      </c>
      <c r="J133">
        <v>-80.680000000000007</v>
      </c>
      <c r="K133" t="s">
        <v>1027</v>
      </c>
      <c r="L133" s="4">
        <v>37717</v>
      </c>
      <c r="M133" s="4">
        <v>60367</v>
      </c>
      <c r="N133" s="11">
        <f t="shared" si="6"/>
        <v>1.6005249622186282</v>
      </c>
      <c r="O133">
        <v>688</v>
      </c>
      <c r="P133" t="str">
        <f t="shared" si="8"/>
        <v>Good</v>
      </c>
      <c r="Q133">
        <v>3</v>
      </c>
    </row>
    <row r="134" spans="1:17" x14ac:dyDescent="0.3">
      <c r="A134">
        <v>132</v>
      </c>
      <c r="B134">
        <v>77</v>
      </c>
      <c r="C134">
        <v>72</v>
      </c>
      <c r="D134">
        <v>1942</v>
      </c>
      <c r="E134">
        <v>5</v>
      </c>
      <c r="F134" t="str">
        <f t="shared" si="7"/>
        <v>65+</v>
      </c>
      <c r="G134" t="s">
        <v>14</v>
      </c>
      <c r="H134" t="s">
        <v>1398</v>
      </c>
      <c r="I134">
        <v>27.48</v>
      </c>
      <c r="J134">
        <v>-82.57</v>
      </c>
      <c r="K134" t="s">
        <v>161</v>
      </c>
      <c r="L134" s="4">
        <v>31555</v>
      </c>
      <c r="M134" s="4">
        <v>12777</v>
      </c>
      <c r="N134" s="11">
        <f t="shared" si="6"/>
        <v>0.40491205831088578</v>
      </c>
      <c r="O134">
        <v>696</v>
      </c>
      <c r="P134" t="str">
        <f t="shared" si="8"/>
        <v>Good</v>
      </c>
      <c r="Q134">
        <v>4</v>
      </c>
    </row>
    <row r="135" spans="1:17" x14ac:dyDescent="0.3">
      <c r="A135">
        <v>133</v>
      </c>
      <c r="B135">
        <v>31</v>
      </c>
      <c r="C135">
        <v>65</v>
      </c>
      <c r="D135">
        <v>1988</v>
      </c>
      <c r="E135">
        <v>10</v>
      </c>
      <c r="F135" t="str">
        <f t="shared" si="7"/>
        <v>26-35</v>
      </c>
      <c r="G135" t="s">
        <v>14</v>
      </c>
      <c r="H135" t="s">
        <v>1868</v>
      </c>
      <c r="I135">
        <v>33.950000000000003</v>
      </c>
      <c r="J135">
        <v>-84.54</v>
      </c>
      <c r="K135" t="s">
        <v>805</v>
      </c>
      <c r="L135" s="4">
        <v>62692</v>
      </c>
      <c r="M135" s="4">
        <v>50290</v>
      </c>
      <c r="N135" s="11">
        <f t="shared" si="6"/>
        <v>0.80217571619983408</v>
      </c>
      <c r="O135">
        <v>698</v>
      </c>
      <c r="P135" t="str">
        <f t="shared" si="8"/>
        <v>Good</v>
      </c>
      <c r="Q135">
        <v>2</v>
      </c>
    </row>
    <row r="136" spans="1:17" x14ac:dyDescent="0.3">
      <c r="A136">
        <v>134</v>
      </c>
      <c r="B136">
        <v>43</v>
      </c>
      <c r="C136">
        <v>67</v>
      </c>
      <c r="D136">
        <v>1976</v>
      </c>
      <c r="E136">
        <v>12</v>
      </c>
      <c r="F136" t="str">
        <f t="shared" si="7"/>
        <v>36-50</v>
      </c>
      <c r="G136" t="s">
        <v>19</v>
      </c>
      <c r="H136" t="s">
        <v>1177</v>
      </c>
      <c r="I136">
        <v>31.84</v>
      </c>
      <c r="J136">
        <v>-106.43</v>
      </c>
      <c r="K136" t="s">
        <v>411</v>
      </c>
      <c r="L136" s="4">
        <v>50174</v>
      </c>
      <c r="M136" s="4">
        <v>145300</v>
      </c>
      <c r="N136" s="11">
        <f t="shared" si="6"/>
        <v>2.895922190776099</v>
      </c>
      <c r="O136">
        <v>643</v>
      </c>
      <c r="P136" t="str">
        <f t="shared" si="8"/>
        <v>Fair</v>
      </c>
      <c r="Q136">
        <v>4</v>
      </c>
    </row>
    <row r="137" spans="1:17" x14ac:dyDescent="0.3">
      <c r="A137">
        <v>135</v>
      </c>
      <c r="B137">
        <v>64</v>
      </c>
      <c r="C137">
        <v>69</v>
      </c>
      <c r="D137">
        <v>1955</v>
      </c>
      <c r="E137">
        <v>6</v>
      </c>
      <c r="F137" t="str">
        <f t="shared" si="7"/>
        <v>51-60</v>
      </c>
      <c r="G137" t="s">
        <v>14</v>
      </c>
      <c r="H137" t="s">
        <v>112</v>
      </c>
      <c r="I137">
        <v>39.72</v>
      </c>
      <c r="J137">
        <v>-82.59</v>
      </c>
      <c r="K137" t="s">
        <v>113</v>
      </c>
      <c r="L137" s="4">
        <v>38088</v>
      </c>
      <c r="M137" s="4">
        <v>51679</v>
      </c>
      <c r="N137" s="11">
        <f t="shared" si="6"/>
        <v>1.3568315479941189</v>
      </c>
      <c r="O137">
        <v>691</v>
      </c>
      <c r="P137" t="str">
        <f t="shared" si="8"/>
        <v>Good</v>
      </c>
      <c r="Q137">
        <v>2</v>
      </c>
    </row>
    <row r="138" spans="1:17" x14ac:dyDescent="0.3">
      <c r="A138">
        <v>136</v>
      </c>
      <c r="B138">
        <v>18</v>
      </c>
      <c r="C138">
        <v>66</v>
      </c>
      <c r="D138">
        <v>2001</v>
      </c>
      <c r="E138">
        <v>4</v>
      </c>
      <c r="F138" t="str">
        <f t="shared" si="7"/>
        <v>18-25</v>
      </c>
      <c r="G138" t="s">
        <v>14</v>
      </c>
      <c r="H138" t="s">
        <v>1815</v>
      </c>
      <c r="I138">
        <v>38.22</v>
      </c>
      <c r="J138">
        <v>-85.74</v>
      </c>
      <c r="K138" t="s">
        <v>1816</v>
      </c>
      <c r="L138" s="4">
        <v>64504</v>
      </c>
      <c r="M138" s="4">
        <v>69041</v>
      </c>
      <c r="N138" s="11">
        <f t="shared" si="6"/>
        <v>1.0703367233039811</v>
      </c>
      <c r="O138">
        <v>695</v>
      </c>
      <c r="P138" t="str">
        <f t="shared" si="8"/>
        <v>Good</v>
      </c>
      <c r="Q138">
        <v>3</v>
      </c>
    </row>
    <row r="139" spans="1:17" x14ac:dyDescent="0.3">
      <c r="A139">
        <v>137</v>
      </c>
      <c r="B139">
        <v>33</v>
      </c>
      <c r="C139">
        <v>65</v>
      </c>
      <c r="D139">
        <v>1986</v>
      </c>
      <c r="E139">
        <v>7</v>
      </c>
      <c r="F139" t="str">
        <f t="shared" si="7"/>
        <v>26-35</v>
      </c>
      <c r="G139" t="s">
        <v>14</v>
      </c>
      <c r="H139" t="s">
        <v>1248</v>
      </c>
      <c r="I139">
        <v>36.33</v>
      </c>
      <c r="J139">
        <v>-82.36</v>
      </c>
      <c r="K139" t="s">
        <v>1249</v>
      </c>
      <c r="L139" s="4">
        <v>41069</v>
      </c>
      <c r="M139" s="4">
        <v>64073</v>
      </c>
      <c r="N139" s="11">
        <f t="shared" si="6"/>
        <v>1.5601305120650613</v>
      </c>
      <c r="O139">
        <v>644</v>
      </c>
      <c r="P139" t="str">
        <f t="shared" si="8"/>
        <v>Fair</v>
      </c>
      <c r="Q139">
        <v>3</v>
      </c>
    </row>
    <row r="140" spans="1:17" x14ac:dyDescent="0.3">
      <c r="A140">
        <v>138</v>
      </c>
      <c r="B140">
        <v>43</v>
      </c>
      <c r="C140">
        <v>68</v>
      </c>
      <c r="D140">
        <v>1977</v>
      </c>
      <c r="E140">
        <v>2</v>
      </c>
      <c r="F140" t="str">
        <f t="shared" si="7"/>
        <v>36-50</v>
      </c>
      <c r="G140" t="s">
        <v>14</v>
      </c>
      <c r="H140" t="s">
        <v>1217</v>
      </c>
      <c r="I140">
        <v>40.770000000000003</v>
      </c>
      <c r="J140">
        <v>-79.040000000000006</v>
      </c>
      <c r="K140" t="s">
        <v>1218</v>
      </c>
      <c r="L140" s="4">
        <v>32770</v>
      </c>
      <c r="M140" s="4">
        <v>103262</v>
      </c>
      <c r="N140" s="11">
        <f t="shared" si="6"/>
        <v>3.151113823619164</v>
      </c>
      <c r="O140">
        <v>641</v>
      </c>
      <c r="P140" t="str">
        <f t="shared" si="8"/>
        <v>Fair</v>
      </c>
      <c r="Q140">
        <v>4</v>
      </c>
    </row>
    <row r="141" spans="1:17" x14ac:dyDescent="0.3">
      <c r="A141">
        <v>139</v>
      </c>
      <c r="B141">
        <v>73</v>
      </c>
      <c r="C141">
        <v>65</v>
      </c>
      <c r="D141">
        <v>1947</v>
      </c>
      <c r="E141">
        <v>1</v>
      </c>
      <c r="F141" t="str">
        <f t="shared" si="7"/>
        <v>65+</v>
      </c>
      <c r="G141" t="s">
        <v>14</v>
      </c>
      <c r="H141" t="s">
        <v>1289</v>
      </c>
      <c r="I141">
        <v>40.64</v>
      </c>
      <c r="J141">
        <v>-73.94</v>
      </c>
      <c r="K141" t="s">
        <v>1290</v>
      </c>
      <c r="L141" s="4">
        <v>31317</v>
      </c>
      <c r="M141" s="4">
        <v>4591</v>
      </c>
      <c r="N141" s="11">
        <f t="shared" si="6"/>
        <v>0.14659769454290003</v>
      </c>
      <c r="O141">
        <v>687</v>
      </c>
      <c r="P141" t="str">
        <f t="shared" si="8"/>
        <v>Good</v>
      </c>
      <c r="Q141">
        <v>4</v>
      </c>
    </row>
    <row r="142" spans="1:17" x14ac:dyDescent="0.3">
      <c r="A142">
        <v>140</v>
      </c>
      <c r="B142">
        <v>37</v>
      </c>
      <c r="C142">
        <v>72</v>
      </c>
      <c r="D142">
        <v>1983</v>
      </c>
      <c r="E142">
        <v>2</v>
      </c>
      <c r="F142" t="str">
        <f t="shared" si="7"/>
        <v>36-50</v>
      </c>
      <c r="G142" t="s">
        <v>14</v>
      </c>
      <c r="H142" t="s">
        <v>50</v>
      </c>
      <c r="I142">
        <v>36.28</v>
      </c>
      <c r="J142">
        <v>-86.83</v>
      </c>
      <c r="K142" t="s">
        <v>51</v>
      </c>
      <c r="L142" s="4">
        <v>42120</v>
      </c>
      <c r="M142" s="4">
        <v>72801</v>
      </c>
      <c r="N142" s="11">
        <f t="shared" si="6"/>
        <v>1.7284188034188035</v>
      </c>
      <c r="O142">
        <v>739</v>
      </c>
      <c r="P142" t="str">
        <f t="shared" si="8"/>
        <v>Good</v>
      </c>
      <c r="Q142">
        <v>4</v>
      </c>
    </row>
    <row r="143" spans="1:17" x14ac:dyDescent="0.3">
      <c r="A143">
        <v>141</v>
      </c>
      <c r="B143">
        <v>70</v>
      </c>
      <c r="C143">
        <v>66</v>
      </c>
      <c r="D143">
        <v>1949</v>
      </c>
      <c r="E143">
        <v>7</v>
      </c>
      <c r="F143" t="str">
        <f t="shared" si="7"/>
        <v>65+</v>
      </c>
      <c r="G143" t="s">
        <v>19</v>
      </c>
      <c r="H143" t="s">
        <v>1702</v>
      </c>
      <c r="I143">
        <v>31.02</v>
      </c>
      <c r="J143">
        <v>-96.48</v>
      </c>
      <c r="K143" t="s">
        <v>1703</v>
      </c>
      <c r="L143" s="4">
        <v>23082</v>
      </c>
      <c r="M143" s="4">
        <v>23406</v>
      </c>
      <c r="N143" s="11">
        <f t="shared" si="6"/>
        <v>1.0140369118793866</v>
      </c>
      <c r="O143">
        <v>638</v>
      </c>
      <c r="P143" t="str">
        <f t="shared" si="8"/>
        <v>Fair</v>
      </c>
      <c r="Q143">
        <v>5</v>
      </c>
    </row>
    <row r="144" spans="1:17" x14ac:dyDescent="0.3">
      <c r="A144">
        <v>142</v>
      </c>
      <c r="B144">
        <v>59</v>
      </c>
      <c r="C144">
        <v>68</v>
      </c>
      <c r="D144">
        <v>1960</v>
      </c>
      <c r="E144">
        <v>11</v>
      </c>
      <c r="F144" t="str">
        <f t="shared" si="7"/>
        <v>51-60</v>
      </c>
      <c r="G144" t="s">
        <v>14</v>
      </c>
      <c r="H144" t="s">
        <v>1901</v>
      </c>
      <c r="I144">
        <v>41.9</v>
      </c>
      <c r="J144">
        <v>-72.08</v>
      </c>
      <c r="K144" t="s">
        <v>1902</v>
      </c>
      <c r="L144" s="4">
        <v>51788</v>
      </c>
      <c r="M144" s="4">
        <v>77642</v>
      </c>
      <c r="N144" s="11">
        <f t="shared" si="6"/>
        <v>1.4992276202981385</v>
      </c>
      <c r="O144">
        <v>675</v>
      </c>
      <c r="P144" t="str">
        <f t="shared" si="8"/>
        <v>Good</v>
      </c>
      <c r="Q144">
        <v>2</v>
      </c>
    </row>
    <row r="145" spans="1:17" x14ac:dyDescent="0.3">
      <c r="A145">
        <v>143</v>
      </c>
      <c r="B145">
        <v>22</v>
      </c>
      <c r="C145">
        <v>68</v>
      </c>
      <c r="D145">
        <v>1997</v>
      </c>
      <c r="E145">
        <v>6</v>
      </c>
      <c r="F145" t="str">
        <f t="shared" si="7"/>
        <v>18-25</v>
      </c>
      <c r="G145" t="s">
        <v>14</v>
      </c>
      <c r="H145" t="s">
        <v>457</v>
      </c>
      <c r="I145">
        <v>41.55</v>
      </c>
      <c r="J145">
        <v>-87.66</v>
      </c>
      <c r="K145" t="s">
        <v>458</v>
      </c>
      <c r="L145" s="4">
        <v>52379</v>
      </c>
      <c r="M145" s="4">
        <v>107734</v>
      </c>
      <c r="N145" s="11">
        <f t="shared" si="6"/>
        <v>2.0568166631665363</v>
      </c>
      <c r="O145">
        <v>771</v>
      </c>
      <c r="P145" t="str">
        <f t="shared" si="8"/>
        <v>Very Good</v>
      </c>
      <c r="Q145">
        <v>3</v>
      </c>
    </row>
    <row r="146" spans="1:17" x14ac:dyDescent="0.3">
      <c r="A146">
        <v>144</v>
      </c>
      <c r="B146">
        <v>44</v>
      </c>
      <c r="C146">
        <v>67</v>
      </c>
      <c r="D146">
        <v>1975</v>
      </c>
      <c r="E146">
        <v>3</v>
      </c>
      <c r="F146" t="str">
        <f t="shared" si="7"/>
        <v>36-50</v>
      </c>
      <c r="G146" t="s">
        <v>14</v>
      </c>
      <c r="H146" t="s">
        <v>1829</v>
      </c>
      <c r="I146">
        <v>34.5</v>
      </c>
      <c r="J146">
        <v>-93.05</v>
      </c>
      <c r="K146" t="s">
        <v>1830</v>
      </c>
      <c r="L146" s="4">
        <v>32330</v>
      </c>
      <c r="M146" s="4">
        <v>97190</v>
      </c>
      <c r="N146" s="11">
        <f t="shared" si="6"/>
        <v>3.0061862047633778</v>
      </c>
      <c r="O146">
        <v>835</v>
      </c>
      <c r="P146" t="str">
        <f t="shared" si="8"/>
        <v>Excellent</v>
      </c>
      <c r="Q146">
        <v>4</v>
      </c>
    </row>
    <row r="147" spans="1:17" x14ac:dyDescent="0.3">
      <c r="A147">
        <v>145</v>
      </c>
      <c r="B147">
        <v>58</v>
      </c>
      <c r="C147">
        <v>65</v>
      </c>
      <c r="D147">
        <v>1962</v>
      </c>
      <c r="E147">
        <v>1</v>
      </c>
      <c r="F147" t="str">
        <f t="shared" si="7"/>
        <v>51-60</v>
      </c>
      <c r="G147" t="s">
        <v>14</v>
      </c>
      <c r="H147" t="s">
        <v>326</v>
      </c>
      <c r="I147">
        <v>36.18</v>
      </c>
      <c r="J147">
        <v>-82.07</v>
      </c>
      <c r="K147" t="s">
        <v>86</v>
      </c>
      <c r="L147" s="4">
        <v>25334</v>
      </c>
      <c r="M147" s="4">
        <v>182</v>
      </c>
      <c r="N147" s="11">
        <f t="shared" si="6"/>
        <v>7.1840214731191286E-3</v>
      </c>
      <c r="O147">
        <v>696</v>
      </c>
      <c r="P147" t="str">
        <f t="shared" si="8"/>
        <v>Good</v>
      </c>
      <c r="Q147">
        <v>3</v>
      </c>
    </row>
    <row r="148" spans="1:17" x14ac:dyDescent="0.3">
      <c r="A148">
        <v>146</v>
      </c>
      <c r="B148">
        <v>47</v>
      </c>
      <c r="C148">
        <v>67</v>
      </c>
      <c r="D148">
        <v>1972</v>
      </c>
      <c r="E148">
        <v>7</v>
      </c>
      <c r="F148" t="str">
        <f t="shared" si="7"/>
        <v>36-50</v>
      </c>
      <c r="G148" t="s">
        <v>14</v>
      </c>
      <c r="H148" t="s">
        <v>687</v>
      </c>
      <c r="I148">
        <v>41.85</v>
      </c>
      <c r="J148">
        <v>-88.3</v>
      </c>
      <c r="K148" t="s">
        <v>688</v>
      </c>
      <c r="L148" s="4">
        <v>68710</v>
      </c>
      <c r="M148" s="4">
        <v>201796</v>
      </c>
      <c r="N148" s="11">
        <f t="shared" si="6"/>
        <v>2.9369233008295734</v>
      </c>
      <c r="O148">
        <v>717</v>
      </c>
      <c r="P148" t="str">
        <f t="shared" si="8"/>
        <v>Good</v>
      </c>
      <c r="Q148">
        <v>3</v>
      </c>
    </row>
    <row r="149" spans="1:17" x14ac:dyDescent="0.3">
      <c r="A149">
        <v>147</v>
      </c>
      <c r="B149">
        <v>30</v>
      </c>
      <c r="C149">
        <v>66</v>
      </c>
      <c r="D149">
        <v>1989</v>
      </c>
      <c r="E149">
        <v>4</v>
      </c>
      <c r="F149" t="str">
        <f t="shared" si="7"/>
        <v>26-35</v>
      </c>
      <c r="G149" t="s">
        <v>19</v>
      </c>
      <c r="H149" t="s">
        <v>256</v>
      </c>
      <c r="I149">
        <v>32.35</v>
      </c>
      <c r="J149">
        <v>-86.28</v>
      </c>
      <c r="K149" t="s">
        <v>257</v>
      </c>
      <c r="L149" s="4">
        <v>56383</v>
      </c>
      <c r="M149" s="4">
        <v>130152</v>
      </c>
      <c r="N149" s="11">
        <f t="shared" si="6"/>
        <v>2.3083553553376017</v>
      </c>
      <c r="O149">
        <v>800</v>
      </c>
      <c r="P149" t="str">
        <f t="shared" si="8"/>
        <v>Excellent</v>
      </c>
      <c r="Q149">
        <v>4</v>
      </c>
    </row>
    <row r="150" spans="1:17" x14ac:dyDescent="0.3">
      <c r="A150">
        <v>148</v>
      </c>
      <c r="B150">
        <v>62</v>
      </c>
      <c r="C150">
        <v>66</v>
      </c>
      <c r="D150">
        <v>1957</v>
      </c>
      <c r="E150">
        <v>8</v>
      </c>
      <c r="F150" t="str">
        <f t="shared" si="7"/>
        <v>51-60</v>
      </c>
      <c r="G150" t="s">
        <v>19</v>
      </c>
      <c r="H150" t="s">
        <v>792</v>
      </c>
      <c r="I150">
        <v>43.6</v>
      </c>
      <c r="J150">
        <v>-71.739999999999995</v>
      </c>
      <c r="K150" t="s">
        <v>793</v>
      </c>
      <c r="L150" s="4">
        <v>38681</v>
      </c>
      <c r="M150" s="4">
        <v>113190</v>
      </c>
      <c r="N150" s="11">
        <f t="shared" si="6"/>
        <v>2.9262428582508209</v>
      </c>
      <c r="O150">
        <v>663</v>
      </c>
      <c r="P150" t="str">
        <f t="shared" si="8"/>
        <v>Fair</v>
      </c>
      <c r="Q150">
        <v>5</v>
      </c>
    </row>
    <row r="151" spans="1:17" x14ac:dyDescent="0.3">
      <c r="A151">
        <v>149</v>
      </c>
      <c r="B151">
        <v>24</v>
      </c>
      <c r="C151">
        <v>54</v>
      </c>
      <c r="D151">
        <v>1995</v>
      </c>
      <c r="E151">
        <v>3</v>
      </c>
      <c r="F151" t="str">
        <f t="shared" si="7"/>
        <v>18-25</v>
      </c>
      <c r="G151" t="s">
        <v>14</v>
      </c>
      <c r="H151" t="s">
        <v>1105</v>
      </c>
      <c r="I151">
        <v>33.020000000000003</v>
      </c>
      <c r="J151">
        <v>-117.12</v>
      </c>
      <c r="K151" t="s">
        <v>1106</v>
      </c>
      <c r="L151" s="4">
        <v>91237</v>
      </c>
      <c r="M151" s="4">
        <v>231619</v>
      </c>
      <c r="N151" s="11">
        <f t="shared" si="6"/>
        <v>2.538652081940441</v>
      </c>
      <c r="O151">
        <v>594</v>
      </c>
      <c r="P151" t="str">
        <f t="shared" si="8"/>
        <v>Fair</v>
      </c>
      <c r="Q151">
        <v>1</v>
      </c>
    </row>
    <row r="152" spans="1:17" x14ac:dyDescent="0.3">
      <c r="A152">
        <v>150</v>
      </c>
      <c r="B152">
        <v>51</v>
      </c>
      <c r="C152">
        <v>73</v>
      </c>
      <c r="D152">
        <v>1968</v>
      </c>
      <c r="E152">
        <v>8</v>
      </c>
      <c r="F152" t="str">
        <f t="shared" si="7"/>
        <v>51-60</v>
      </c>
      <c r="G152" t="s">
        <v>14</v>
      </c>
      <c r="H152" t="s">
        <v>735</v>
      </c>
      <c r="I152">
        <v>38.700000000000003</v>
      </c>
      <c r="J152">
        <v>-77.239999999999995</v>
      </c>
      <c r="K152" t="s">
        <v>736</v>
      </c>
      <c r="L152" s="4">
        <v>71490</v>
      </c>
      <c r="M152" s="4">
        <v>0</v>
      </c>
      <c r="N152" s="11">
        <f t="shared" si="6"/>
        <v>0</v>
      </c>
      <c r="O152">
        <v>782</v>
      </c>
      <c r="P152" t="str">
        <f t="shared" si="8"/>
        <v>Very Good</v>
      </c>
      <c r="Q152">
        <v>3</v>
      </c>
    </row>
    <row r="153" spans="1:17" x14ac:dyDescent="0.3">
      <c r="A153">
        <v>151</v>
      </c>
      <c r="B153">
        <v>18</v>
      </c>
      <c r="C153">
        <v>65</v>
      </c>
      <c r="D153">
        <v>2002</v>
      </c>
      <c r="E153">
        <v>2</v>
      </c>
      <c r="F153" t="str">
        <f t="shared" si="7"/>
        <v>18-25</v>
      </c>
      <c r="G153" t="s">
        <v>14</v>
      </c>
      <c r="H153" t="s">
        <v>1645</v>
      </c>
      <c r="I153">
        <v>26.23</v>
      </c>
      <c r="J153">
        <v>-80.13</v>
      </c>
      <c r="K153" t="s">
        <v>1646</v>
      </c>
      <c r="L153" s="4">
        <v>56921</v>
      </c>
      <c r="M153" s="4">
        <v>115330</v>
      </c>
      <c r="N153" s="11">
        <f t="shared" si="6"/>
        <v>2.0261414943518208</v>
      </c>
      <c r="O153">
        <v>823</v>
      </c>
      <c r="P153" t="str">
        <f t="shared" si="8"/>
        <v>Excellent</v>
      </c>
      <c r="Q153">
        <v>1</v>
      </c>
    </row>
    <row r="154" spans="1:17" x14ac:dyDescent="0.3">
      <c r="A154">
        <v>152</v>
      </c>
      <c r="B154">
        <v>37</v>
      </c>
      <c r="C154">
        <v>68</v>
      </c>
      <c r="D154">
        <v>1982</v>
      </c>
      <c r="E154">
        <v>3</v>
      </c>
      <c r="F154" t="str">
        <f t="shared" si="7"/>
        <v>36-50</v>
      </c>
      <c r="G154" t="s">
        <v>14</v>
      </c>
      <c r="H154" t="s">
        <v>646</v>
      </c>
      <c r="I154">
        <v>33.72</v>
      </c>
      <c r="J154">
        <v>-84.32</v>
      </c>
      <c r="K154" t="s">
        <v>647</v>
      </c>
      <c r="L154" s="4">
        <v>49335</v>
      </c>
      <c r="M154" s="4">
        <v>51520</v>
      </c>
      <c r="N154" s="11">
        <f t="shared" si="6"/>
        <v>1.0442890442890442</v>
      </c>
      <c r="O154">
        <v>773</v>
      </c>
      <c r="P154" t="str">
        <f t="shared" si="8"/>
        <v>Very Good</v>
      </c>
      <c r="Q154">
        <v>3</v>
      </c>
    </row>
    <row r="155" spans="1:17" x14ac:dyDescent="0.3">
      <c r="A155">
        <v>153</v>
      </c>
      <c r="B155">
        <v>76</v>
      </c>
      <c r="C155">
        <v>71</v>
      </c>
      <c r="D155">
        <v>1943</v>
      </c>
      <c r="E155">
        <v>8</v>
      </c>
      <c r="F155" t="str">
        <f t="shared" si="7"/>
        <v>65+</v>
      </c>
      <c r="G155" t="s">
        <v>14</v>
      </c>
      <c r="H155" t="s">
        <v>30</v>
      </c>
      <c r="I155">
        <v>35.29</v>
      </c>
      <c r="J155">
        <v>-111.32</v>
      </c>
      <c r="K155" t="s">
        <v>31</v>
      </c>
      <c r="L155" s="4">
        <v>27484</v>
      </c>
      <c r="M155" s="4">
        <v>16803</v>
      </c>
      <c r="N155" s="11">
        <f t="shared" si="6"/>
        <v>0.61137389026342603</v>
      </c>
      <c r="O155">
        <v>660</v>
      </c>
      <c r="P155" t="str">
        <f t="shared" si="8"/>
        <v>Fair</v>
      </c>
      <c r="Q155">
        <v>4</v>
      </c>
    </row>
    <row r="156" spans="1:17" x14ac:dyDescent="0.3">
      <c r="A156">
        <v>154</v>
      </c>
      <c r="B156">
        <v>48</v>
      </c>
      <c r="C156">
        <v>61</v>
      </c>
      <c r="D156">
        <v>1971</v>
      </c>
      <c r="E156">
        <v>6</v>
      </c>
      <c r="F156" t="str">
        <f t="shared" si="7"/>
        <v>36-50</v>
      </c>
      <c r="G156" t="s">
        <v>19</v>
      </c>
      <c r="H156" t="s">
        <v>697</v>
      </c>
      <c r="I156">
        <v>34.93</v>
      </c>
      <c r="J156">
        <v>-78.72</v>
      </c>
      <c r="K156" t="s">
        <v>698</v>
      </c>
      <c r="L156" s="4">
        <v>37468</v>
      </c>
      <c r="M156" s="4">
        <v>73448</v>
      </c>
      <c r="N156" s="11">
        <f t="shared" si="6"/>
        <v>1.9602861108145617</v>
      </c>
      <c r="O156">
        <v>666</v>
      </c>
      <c r="P156" t="str">
        <f t="shared" si="8"/>
        <v>Fair</v>
      </c>
      <c r="Q156">
        <v>3</v>
      </c>
    </row>
    <row r="157" spans="1:17" x14ac:dyDescent="0.3">
      <c r="A157">
        <v>155</v>
      </c>
      <c r="B157">
        <v>86</v>
      </c>
      <c r="C157">
        <v>69</v>
      </c>
      <c r="D157">
        <v>1933</v>
      </c>
      <c r="E157">
        <v>11</v>
      </c>
      <c r="F157" t="str">
        <f t="shared" si="7"/>
        <v>65+</v>
      </c>
      <c r="G157" t="s">
        <v>14</v>
      </c>
      <c r="H157" t="s">
        <v>1724</v>
      </c>
      <c r="I157">
        <v>31.31</v>
      </c>
      <c r="J157">
        <v>-89.3</v>
      </c>
      <c r="K157" t="s">
        <v>1725</v>
      </c>
      <c r="L157" s="4">
        <v>9678</v>
      </c>
      <c r="M157" s="4">
        <v>812</v>
      </c>
      <c r="N157" s="11">
        <f t="shared" si="6"/>
        <v>8.3901632568712539E-2</v>
      </c>
      <c r="O157">
        <v>688</v>
      </c>
      <c r="P157" t="str">
        <f t="shared" si="8"/>
        <v>Good</v>
      </c>
      <c r="Q157">
        <v>6</v>
      </c>
    </row>
    <row r="158" spans="1:17" x14ac:dyDescent="0.3">
      <c r="A158">
        <v>156</v>
      </c>
      <c r="B158">
        <v>36</v>
      </c>
      <c r="C158">
        <v>67</v>
      </c>
      <c r="D158">
        <v>1983</v>
      </c>
      <c r="E158">
        <v>7</v>
      </c>
      <c r="F158" t="str">
        <f t="shared" si="7"/>
        <v>36-50</v>
      </c>
      <c r="G158" t="s">
        <v>14</v>
      </c>
      <c r="H158" t="s">
        <v>898</v>
      </c>
      <c r="I158">
        <v>34.08</v>
      </c>
      <c r="J158">
        <v>-117.46</v>
      </c>
      <c r="K158" t="s">
        <v>899</v>
      </c>
      <c r="L158" s="4">
        <v>28007</v>
      </c>
      <c r="M158" s="4">
        <v>0</v>
      </c>
      <c r="N158" s="11">
        <f t="shared" si="6"/>
        <v>0</v>
      </c>
      <c r="O158">
        <v>691</v>
      </c>
      <c r="P158" t="str">
        <f t="shared" si="8"/>
        <v>Good</v>
      </c>
      <c r="Q158">
        <v>4</v>
      </c>
    </row>
    <row r="159" spans="1:17" x14ac:dyDescent="0.3">
      <c r="A159">
        <v>157</v>
      </c>
      <c r="B159">
        <v>47</v>
      </c>
      <c r="C159">
        <v>65</v>
      </c>
      <c r="D159">
        <v>1972</v>
      </c>
      <c r="E159">
        <v>10</v>
      </c>
      <c r="F159" t="str">
        <f t="shared" si="7"/>
        <v>36-50</v>
      </c>
      <c r="G159" t="s">
        <v>19</v>
      </c>
      <c r="H159" t="s">
        <v>1036</v>
      </c>
      <c r="I159">
        <v>33.83</v>
      </c>
      <c r="J159">
        <v>-117.2</v>
      </c>
      <c r="K159" t="s">
        <v>148</v>
      </c>
      <c r="L159" s="4">
        <v>32847</v>
      </c>
      <c r="M159" s="4">
        <v>3230</v>
      </c>
      <c r="N159" s="11">
        <f t="shared" si="6"/>
        <v>9.8334703321460104E-2</v>
      </c>
      <c r="O159">
        <v>785</v>
      </c>
      <c r="P159" t="str">
        <f t="shared" si="8"/>
        <v>Very Good</v>
      </c>
      <c r="Q159">
        <v>3</v>
      </c>
    </row>
    <row r="160" spans="1:17" x14ac:dyDescent="0.3">
      <c r="A160">
        <v>158</v>
      </c>
      <c r="B160">
        <v>31</v>
      </c>
      <c r="C160">
        <v>72</v>
      </c>
      <c r="D160">
        <v>1989</v>
      </c>
      <c r="E160">
        <v>2</v>
      </c>
      <c r="F160" t="str">
        <f t="shared" si="7"/>
        <v>26-35</v>
      </c>
      <c r="G160" t="s">
        <v>14</v>
      </c>
      <c r="H160" t="s">
        <v>455</v>
      </c>
      <c r="I160">
        <v>45.2</v>
      </c>
      <c r="J160">
        <v>-122.06</v>
      </c>
      <c r="K160" t="s">
        <v>456</v>
      </c>
      <c r="L160" s="4">
        <v>41475</v>
      </c>
      <c r="M160" s="4">
        <v>0</v>
      </c>
      <c r="N160" s="11">
        <f t="shared" si="6"/>
        <v>0</v>
      </c>
      <c r="O160">
        <v>747</v>
      </c>
      <c r="P160" t="str">
        <f t="shared" si="8"/>
        <v>Very Good</v>
      </c>
      <c r="Q160">
        <v>2</v>
      </c>
    </row>
    <row r="161" spans="1:17" x14ac:dyDescent="0.3">
      <c r="A161">
        <v>159</v>
      </c>
      <c r="B161">
        <v>53</v>
      </c>
      <c r="C161">
        <v>69</v>
      </c>
      <c r="D161">
        <v>1966</v>
      </c>
      <c r="E161">
        <v>7</v>
      </c>
      <c r="F161" t="str">
        <f t="shared" si="7"/>
        <v>51-60</v>
      </c>
      <c r="G161" t="s">
        <v>19</v>
      </c>
      <c r="H161" t="s">
        <v>1586</v>
      </c>
      <c r="I161">
        <v>32.79</v>
      </c>
      <c r="J161">
        <v>-96.76</v>
      </c>
      <c r="K161" t="s">
        <v>1587</v>
      </c>
      <c r="L161" s="4">
        <v>28134</v>
      </c>
      <c r="M161" s="4">
        <v>20231</v>
      </c>
      <c r="N161" s="11">
        <f t="shared" si="6"/>
        <v>0.71909433425748204</v>
      </c>
      <c r="O161">
        <v>707</v>
      </c>
      <c r="P161" t="str">
        <f t="shared" si="8"/>
        <v>Good</v>
      </c>
      <c r="Q161">
        <v>3</v>
      </c>
    </row>
    <row r="162" spans="1:17" x14ac:dyDescent="0.3">
      <c r="A162">
        <v>160</v>
      </c>
      <c r="B162">
        <v>44</v>
      </c>
      <c r="C162">
        <v>68</v>
      </c>
      <c r="D162">
        <v>1975</v>
      </c>
      <c r="E162">
        <v>10</v>
      </c>
      <c r="F162" t="str">
        <f t="shared" si="7"/>
        <v>36-50</v>
      </c>
      <c r="G162" t="s">
        <v>19</v>
      </c>
      <c r="H162" t="s">
        <v>1914</v>
      </c>
      <c r="I162">
        <v>38.909999999999997</v>
      </c>
      <c r="J162">
        <v>-75.430000000000007</v>
      </c>
      <c r="K162" t="s">
        <v>142</v>
      </c>
      <c r="L162" s="4">
        <v>37965</v>
      </c>
      <c r="M162" s="4">
        <v>69614</v>
      </c>
      <c r="N162" s="11">
        <f t="shared" si="6"/>
        <v>1.8336362439088634</v>
      </c>
      <c r="O162">
        <v>796</v>
      </c>
      <c r="P162" t="str">
        <f t="shared" si="8"/>
        <v>Very Good</v>
      </c>
      <c r="Q162">
        <v>3</v>
      </c>
    </row>
    <row r="163" spans="1:17" x14ac:dyDescent="0.3">
      <c r="A163">
        <v>161</v>
      </c>
      <c r="B163">
        <v>31</v>
      </c>
      <c r="C163">
        <v>70</v>
      </c>
      <c r="D163">
        <v>1988</v>
      </c>
      <c r="E163">
        <v>11</v>
      </c>
      <c r="F163" t="str">
        <f t="shared" si="7"/>
        <v>26-35</v>
      </c>
      <c r="G163" t="s">
        <v>19</v>
      </c>
      <c r="H163" t="s">
        <v>1078</v>
      </c>
      <c r="I163">
        <v>31.56</v>
      </c>
      <c r="J163">
        <v>-97.18</v>
      </c>
      <c r="K163" t="s">
        <v>1079</v>
      </c>
      <c r="L163" s="4">
        <v>23469</v>
      </c>
      <c r="M163" s="4">
        <v>22976</v>
      </c>
      <c r="N163" s="11">
        <f t="shared" si="6"/>
        <v>0.97899356598065534</v>
      </c>
      <c r="O163">
        <v>731</v>
      </c>
      <c r="P163" t="str">
        <f t="shared" si="8"/>
        <v>Good</v>
      </c>
      <c r="Q163">
        <v>3</v>
      </c>
    </row>
    <row r="164" spans="1:17" x14ac:dyDescent="0.3">
      <c r="A164">
        <v>162</v>
      </c>
      <c r="B164">
        <v>37</v>
      </c>
      <c r="C164">
        <v>69</v>
      </c>
      <c r="D164">
        <v>1983</v>
      </c>
      <c r="E164">
        <v>1</v>
      </c>
      <c r="F164" t="str">
        <f t="shared" si="7"/>
        <v>36-50</v>
      </c>
      <c r="G164" t="s">
        <v>19</v>
      </c>
      <c r="H164" t="s">
        <v>1699</v>
      </c>
      <c r="I164">
        <v>42.56</v>
      </c>
      <c r="J164">
        <v>-83.38</v>
      </c>
      <c r="K164" t="s">
        <v>1700</v>
      </c>
      <c r="L164" s="4">
        <v>66111</v>
      </c>
      <c r="M164" s="4">
        <v>98102</v>
      </c>
      <c r="N164" s="11">
        <f t="shared" si="6"/>
        <v>1.4838982922660375</v>
      </c>
      <c r="O164">
        <v>771</v>
      </c>
      <c r="P164" t="str">
        <f t="shared" si="8"/>
        <v>Very Good</v>
      </c>
      <c r="Q164">
        <v>5</v>
      </c>
    </row>
    <row r="165" spans="1:17" x14ac:dyDescent="0.3">
      <c r="A165">
        <v>163</v>
      </c>
      <c r="B165">
        <v>37</v>
      </c>
      <c r="C165">
        <v>73</v>
      </c>
      <c r="D165">
        <v>1983</v>
      </c>
      <c r="E165">
        <v>2</v>
      </c>
      <c r="F165" t="str">
        <f t="shared" si="7"/>
        <v>36-50</v>
      </c>
      <c r="G165" t="s">
        <v>19</v>
      </c>
      <c r="H165" t="s">
        <v>986</v>
      </c>
      <c r="I165">
        <v>41.37</v>
      </c>
      <c r="J165">
        <v>-79.7</v>
      </c>
      <c r="K165" t="s">
        <v>987</v>
      </c>
      <c r="L165" s="4">
        <v>33108</v>
      </c>
      <c r="M165" s="4">
        <v>44044</v>
      </c>
      <c r="N165" s="11">
        <f t="shared" si="6"/>
        <v>1.3303129153074786</v>
      </c>
      <c r="O165">
        <v>829</v>
      </c>
      <c r="P165" t="str">
        <f t="shared" si="8"/>
        <v>Excellent</v>
      </c>
      <c r="Q165">
        <v>2</v>
      </c>
    </row>
    <row r="166" spans="1:17" x14ac:dyDescent="0.3">
      <c r="A166">
        <v>164</v>
      </c>
      <c r="B166">
        <v>76</v>
      </c>
      <c r="C166">
        <v>67</v>
      </c>
      <c r="D166">
        <v>1943</v>
      </c>
      <c r="E166">
        <v>8</v>
      </c>
      <c r="F166" t="str">
        <f t="shared" si="7"/>
        <v>65+</v>
      </c>
      <c r="G166" t="s">
        <v>19</v>
      </c>
      <c r="H166" t="s">
        <v>1309</v>
      </c>
      <c r="I166">
        <v>40.840000000000003</v>
      </c>
      <c r="J166">
        <v>-84.33</v>
      </c>
      <c r="K166" t="s">
        <v>1310</v>
      </c>
      <c r="L166" s="4">
        <v>37829</v>
      </c>
      <c r="M166" s="4">
        <v>20185</v>
      </c>
      <c r="N166" s="11">
        <f t="shared" si="6"/>
        <v>0.53358534457691187</v>
      </c>
      <c r="O166">
        <v>658</v>
      </c>
      <c r="P166" t="str">
        <f t="shared" si="8"/>
        <v>Fair</v>
      </c>
      <c r="Q166">
        <v>4</v>
      </c>
    </row>
    <row r="167" spans="1:17" x14ac:dyDescent="0.3">
      <c r="A167">
        <v>165</v>
      </c>
      <c r="B167">
        <v>34</v>
      </c>
      <c r="C167">
        <v>65</v>
      </c>
      <c r="D167">
        <v>1986</v>
      </c>
      <c r="E167">
        <v>2</v>
      </c>
      <c r="F167" t="str">
        <f t="shared" si="7"/>
        <v>26-35</v>
      </c>
      <c r="G167" t="s">
        <v>19</v>
      </c>
      <c r="H167" t="s">
        <v>145</v>
      </c>
      <c r="I167">
        <v>37.83</v>
      </c>
      <c r="J167">
        <v>-122.22</v>
      </c>
      <c r="K167" t="s">
        <v>146</v>
      </c>
      <c r="L167" s="4">
        <v>107683</v>
      </c>
      <c r="M167" s="4">
        <v>225017</v>
      </c>
      <c r="N167" s="11">
        <f t="shared" si="6"/>
        <v>2.08962417466081</v>
      </c>
      <c r="O167">
        <v>694</v>
      </c>
      <c r="P167" t="str">
        <f t="shared" si="8"/>
        <v>Good</v>
      </c>
      <c r="Q167">
        <v>3</v>
      </c>
    </row>
    <row r="168" spans="1:17" x14ac:dyDescent="0.3">
      <c r="A168">
        <v>166</v>
      </c>
      <c r="B168">
        <v>83</v>
      </c>
      <c r="C168">
        <v>64</v>
      </c>
      <c r="D168">
        <v>1936</v>
      </c>
      <c r="E168">
        <v>4</v>
      </c>
      <c r="F168" t="str">
        <f t="shared" si="7"/>
        <v>65+</v>
      </c>
      <c r="G168" t="s">
        <v>14</v>
      </c>
      <c r="H168" t="s">
        <v>1863</v>
      </c>
      <c r="I168">
        <v>39.15</v>
      </c>
      <c r="J168">
        <v>-75.510000000000005</v>
      </c>
      <c r="K168" t="s">
        <v>1864</v>
      </c>
      <c r="L168" s="4">
        <v>25567</v>
      </c>
      <c r="M168" s="4">
        <v>1001</v>
      </c>
      <c r="N168" s="11">
        <f t="shared" si="6"/>
        <v>3.9152031916141902E-2</v>
      </c>
      <c r="O168">
        <v>665</v>
      </c>
      <c r="P168" t="str">
        <f t="shared" si="8"/>
        <v>Fair</v>
      </c>
      <c r="Q168">
        <v>3</v>
      </c>
    </row>
    <row r="169" spans="1:17" x14ac:dyDescent="0.3">
      <c r="A169">
        <v>167</v>
      </c>
      <c r="B169">
        <v>26</v>
      </c>
      <c r="C169">
        <v>72</v>
      </c>
      <c r="D169">
        <v>1994</v>
      </c>
      <c r="E169">
        <v>1</v>
      </c>
      <c r="F169" t="str">
        <f t="shared" si="7"/>
        <v>26-35</v>
      </c>
      <c r="G169" t="s">
        <v>14</v>
      </c>
      <c r="H169" t="s">
        <v>1873</v>
      </c>
      <c r="I169">
        <v>35.880000000000003</v>
      </c>
      <c r="J169">
        <v>-80.010000000000005</v>
      </c>
      <c r="K169" t="s">
        <v>1874</v>
      </c>
      <c r="L169" s="4">
        <v>38036</v>
      </c>
      <c r="M169" s="4">
        <v>0</v>
      </c>
      <c r="N169" s="11">
        <f t="shared" si="6"/>
        <v>0</v>
      </c>
      <c r="O169">
        <v>743</v>
      </c>
      <c r="P169" t="str">
        <f t="shared" si="8"/>
        <v>Very Good</v>
      </c>
      <c r="Q169">
        <v>3</v>
      </c>
    </row>
    <row r="170" spans="1:17" x14ac:dyDescent="0.3">
      <c r="A170">
        <v>168</v>
      </c>
      <c r="B170">
        <v>51</v>
      </c>
      <c r="C170">
        <v>56</v>
      </c>
      <c r="D170">
        <v>1968</v>
      </c>
      <c r="E170">
        <v>7</v>
      </c>
      <c r="F170" t="str">
        <f t="shared" si="7"/>
        <v>51-60</v>
      </c>
      <c r="G170" t="s">
        <v>14</v>
      </c>
      <c r="H170" t="s">
        <v>1442</v>
      </c>
      <c r="I170">
        <v>30.27</v>
      </c>
      <c r="J170">
        <v>-87.7</v>
      </c>
      <c r="K170" t="s">
        <v>1443</v>
      </c>
      <c r="L170" s="4">
        <v>31713</v>
      </c>
      <c r="M170" s="4">
        <v>42895</v>
      </c>
      <c r="N170" s="11">
        <f t="shared" si="6"/>
        <v>1.3525998801753225</v>
      </c>
      <c r="O170">
        <v>646</v>
      </c>
      <c r="P170" t="str">
        <f t="shared" si="8"/>
        <v>Fair</v>
      </c>
      <c r="Q170">
        <v>1</v>
      </c>
    </row>
    <row r="171" spans="1:17" x14ac:dyDescent="0.3">
      <c r="A171">
        <v>169</v>
      </c>
      <c r="B171">
        <v>85</v>
      </c>
      <c r="C171">
        <v>71</v>
      </c>
      <c r="D171">
        <v>1934</v>
      </c>
      <c r="E171">
        <v>5</v>
      </c>
      <c r="F171" t="str">
        <f t="shared" si="7"/>
        <v>65+</v>
      </c>
      <c r="G171" t="s">
        <v>19</v>
      </c>
      <c r="H171" t="s">
        <v>1704</v>
      </c>
      <c r="I171">
        <v>33.94</v>
      </c>
      <c r="J171">
        <v>-80.39</v>
      </c>
      <c r="K171" t="s">
        <v>1705</v>
      </c>
      <c r="L171" s="4">
        <v>30451</v>
      </c>
      <c r="M171" s="4">
        <v>93</v>
      </c>
      <c r="N171" s="11">
        <f t="shared" si="6"/>
        <v>3.0540868936980723E-3</v>
      </c>
      <c r="O171">
        <v>686</v>
      </c>
      <c r="P171" t="str">
        <f t="shared" si="8"/>
        <v>Good</v>
      </c>
      <c r="Q171">
        <v>4</v>
      </c>
    </row>
    <row r="172" spans="1:17" x14ac:dyDescent="0.3">
      <c r="A172">
        <v>170</v>
      </c>
      <c r="B172">
        <v>34</v>
      </c>
      <c r="C172">
        <v>71</v>
      </c>
      <c r="D172">
        <v>1985</v>
      </c>
      <c r="E172">
        <v>9</v>
      </c>
      <c r="F172" t="str">
        <f t="shared" si="7"/>
        <v>26-35</v>
      </c>
      <c r="G172" t="s">
        <v>19</v>
      </c>
      <c r="H172" t="s">
        <v>1273</v>
      </c>
      <c r="I172">
        <v>35.01</v>
      </c>
      <c r="J172">
        <v>-97.37</v>
      </c>
      <c r="K172" t="s">
        <v>1274</v>
      </c>
      <c r="L172" s="4">
        <v>36983</v>
      </c>
      <c r="M172" s="4">
        <v>58895</v>
      </c>
      <c r="N172" s="11">
        <f t="shared" si="6"/>
        <v>1.5924884406348863</v>
      </c>
      <c r="O172">
        <v>768</v>
      </c>
      <c r="P172" t="str">
        <f t="shared" si="8"/>
        <v>Very Good</v>
      </c>
      <c r="Q172">
        <v>4</v>
      </c>
    </row>
    <row r="173" spans="1:17" x14ac:dyDescent="0.3">
      <c r="A173">
        <v>171</v>
      </c>
      <c r="B173">
        <v>43</v>
      </c>
      <c r="C173">
        <v>70</v>
      </c>
      <c r="D173">
        <v>1976</v>
      </c>
      <c r="E173">
        <v>5</v>
      </c>
      <c r="F173" t="str">
        <f t="shared" si="7"/>
        <v>36-50</v>
      </c>
      <c r="G173" t="s">
        <v>14</v>
      </c>
      <c r="H173" t="s">
        <v>273</v>
      </c>
      <c r="I173">
        <v>34.83</v>
      </c>
      <c r="J173">
        <v>-82.37</v>
      </c>
      <c r="K173" t="s">
        <v>274</v>
      </c>
      <c r="L173" s="4">
        <v>49577</v>
      </c>
      <c r="M173" s="4">
        <v>142314</v>
      </c>
      <c r="N173" s="11">
        <f t="shared" si="6"/>
        <v>2.8705649797285031</v>
      </c>
      <c r="O173">
        <v>694</v>
      </c>
      <c r="P173" t="str">
        <f t="shared" si="8"/>
        <v>Good</v>
      </c>
      <c r="Q173">
        <v>3</v>
      </c>
    </row>
    <row r="174" spans="1:17" x14ac:dyDescent="0.3">
      <c r="A174">
        <v>172</v>
      </c>
      <c r="B174">
        <v>47</v>
      </c>
      <c r="C174">
        <v>66</v>
      </c>
      <c r="D174">
        <v>1972</v>
      </c>
      <c r="E174">
        <v>4</v>
      </c>
      <c r="F174" t="str">
        <f t="shared" si="7"/>
        <v>36-50</v>
      </c>
      <c r="G174" t="s">
        <v>14</v>
      </c>
      <c r="H174" t="s">
        <v>1718</v>
      </c>
      <c r="I174">
        <v>39.85</v>
      </c>
      <c r="J174">
        <v>-88.93</v>
      </c>
      <c r="K174" t="s">
        <v>1719</v>
      </c>
      <c r="L174" s="4">
        <v>45164</v>
      </c>
      <c r="M174" s="4">
        <v>0</v>
      </c>
      <c r="N174" s="11">
        <f t="shared" si="6"/>
        <v>0</v>
      </c>
      <c r="O174">
        <v>730</v>
      </c>
      <c r="P174" t="str">
        <f t="shared" si="8"/>
        <v>Good</v>
      </c>
      <c r="Q174">
        <v>3</v>
      </c>
    </row>
    <row r="175" spans="1:17" x14ac:dyDescent="0.3">
      <c r="A175">
        <v>173</v>
      </c>
      <c r="B175">
        <v>63</v>
      </c>
      <c r="C175">
        <v>62</v>
      </c>
      <c r="D175">
        <v>1956</v>
      </c>
      <c r="E175">
        <v>5</v>
      </c>
      <c r="F175" t="str">
        <f t="shared" si="7"/>
        <v>51-60</v>
      </c>
      <c r="G175" t="s">
        <v>14</v>
      </c>
      <c r="H175" t="s">
        <v>1567</v>
      </c>
      <c r="I175">
        <v>32.450000000000003</v>
      </c>
      <c r="J175">
        <v>-99.73</v>
      </c>
      <c r="K175" t="s">
        <v>1568</v>
      </c>
      <c r="L175" s="4">
        <v>30399</v>
      </c>
      <c r="M175" s="4">
        <v>19404</v>
      </c>
      <c r="N175" s="11">
        <f t="shared" si="6"/>
        <v>0.63831047073916902</v>
      </c>
      <c r="O175">
        <v>668</v>
      </c>
      <c r="P175" t="str">
        <f t="shared" si="8"/>
        <v>Fair</v>
      </c>
      <c r="Q175">
        <v>4</v>
      </c>
    </row>
    <row r="176" spans="1:17" x14ac:dyDescent="0.3">
      <c r="A176">
        <v>174</v>
      </c>
      <c r="B176">
        <v>23</v>
      </c>
      <c r="C176">
        <v>69</v>
      </c>
      <c r="D176">
        <v>1996</v>
      </c>
      <c r="E176">
        <v>4</v>
      </c>
      <c r="F176" t="str">
        <f t="shared" si="7"/>
        <v>18-25</v>
      </c>
      <c r="G176" t="s">
        <v>14</v>
      </c>
      <c r="H176" t="s">
        <v>1961</v>
      </c>
      <c r="I176">
        <v>38.35</v>
      </c>
      <c r="J176">
        <v>-81.63</v>
      </c>
      <c r="K176" t="s">
        <v>1345</v>
      </c>
      <c r="L176" s="4">
        <v>44644</v>
      </c>
      <c r="M176" s="4">
        <v>83108</v>
      </c>
      <c r="N176" s="11">
        <f t="shared" si="6"/>
        <v>1.8615715437684794</v>
      </c>
      <c r="O176">
        <v>716</v>
      </c>
      <c r="P176" t="str">
        <f t="shared" si="8"/>
        <v>Good</v>
      </c>
      <c r="Q176">
        <v>3</v>
      </c>
    </row>
    <row r="177" spans="1:17" x14ac:dyDescent="0.3">
      <c r="A177">
        <v>175</v>
      </c>
      <c r="B177">
        <v>33</v>
      </c>
      <c r="C177">
        <v>63</v>
      </c>
      <c r="D177">
        <v>1986</v>
      </c>
      <c r="E177">
        <v>6</v>
      </c>
      <c r="F177" t="str">
        <f t="shared" si="7"/>
        <v>26-35</v>
      </c>
      <c r="G177" t="s">
        <v>14</v>
      </c>
      <c r="H177" t="s">
        <v>1926</v>
      </c>
      <c r="I177">
        <v>40.68</v>
      </c>
      <c r="J177">
        <v>-73.37</v>
      </c>
      <c r="K177" t="s">
        <v>1927</v>
      </c>
      <c r="L177" s="4">
        <v>54091</v>
      </c>
      <c r="M177" s="4">
        <v>165960</v>
      </c>
      <c r="N177" s="11">
        <f t="shared" si="6"/>
        <v>3.0681629106505701</v>
      </c>
      <c r="O177">
        <v>675</v>
      </c>
      <c r="P177" t="str">
        <f t="shared" si="8"/>
        <v>Good</v>
      </c>
      <c r="Q177">
        <v>1</v>
      </c>
    </row>
    <row r="178" spans="1:17" x14ac:dyDescent="0.3">
      <c r="A178">
        <v>176</v>
      </c>
      <c r="B178">
        <v>45</v>
      </c>
      <c r="C178">
        <v>71</v>
      </c>
      <c r="D178">
        <v>1974</v>
      </c>
      <c r="E178">
        <v>12</v>
      </c>
      <c r="F178" t="str">
        <f t="shared" si="7"/>
        <v>36-50</v>
      </c>
      <c r="G178" t="s">
        <v>14</v>
      </c>
      <c r="H178" t="s">
        <v>527</v>
      </c>
      <c r="I178">
        <v>33.74</v>
      </c>
      <c r="J178">
        <v>-84.31</v>
      </c>
      <c r="K178" t="s">
        <v>528</v>
      </c>
      <c r="L178" s="4">
        <v>52172</v>
      </c>
      <c r="M178" s="4">
        <v>66085</v>
      </c>
      <c r="N178" s="11">
        <f t="shared" si="6"/>
        <v>1.266675611439086</v>
      </c>
      <c r="O178">
        <v>667</v>
      </c>
      <c r="P178" t="str">
        <f t="shared" si="8"/>
        <v>Fair</v>
      </c>
      <c r="Q178">
        <v>4</v>
      </c>
    </row>
    <row r="179" spans="1:17" x14ac:dyDescent="0.3">
      <c r="A179">
        <v>177</v>
      </c>
      <c r="B179">
        <v>54</v>
      </c>
      <c r="C179">
        <v>66</v>
      </c>
      <c r="D179">
        <v>1965</v>
      </c>
      <c r="E179">
        <v>12</v>
      </c>
      <c r="F179" t="str">
        <f t="shared" si="7"/>
        <v>51-60</v>
      </c>
      <c r="G179" t="s">
        <v>14</v>
      </c>
      <c r="H179" t="s">
        <v>1744</v>
      </c>
      <c r="I179">
        <v>35.1</v>
      </c>
      <c r="J179">
        <v>-90</v>
      </c>
      <c r="K179" t="s">
        <v>1745</v>
      </c>
      <c r="L179" s="4">
        <v>58248</v>
      </c>
      <c r="M179" s="4">
        <v>107130</v>
      </c>
      <c r="N179" s="11">
        <f t="shared" si="6"/>
        <v>1.8392047795632469</v>
      </c>
      <c r="O179">
        <v>728</v>
      </c>
      <c r="P179" t="str">
        <f t="shared" si="8"/>
        <v>Good</v>
      </c>
      <c r="Q179">
        <v>4</v>
      </c>
    </row>
    <row r="180" spans="1:17" x14ac:dyDescent="0.3">
      <c r="A180">
        <v>178</v>
      </c>
      <c r="B180">
        <v>47</v>
      </c>
      <c r="C180">
        <v>66</v>
      </c>
      <c r="D180">
        <v>1972</v>
      </c>
      <c r="E180">
        <v>7</v>
      </c>
      <c r="F180" t="str">
        <f t="shared" si="7"/>
        <v>36-50</v>
      </c>
      <c r="G180" t="s">
        <v>14</v>
      </c>
      <c r="H180" t="s">
        <v>1404</v>
      </c>
      <c r="I180">
        <v>39.01</v>
      </c>
      <c r="J180">
        <v>-94.28</v>
      </c>
      <c r="K180" t="s">
        <v>1405</v>
      </c>
      <c r="L180" s="4">
        <v>49045</v>
      </c>
      <c r="M180" s="4">
        <v>0</v>
      </c>
      <c r="N180" s="11">
        <f t="shared" si="6"/>
        <v>0</v>
      </c>
      <c r="O180">
        <v>727</v>
      </c>
      <c r="P180" t="str">
        <f t="shared" si="8"/>
        <v>Good</v>
      </c>
      <c r="Q180">
        <v>3</v>
      </c>
    </row>
    <row r="181" spans="1:17" x14ac:dyDescent="0.3">
      <c r="A181">
        <v>179</v>
      </c>
      <c r="B181">
        <v>33</v>
      </c>
      <c r="C181">
        <v>67</v>
      </c>
      <c r="D181">
        <v>1986</v>
      </c>
      <c r="E181">
        <v>5</v>
      </c>
      <c r="F181" t="str">
        <f t="shared" si="7"/>
        <v>26-35</v>
      </c>
      <c r="G181" t="s">
        <v>14</v>
      </c>
      <c r="H181" t="s">
        <v>706</v>
      </c>
      <c r="I181">
        <v>34.979999999999997</v>
      </c>
      <c r="J181">
        <v>-80.540000000000006</v>
      </c>
      <c r="K181" t="s">
        <v>707</v>
      </c>
      <c r="L181" s="4">
        <v>39974</v>
      </c>
      <c r="M181" s="4">
        <v>64403</v>
      </c>
      <c r="N181" s="11">
        <f t="shared" si="6"/>
        <v>1.6111222294491419</v>
      </c>
      <c r="O181">
        <v>652</v>
      </c>
      <c r="P181" t="str">
        <f t="shared" si="8"/>
        <v>Fair</v>
      </c>
      <c r="Q181">
        <v>2</v>
      </c>
    </row>
    <row r="182" spans="1:17" x14ac:dyDescent="0.3">
      <c r="A182">
        <v>180</v>
      </c>
      <c r="B182">
        <v>33</v>
      </c>
      <c r="C182">
        <v>67</v>
      </c>
      <c r="D182">
        <v>1986</v>
      </c>
      <c r="E182">
        <v>7</v>
      </c>
      <c r="F182" t="str">
        <f t="shared" si="7"/>
        <v>26-35</v>
      </c>
      <c r="G182" t="s">
        <v>14</v>
      </c>
      <c r="H182" t="s">
        <v>124</v>
      </c>
      <c r="I182">
        <v>33.53</v>
      </c>
      <c r="J182">
        <v>-112.18</v>
      </c>
      <c r="K182" t="s">
        <v>125</v>
      </c>
      <c r="L182" s="4">
        <v>26556</v>
      </c>
      <c r="M182" s="4">
        <v>43042</v>
      </c>
      <c r="N182" s="11">
        <f t="shared" si="6"/>
        <v>1.6208013255008284</v>
      </c>
      <c r="O182">
        <v>840</v>
      </c>
      <c r="P182" t="str">
        <f t="shared" si="8"/>
        <v>Excellent</v>
      </c>
      <c r="Q182">
        <v>2</v>
      </c>
    </row>
    <row r="183" spans="1:17" x14ac:dyDescent="0.3">
      <c r="A183">
        <v>181</v>
      </c>
      <c r="B183">
        <v>26</v>
      </c>
      <c r="C183">
        <v>65</v>
      </c>
      <c r="D183">
        <v>1994</v>
      </c>
      <c r="E183">
        <v>1</v>
      </c>
      <c r="F183" t="str">
        <f t="shared" si="7"/>
        <v>26-35</v>
      </c>
      <c r="G183" t="s">
        <v>14</v>
      </c>
      <c r="H183" t="s">
        <v>266</v>
      </c>
      <c r="I183">
        <v>33.86</v>
      </c>
      <c r="J183">
        <v>-84.68</v>
      </c>
      <c r="K183" t="s">
        <v>267</v>
      </c>
      <c r="L183" s="4">
        <v>51024</v>
      </c>
      <c r="M183" s="4">
        <v>181184</v>
      </c>
      <c r="N183" s="11">
        <f t="shared" si="6"/>
        <v>3.550956412668548</v>
      </c>
      <c r="O183">
        <v>602</v>
      </c>
      <c r="P183" t="str">
        <f t="shared" si="8"/>
        <v>Fair</v>
      </c>
      <c r="Q183">
        <v>1</v>
      </c>
    </row>
    <row r="184" spans="1:17" x14ac:dyDescent="0.3">
      <c r="A184">
        <v>182</v>
      </c>
      <c r="B184">
        <v>49</v>
      </c>
      <c r="C184">
        <v>70</v>
      </c>
      <c r="D184">
        <v>1971</v>
      </c>
      <c r="E184">
        <v>2</v>
      </c>
      <c r="F184" t="str">
        <f t="shared" si="7"/>
        <v>36-50</v>
      </c>
      <c r="G184" t="s">
        <v>14</v>
      </c>
      <c r="H184" t="s">
        <v>1299</v>
      </c>
      <c r="I184">
        <v>26.14</v>
      </c>
      <c r="J184">
        <v>-81.790000000000006</v>
      </c>
      <c r="K184" t="s">
        <v>1300</v>
      </c>
      <c r="L184" s="4">
        <v>50984</v>
      </c>
      <c r="M184" s="4">
        <v>65126</v>
      </c>
      <c r="N184" s="11">
        <f t="shared" si="6"/>
        <v>1.2773811391809196</v>
      </c>
      <c r="O184">
        <v>616</v>
      </c>
      <c r="P184" t="str">
        <f t="shared" si="8"/>
        <v>Fair</v>
      </c>
      <c r="Q184">
        <v>2</v>
      </c>
    </row>
    <row r="185" spans="1:17" x14ac:dyDescent="0.3">
      <c r="A185">
        <v>183</v>
      </c>
      <c r="B185">
        <v>24</v>
      </c>
      <c r="C185">
        <v>65</v>
      </c>
      <c r="D185">
        <v>1995</v>
      </c>
      <c r="E185">
        <v>12</v>
      </c>
      <c r="F185" t="str">
        <f t="shared" si="7"/>
        <v>18-25</v>
      </c>
      <c r="G185" t="s">
        <v>14</v>
      </c>
      <c r="H185" t="s">
        <v>290</v>
      </c>
      <c r="I185">
        <v>41.83</v>
      </c>
      <c r="J185">
        <v>-87.68</v>
      </c>
      <c r="K185" t="s">
        <v>199</v>
      </c>
      <c r="L185" s="4">
        <v>38609</v>
      </c>
      <c r="M185" s="4">
        <v>39867</v>
      </c>
      <c r="N185" s="11">
        <f t="shared" si="6"/>
        <v>1.0325830764847574</v>
      </c>
      <c r="O185">
        <v>798</v>
      </c>
      <c r="P185" t="str">
        <f t="shared" si="8"/>
        <v>Very Good</v>
      </c>
      <c r="Q185">
        <v>3</v>
      </c>
    </row>
    <row r="186" spans="1:17" x14ac:dyDescent="0.3">
      <c r="A186">
        <v>184</v>
      </c>
      <c r="B186">
        <v>50</v>
      </c>
      <c r="C186">
        <v>69</v>
      </c>
      <c r="D186">
        <v>1969</v>
      </c>
      <c r="E186">
        <v>4</v>
      </c>
      <c r="F186" t="str">
        <f t="shared" si="7"/>
        <v>36-50</v>
      </c>
      <c r="G186" t="s">
        <v>14</v>
      </c>
      <c r="H186" t="s">
        <v>1324</v>
      </c>
      <c r="I186">
        <v>42.83</v>
      </c>
      <c r="J186">
        <v>-89.07</v>
      </c>
      <c r="K186" t="s">
        <v>1325</v>
      </c>
      <c r="L186" s="4">
        <v>43529</v>
      </c>
      <c r="M186" s="4">
        <v>126175</v>
      </c>
      <c r="N186" s="11">
        <f t="shared" si="6"/>
        <v>2.8986422844540423</v>
      </c>
      <c r="O186">
        <v>797</v>
      </c>
      <c r="P186" t="str">
        <f t="shared" si="8"/>
        <v>Very Good</v>
      </c>
      <c r="Q186">
        <v>6</v>
      </c>
    </row>
    <row r="187" spans="1:17" x14ac:dyDescent="0.3">
      <c r="A187">
        <v>185</v>
      </c>
      <c r="B187">
        <v>47</v>
      </c>
      <c r="C187">
        <v>67</v>
      </c>
      <c r="D187">
        <v>1973</v>
      </c>
      <c r="E187">
        <v>1</v>
      </c>
      <c r="F187" t="str">
        <f t="shared" si="7"/>
        <v>36-50</v>
      </c>
      <c r="G187" t="s">
        <v>14</v>
      </c>
      <c r="H187" t="s">
        <v>1984</v>
      </c>
      <c r="I187">
        <v>40.659999999999997</v>
      </c>
      <c r="J187">
        <v>-74.19</v>
      </c>
      <c r="K187" t="s">
        <v>1985</v>
      </c>
      <c r="L187" s="4">
        <v>30942</v>
      </c>
      <c r="M187" s="4">
        <v>71066</v>
      </c>
      <c r="N187" s="11">
        <f t="shared" si="6"/>
        <v>2.2967487557365391</v>
      </c>
      <c r="O187">
        <v>779</v>
      </c>
      <c r="P187" t="str">
        <f t="shared" si="8"/>
        <v>Very Good</v>
      </c>
      <c r="Q187">
        <v>3</v>
      </c>
    </row>
    <row r="188" spans="1:17" x14ac:dyDescent="0.3">
      <c r="A188">
        <v>186</v>
      </c>
      <c r="B188">
        <v>61</v>
      </c>
      <c r="C188">
        <v>69</v>
      </c>
      <c r="D188">
        <v>1958</v>
      </c>
      <c r="E188">
        <v>11</v>
      </c>
      <c r="F188" t="str">
        <f t="shared" si="7"/>
        <v>51-60</v>
      </c>
      <c r="G188" t="s">
        <v>14</v>
      </c>
      <c r="H188" t="s">
        <v>271</v>
      </c>
      <c r="I188">
        <v>36.1</v>
      </c>
      <c r="J188">
        <v>-115.02</v>
      </c>
      <c r="K188" t="s">
        <v>272</v>
      </c>
      <c r="L188" s="4">
        <v>38536</v>
      </c>
      <c r="M188" s="4">
        <v>72299</v>
      </c>
      <c r="N188" s="11">
        <f t="shared" si="6"/>
        <v>1.8761417894955366</v>
      </c>
      <c r="O188">
        <v>705</v>
      </c>
      <c r="P188" t="str">
        <f t="shared" si="8"/>
        <v>Good</v>
      </c>
      <c r="Q188">
        <v>1</v>
      </c>
    </row>
    <row r="189" spans="1:17" x14ac:dyDescent="0.3">
      <c r="A189">
        <v>187</v>
      </c>
      <c r="B189">
        <v>35</v>
      </c>
      <c r="C189">
        <v>72</v>
      </c>
      <c r="D189">
        <v>1984</v>
      </c>
      <c r="E189">
        <v>9</v>
      </c>
      <c r="F189" t="str">
        <f t="shared" si="7"/>
        <v>26-35</v>
      </c>
      <c r="G189" t="s">
        <v>14</v>
      </c>
      <c r="H189" t="s">
        <v>712</v>
      </c>
      <c r="I189">
        <v>37.770000000000003</v>
      </c>
      <c r="J189">
        <v>-79.989999999999995</v>
      </c>
      <c r="K189" t="s">
        <v>713</v>
      </c>
      <c r="L189" s="4">
        <v>35760</v>
      </c>
      <c r="M189" s="4">
        <v>62768</v>
      </c>
      <c r="N189" s="11">
        <f t="shared" si="6"/>
        <v>1.7552572706935123</v>
      </c>
      <c r="O189">
        <v>830</v>
      </c>
      <c r="P189" t="str">
        <f t="shared" si="8"/>
        <v>Excellent</v>
      </c>
      <c r="Q189">
        <v>1</v>
      </c>
    </row>
    <row r="190" spans="1:17" x14ac:dyDescent="0.3">
      <c r="A190">
        <v>188</v>
      </c>
      <c r="B190">
        <v>24</v>
      </c>
      <c r="C190">
        <v>57</v>
      </c>
      <c r="D190">
        <v>1995</v>
      </c>
      <c r="E190">
        <v>6</v>
      </c>
      <c r="F190" t="str">
        <f t="shared" si="7"/>
        <v>18-25</v>
      </c>
      <c r="G190" t="s">
        <v>19</v>
      </c>
      <c r="H190" t="s">
        <v>1178</v>
      </c>
      <c r="I190">
        <v>38.85</v>
      </c>
      <c r="J190">
        <v>-77.290000000000006</v>
      </c>
      <c r="K190" t="s">
        <v>1179</v>
      </c>
      <c r="L190" s="4">
        <v>87436</v>
      </c>
      <c r="M190" s="4">
        <v>135294</v>
      </c>
      <c r="N190" s="11">
        <f t="shared" si="6"/>
        <v>1.5473489180657853</v>
      </c>
      <c r="O190">
        <v>845</v>
      </c>
      <c r="P190" t="str">
        <f t="shared" si="8"/>
        <v>Excellent</v>
      </c>
      <c r="Q190">
        <v>2</v>
      </c>
    </row>
    <row r="191" spans="1:17" x14ac:dyDescent="0.3">
      <c r="A191">
        <v>189</v>
      </c>
      <c r="B191">
        <v>42</v>
      </c>
      <c r="C191">
        <v>70</v>
      </c>
      <c r="D191">
        <v>1978</v>
      </c>
      <c r="E191">
        <v>2</v>
      </c>
      <c r="F191" t="str">
        <f t="shared" si="7"/>
        <v>36-50</v>
      </c>
      <c r="G191" t="s">
        <v>19</v>
      </c>
      <c r="H191" t="s">
        <v>504</v>
      </c>
      <c r="I191">
        <v>30.44</v>
      </c>
      <c r="J191">
        <v>-97.62</v>
      </c>
      <c r="K191" t="s">
        <v>505</v>
      </c>
      <c r="L191" s="4">
        <v>52165</v>
      </c>
      <c r="M191" s="4">
        <v>97248</v>
      </c>
      <c r="N191" s="11">
        <f t="shared" si="6"/>
        <v>1.8642384740726541</v>
      </c>
      <c r="O191">
        <v>730</v>
      </c>
      <c r="P191" t="str">
        <f t="shared" si="8"/>
        <v>Good</v>
      </c>
      <c r="Q191">
        <v>4</v>
      </c>
    </row>
    <row r="192" spans="1:17" x14ac:dyDescent="0.3">
      <c r="A192">
        <v>190</v>
      </c>
      <c r="B192">
        <v>40</v>
      </c>
      <c r="C192">
        <v>67</v>
      </c>
      <c r="D192">
        <v>1979</v>
      </c>
      <c r="E192">
        <v>4</v>
      </c>
      <c r="F192" t="str">
        <f t="shared" si="7"/>
        <v>36-50</v>
      </c>
      <c r="G192" t="s">
        <v>19</v>
      </c>
      <c r="H192" t="s">
        <v>984</v>
      </c>
      <c r="I192">
        <v>42.03</v>
      </c>
      <c r="J192">
        <v>-87.73</v>
      </c>
      <c r="K192" t="s">
        <v>985</v>
      </c>
      <c r="L192" s="4">
        <v>44452</v>
      </c>
      <c r="M192" s="4">
        <v>12409</v>
      </c>
      <c r="N192" s="11">
        <f t="shared" si="6"/>
        <v>0.27915504364258076</v>
      </c>
      <c r="O192">
        <v>711</v>
      </c>
      <c r="P192" t="str">
        <f t="shared" si="8"/>
        <v>Good</v>
      </c>
      <c r="Q192">
        <v>5</v>
      </c>
    </row>
    <row r="193" spans="1:17" x14ac:dyDescent="0.3">
      <c r="A193">
        <v>191</v>
      </c>
      <c r="B193">
        <v>28</v>
      </c>
      <c r="C193">
        <v>65</v>
      </c>
      <c r="D193">
        <v>1991</v>
      </c>
      <c r="E193">
        <v>10</v>
      </c>
      <c r="F193" t="str">
        <f t="shared" si="7"/>
        <v>26-35</v>
      </c>
      <c r="G193" t="s">
        <v>19</v>
      </c>
      <c r="H193" t="s">
        <v>260</v>
      </c>
      <c r="I193">
        <v>33.71</v>
      </c>
      <c r="J193">
        <v>-84.53</v>
      </c>
      <c r="K193" t="s">
        <v>261</v>
      </c>
      <c r="L193" s="4">
        <v>39860</v>
      </c>
      <c r="M193" s="4">
        <v>112825</v>
      </c>
      <c r="N193" s="11">
        <f t="shared" si="6"/>
        <v>2.8305318615153037</v>
      </c>
      <c r="O193">
        <v>728</v>
      </c>
      <c r="P193" t="str">
        <f t="shared" si="8"/>
        <v>Good</v>
      </c>
      <c r="Q193">
        <v>1</v>
      </c>
    </row>
    <row r="194" spans="1:17" x14ac:dyDescent="0.3">
      <c r="A194">
        <v>192</v>
      </c>
      <c r="B194">
        <v>27</v>
      </c>
      <c r="C194">
        <v>66</v>
      </c>
      <c r="D194">
        <v>1992</v>
      </c>
      <c r="E194">
        <v>6</v>
      </c>
      <c r="F194" t="str">
        <f t="shared" si="7"/>
        <v>26-35</v>
      </c>
      <c r="G194" t="s">
        <v>19</v>
      </c>
      <c r="H194" t="s">
        <v>25</v>
      </c>
      <c r="I194">
        <v>38.65</v>
      </c>
      <c r="J194">
        <v>-121.25</v>
      </c>
      <c r="K194" t="s">
        <v>26</v>
      </c>
      <c r="L194" s="4">
        <v>56164</v>
      </c>
      <c r="M194" s="4">
        <v>15224</v>
      </c>
      <c r="N194" s="11">
        <f t="shared" ref="N194:N257" si="9">(M194/L194)</f>
        <v>0.27106331457873373</v>
      </c>
      <c r="O194">
        <v>761</v>
      </c>
      <c r="P194" t="str">
        <f t="shared" si="8"/>
        <v>Very Good</v>
      </c>
      <c r="Q194">
        <v>2</v>
      </c>
    </row>
    <row r="195" spans="1:17" x14ac:dyDescent="0.3">
      <c r="A195">
        <v>193</v>
      </c>
      <c r="B195">
        <v>23</v>
      </c>
      <c r="C195">
        <v>65</v>
      </c>
      <c r="D195">
        <v>1996</v>
      </c>
      <c r="E195">
        <v>7</v>
      </c>
      <c r="F195" t="str">
        <f t="shared" ref="F195:F258" si="10">IF(B195&lt;26,"18-25",
   IF(B195&lt;36,"26-35",
   IF(B195&lt;51,"36-50",
   IF(B195&lt;66,"51-60","65+"))))</f>
        <v>18-25</v>
      </c>
      <c r="G195" t="s">
        <v>14</v>
      </c>
      <c r="H195" t="s">
        <v>499</v>
      </c>
      <c r="I195">
        <v>44.48</v>
      </c>
      <c r="J195">
        <v>-103.84</v>
      </c>
      <c r="K195" t="s">
        <v>500</v>
      </c>
      <c r="L195" s="4">
        <v>37891</v>
      </c>
      <c r="M195" s="4">
        <v>66163</v>
      </c>
      <c r="N195" s="11">
        <f t="shared" si="9"/>
        <v>1.7461402443852103</v>
      </c>
      <c r="O195">
        <v>749</v>
      </c>
      <c r="P195" t="str">
        <f t="shared" ref="P195:P258" si="11">IF(O195&lt;580,"Poor",
   IF(O195&lt;670,"Fair",
   IF(O195&lt;740,"Good",
   IF(O195&lt;800,"Very Good","Excellent"))))</f>
        <v>Very Good</v>
      </c>
      <c r="Q195">
        <v>1</v>
      </c>
    </row>
    <row r="196" spans="1:17" x14ac:dyDescent="0.3">
      <c r="A196">
        <v>194</v>
      </c>
      <c r="B196">
        <v>52</v>
      </c>
      <c r="C196">
        <v>68</v>
      </c>
      <c r="D196">
        <v>1968</v>
      </c>
      <c r="E196">
        <v>2</v>
      </c>
      <c r="F196" t="str">
        <f t="shared" si="10"/>
        <v>51-60</v>
      </c>
      <c r="G196" t="s">
        <v>19</v>
      </c>
      <c r="H196" t="s">
        <v>877</v>
      </c>
      <c r="I196">
        <v>40.340000000000003</v>
      </c>
      <c r="J196">
        <v>-85.35</v>
      </c>
      <c r="K196" t="s">
        <v>878</v>
      </c>
      <c r="L196" s="4">
        <v>30681</v>
      </c>
      <c r="M196" s="4">
        <v>81680</v>
      </c>
      <c r="N196" s="11">
        <f t="shared" si="9"/>
        <v>2.6622339558684529</v>
      </c>
      <c r="O196">
        <v>746</v>
      </c>
      <c r="P196" t="str">
        <f t="shared" si="11"/>
        <v>Very Good</v>
      </c>
      <c r="Q196">
        <v>4</v>
      </c>
    </row>
    <row r="197" spans="1:17" x14ac:dyDescent="0.3">
      <c r="A197">
        <v>195</v>
      </c>
      <c r="B197">
        <v>18</v>
      </c>
      <c r="C197">
        <v>70</v>
      </c>
      <c r="D197">
        <v>2002</v>
      </c>
      <c r="E197">
        <v>2</v>
      </c>
      <c r="F197" t="str">
        <f t="shared" si="10"/>
        <v>18-25</v>
      </c>
      <c r="G197" t="s">
        <v>14</v>
      </c>
      <c r="H197" t="s">
        <v>414</v>
      </c>
      <c r="I197">
        <v>28.75</v>
      </c>
      <c r="J197">
        <v>-81.33</v>
      </c>
      <c r="K197" t="s">
        <v>415</v>
      </c>
      <c r="L197" s="4">
        <v>64936</v>
      </c>
      <c r="M197" s="4">
        <v>107755</v>
      </c>
      <c r="N197" s="11">
        <f t="shared" si="9"/>
        <v>1.6594031045952937</v>
      </c>
      <c r="O197">
        <v>688</v>
      </c>
      <c r="P197" t="str">
        <f t="shared" si="11"/>
        <v>Good</v>
      </c>
      <c r="Q197">
        <v>2</v>
      </c>
    </row>
    <row r="198" spans="1:17" x14ac:dyDescent="0.3">
      <c r="A198">
        <v>196</v>
      </c>
      <c r="B198">
        <v>44</v>
      </c>
      <c r="C198">
        <v>64</v>
      </c>
      <c r="D198">
        <v>1975</v>
      </c>
      <c r="E198">
        <v>5</v>
      </c>
      <c r="F198" t="str">
        <f t="shared" si="10"/>
        <v>36-50</v>
      </c>
      <c r="G198" t="s">
        <v>14</v>
      </c>
      <c r="H198" t="s">
        <v>1114</v>
      </c>
      <c r="I198">
        <v>33.29</v>
      </c>
      <c r="J198">
        <v>-83.96</v>
      </c>
      <c r="K198" t="s">
        <v>1115</v>
      </c>
      <c r="L198" s="4">
        <v>35775</v>
      </c>
      <c r="M198" s="4">
        <v>67263</v>
      </c>
      <c r="N198" s="11">
        <f t="shared" si="9"/>
        <v>1.880167714884696</v>
      </c>
      <c r="O198">
        <v>773</v>
      </c>
      <c r="P198" t="str">
        <f t="shared" si="11"/>
        <v>Very Good</v>
      </c>
      <c r="Q198">
        <v>1</v>
      </c>
    </row>
    <row r="199" spans="1:17" x14ac:dyDescent="0.3">
      <c r="A199">
        <v>197</v>
      </c>
      <c r="B199">
        <v>32</v>
      </c>
      <c r="C199">
        <v>60</v>
      </c>
      <c r="D199">
        <v>1987</v>
      </c>
      <c r="E199">
        <v>5</v>
      </c>
      <c r="F199" t="str">
        <f t="shared" si="10"/>
        <v>26-35</v>
      </c>
      <c r="G199" t="s">
        <v>19</v>
      </c>
      <c r="H199" t="s">
        <v>1374</v>
      </c>
      <c r="I199">
        <v>37.86</v>
      </c>
      <c r="J199">
        <v>-84.65</v>
      </c>
      <c r="K199" t="s">
        <v>1375</v>
      </c>
      <c r="L199" s="4">
        <v>32128</v>
      </c>
      <c r="M199" s="4">
        <v>58373</v>
      </c>
      <c r="N199" s="11">
        <f t="shared" si="9"/>
        <v>1.8168886952191234</v>
      </c>
      <c r="O199">
        <v>724</v>
      </c>
      <c r="P199" t="str">
        <f t="shared" si="11"/>
        <v>Good</v>
      </c>
      <c r="Q199">
        <v>5</v>
      </c>
    </row>
    <row r="200" spans="1:17" x14ac:dyDescent="0.3">
      <c r="A200">
        <v>198</v>
      </c>
      <c r="B200">
        <v>49</v>
      </c>
      <c r="C200">
        <v>73</v>
      </c>
      <c r="D200">
        <v>1970</v>
      </c>
      <c r="E200">
        <v>3</v>
      </c>
      <c r="F200" t="str">
        <f t="shared" si="10"/>
        <v>36-50</v>
      </c>
      <c r="G200" t="s">
        <v>14</v>
      </c>
      <c r="H200" t="s">
        <v>974</v>
      </c>
      <c r="I200">
        <v>27.95</v>
      </c>
      <c r="J200">
        <v>-82.48</v>
      </c>
      <c r="K200" t="s">
        <v>815</v>
      </c>
      <c r="L200" s="4">
        <v>31497</v>
      </c>
      <c r="M200" s="4">
        <v>30805</v>
      </c>
      <c r="N200" s="11">
        <f t="shared" si="9"/>
        <v>0.97802965361780492</v>
      </c>
      <c r="O200">
        <v>702</v>
      </c>
      <c r="P200" t="str">
        <f t="shared" si="11"/>
        <v>Good</v>
      </c>
      <c r="Q200">
        <v>3</v>
      </c>
    </row>
    <row r="201" spans="1:17" x14ac:dyDescent="0.3">
      <c r="A201">
        <v>199</v>
      </c>
      <c r="B201">
        <v>67</v>
      </c>
      <c r="C201">
        <v>67</v>
      </c>
      <c r="D201">
        <v>1952</v>
      </c>
      <c r="E201">
        <v>4</v>
      </c>
      <c r="F201" t="str">
        <f t="shared" si="10"/>
        <v>65+</v>
      </c>
      <c r="G201" t="s">
        <v>14</v>
      </c>
      <c r="H201" t="s">
        <v>1013</v>
      </c>
      <c r="I201">
        <v>33.1</v>
      </c>
      <c r="J201">
        <v>-96.66</v>
      </c>
      <c r="K201" t="s">
        <v>620</v>
      </c>
      <c r="L201" s="4">
        <v>78329</v>
      </c>
      <c r="M201" s="4">
        <v>40161</v>
      </c>
      <c r="N201" s="11">
        <f t="shared" si="9"/>
        <v>0.51272198036487127</v>
      </c>
      <c r="O201">
        <v>720</v>
      </c>
      <c r="P201" t="str">
        <f t="shared" si="11"/>
        <v>Good</v>
      </c>
      <c r="Q201">
        <v>3</v>
      </c>
    </row>
    <row r="202" spans="1:17" x14ac:dyDescent="0.3">
      <c r="A202">
        <v>200</v>
      </c>
      <c r="B202">
        <v>57</v>
      </c>
      <c r="C202">
        <v>65</v>
      </c>
      <c r="D202">
        <v>1962</v>
      </c>
      <c r="E202">
        <v>11</v>
      </c>
      <c r="F202" t="str">
        <f t="shared" si="10"/>
        <v>51-60</v>
      </c>
      <c r="G202" t="s">
        <v>14</v>
      </c>
      <c r="H202" t="s">
        <v>753</v>
      </c>
      <c r="I202">
        <v>38.21</v>
      </c>
      <c r="J202">
        <v>-82.56</v>
      </c>
      <c r="K202" t="s">
        <v>754</v>
      </c>
      <c r="L202" s="4">
        <v>36528</v>
      </c>
      <c r="M202" s="4">
        <v>109785</v>
      </c>
      <c r="N202" s="11">
        <f t="shared" si="9"/>
        <v>3.0055026281208934</v>
      </c>
      <c r="O202">
        <v>701</v>
      </c>
      <c r="P202" t="str">
        <f t="shared" si="11"/>
        <v>Good</v>
      </c>
      <c r="Q202">
        <v>3</v>
      </c>
    </row>
    <row r="203" spans="1:17" x14ac:dyDescent="0.3">
      <c r="A203">
        <v>201</v>
      </c>
      <c r="B203">
        <v>61</v>
      </c>
      <c r="C203">
        <v>65</v>
      </c>
      <c r="D203">
        <v>1958</v>
      </c>
      <c r="E203">
        <v>5</v>
      </c>
      <c r="F203" t="str">
        <f t="shared" si="10"/>
        <v>51-60</v>
      </c>
      <c r="G203" t="s">
        <v>19</v>
      </c>
      <c r="H203" t="s">
        <v>772</v>
      </c>
      <c r="I203">
        <v>41.52</v>
      </c>
      <c r="J203">
        <v>-88.12</v>
      </c>
      <c r="K203" t="s">
        <v>773</v>
      </c>
      <c r="L203" s="4">
        <v>35823</v>
      </c>
      <c r="M203" s="4">
        <v>96691</v>
      </c>
      <c r="N203" s="11">
        <f t="shared" si="9"/>
        <v>2.6991318426709099</v>
      </c>
      <c r="O203">
        <v>732</v>
      </c>
      <c r="P203" t="str">
        <f t="shared" si="11"/>
        <v>Good</v>
      </c>
      <c r="Q203">
        <v>3</v>
      </c>
    </row>
    <row r="204" spans="1:17" x14ac:dyDescent="0.3">
      <c r="A204">
        <v>202</v>
      </c>
      <c r="B204">
        <v>20</v>
      </c>
      <c r="C204">
        <v>66</v>
      </c>
      <c r="D204">
        <v>1999</v>
      </c>
      <c r="E204">
        <v>7</v>
      </c>
      <c r="F204" t="str">
        <f t="shared" si="10"/>
        <v>18-25</v>
      </c>
      <c r="G204" t="s">
        <v>14</v>
      </c>
      <c r="H204" t="s">
        <v>1751</v>
      </c>
      <c r="I204">
        <v>39.33</v>
      </c>
      <c r="J204">
        <v>-84.4</v>
      </c>
      <c r="K204" t="s">
        <v>1752</v>
      </c>
      <c r="L204" s="4">
        <v>65082</v>
      </c>
      <c r="M204" s="4">
        <v>88347</v>
      </c>
      <c r="N204" s="11">
        <f t="shared" si="9"/>
        <v>1.3574721121047295</v>
      </c>
      <c r="O204">
        <v>850</v>
      </c>
      <c r="P204" t="str">
        <f t="shared" si="11"/>
        <v>Excellent</v>
      </c>
      <c r="Q204">
        <v>1</v>
      </c>
    </row>
    <row r="205" spans="1:17" x14ac:dyDescent="0.3">
      <c r="A205">
        <v>203</v>
      </c>
      <c r="B205">
        <v>58</v>
      </c>
      <c r="C205">
        <v>67</v>
      </c>
      <c r="D205">
        <v>1961</v>
      </c>
      <c r="E205">
        <v>3</v>
      </c>
      <c r="F205" t="str">
        <f t="shared" si="10"/>
        <v>51-60</v>
      </c>
      <c r="G205" t="s">
        <v>14</v>
      </c>
      <c r="H205" t="s">
        <v>100</v>
      </c>
      <c r="I205">
        <v>32.9</v>
      </c>
      <c r="J205">
        <v>-80.930000000000007</v>
      </c>
      <c r="K205" t="s">
        <v>101</v>
      </c>
      <c r="L205" s="4">
        <v>30305</v>
      </c>
      <c r="M205" s="4">
        <v>23392</v>
      </c>
      <c r="N205" s="11">
        <f t="shared" si="9"/>
        <v>0.77188582742121759</v>
      </c>
      <c r="O205">
        <v>776</v>
      </c>
      <c r="P205" t="str">
        <f t="shared" si="11"/>
        <v>Very Good</v>
      </c>
      <c r="Q205">
        <v>3</v>
      </c>
    </row>
    <row r="206" spans="1:17" x14ac:dyDescent="0.3">
      <c r="A206">
        <v>204</v>
      </c>
      <c r="B206">
        <v>31</v>
      </c>
      <c r="C206">
        <v>67</v>
      </c>
      <c r="D206">
        <v>1988</v>
      </c>
      <c r="E206">
        <v>9</v>
      </c>
      <c r="F206" t="str">
        <f t="shared" si="10"/>
        <v>26-35</v>
      </c>
      <c r="G206" t="s">
        <v>14</v>
      </c>
      <c r="H206" t="s">
        <v>1156</v>
      </c>
      <c r="I206">
        <v>30.64</v>
      </c>
      <c r="J206">
        <v>-97.68</v>
      </c>
      <c r="K206" t="s">
        <v>1157</v>
      </c>
      <c r="L206" s="4">
        <v>42754</v>
      </c>
      <c r="M206" s="4">
        <v>60172</v>
      </c>
      <c r="N206" s="11">
        <f t="shared" si="9"/>
        <v>1.407400477148337</v>
      </c>
      <c r="O206">
        <v>656</v>
      </c>
      <c r="P206" t="str">
        <f t="shared" si="11"/>
        <v>Fair</v>
      </c>
      <c r="Q206">
        <v>1</v>
      </c>
    </row>
    <row r="207" spans="1:17" x14ac:dyDescent="0.3">
      <c r="A207">
        <v>205</v>
      </c>
      <c r="B207">
        <v>38</v>
      </c>
      <c r="C207">
        <v>68</v>
      </c>
      <c r="D207">
        <v>1982</v>
      </c>
      <c r="E207">
        <v>1</v>
      </c>
      <c r="F207" t="str">
        <f t="shared" si="10"/>
        <v>36-50</v>
      </c>
      <c r="G207" t="s">
        <v>19</v>
      </c>
      <c r="H207" t="s">
        <v>1658</v>
      </c>
      <c r="I207">
        <v>47.65</v>
      </c>
      <c r="J207">
        <v>-111.38</v>
      </c>
      <c r="K207" t="s">
        <v>1659</v>
      </c>
      <c r="L207" s="4">
        <v>39882</v>
      </c>
      <c r="M207" s="4">
        <v>77817</v>
      </c>
      <c r="N207" s="11">
        <f t="shared" si="9"/>
        <v>1.9511809839025125</v>
      </c>
      <c r="O207">
        <v>809</v>
      </c>
      <c r="P207" t="str">
        <f t="shared" si="11"/>
        <v>Excellent</v>
      </c>
      <c r="Q207">
        <v>4</v>
      </c>
    </row>
    <row r="208" spans="1:17" x14ac:dyDescent="0.3">
      <c r="A208">
        <v>206</v>
      </c>
      <c r="B208">
        <v>28</v>
      </c>
      <c r="C208">
        <v>59</v>
      </c>
      <c r="D208">
        <v>1992</v>
      </c>
      <c r="E208">
        <v>2</v>
      </c>
      <c r="F208" t="str">
        <f t="shared" si="10"/>
        <v>26-35</v>
      </c>
      <c r="G208" t="s">
        <v>14</v>
      </c>
      <c r="H208" t="s">
        <v>849</v>
      </c>
      <c r="I208">
        <v>42.89</v>
      </c>
      <c r="J208">
        <v>-85.72</v>
      </c>
      <c r="K208" t="s">
        <v>850</v>
      </c>
      <c r="L208" s="4">
        <v>37583</v>
      </c>
      <c r="M208" s="4">
        <v>51633</v>
      </c>
      <c r="N208" s="11">
        <f t="shared" si="9"/>
        <v>1.373839235824708</v>
      </c>
      <c r="O208">
        <v>782</v>
      </c>
      <c r="P208" t="str">
        <f t="shared" si="11"/>
        <v>Very Good</v>
      </c>
      <c r="Q208">
        <v>2</v>
      </c>
    </row>
    <row r="209" spans="1:17" x14ac:dyDescent="0.3">
      <c r="A209">
        <v>207</v>
      </c>
      <c r="B209">
        <v>73</v>
      </c>
      <c r="C209">
        <v>65</v>
      </c>
      <c r="D209">
        <v>1946</v>
      </c>
      <c r="E209">
        <v>10</v>
      </c>
      <c r="F209" t="str">
        <f t="shared" si="10"/>
        <v>65+</v>
      </c>
      <c r="G209" t="s">
        <v>14</v>
      </c>
      <c r="H209" t="s">
        <v>740</v>
      </c>
      <c r="I209">
        <v>36.58</v>
      </c>
      <c r="J209">
        <v>-79.400000000000006</v>
      </c>
      <c r="K209" t="s">
        <v>741</v>
      </c>
      <c r="L209" s="4">
        <v>28553</v>
      </c>
      <c r="M209" s="4">
        <v>19507</v>
      </c>
      <c r="N209" s="11">
        <f t="shared" si="9"/>
        <v>0.68318565474731197</v>
      </c>
      <c r="O209">
        <v>745</v>
      </c>
      <c r="P209" t="str">
        <f t="shared" si="11"/>
        <v>Very Good</v>
      </c>
      <c r="Q209">
        <v>5</v>
      </c>
    </row>
    <row r="210" spans="1:17" x14ac:dyDescent="0.3">
      <c r="A210">
        <v>208</v>
      </c>
      <c r="B210">
        <v>37</v>
      </c>
      <c r="C210">
        <v>66</v>
      </c>
      <c r="D210">
        <v>1982</v>
      </c>
      <c r="E210">
        <v>7</v>
      </c>
      <c r="F210" t="str">
        <f t="shared" si="10"/>
        <v>36-50</v>
      </c>
      <c r="G210" t="s">
        <v>14</v>
      </c>
      <c r="H210" t="s">
        <v>1921</v>
      </c>
      <c r="I210">
        <v>47.79</v>
      </c>
      <c r="J210">
        <v>-122.2</v>
      </c>
      <c r="K210" t="s">
        <v>1247</v>
      </c>
      <c r="L210" s="4">
        <v>67747</v>
      </c>
      <c r="M210" s="4">
        <v>76650</v>
      </c>
      <c r="N210" s="11">
        <f t="shared" si="9"/>
        <v>1.13141541322863</v>
      </c>
      <c r="O210">
        <v>804</v>
      </c>
      <c r="P210" t="str">
        <f t="shared" si="11"/>
        <v>Excellent</v>
      </c>
      <c r="Q210">
        <v>3</v>
      </c>
    </row>
    <row r="211" spans="1:17" x14ac:dyDescent="0.3">
      <c r="A211">
        <v>209</v>
      </c>
      <c r="B211">
        <v>61</v>
      </c>
      <c r="C211">
        <v>67</v>
      </c>
      <c r="D211">
        <v>1959</v>
      </c>
      <c r="E211">
        <v>1</v>
      </c>
      <c r="F211" t="str">
        <f t="shared" si="10"/>
        <v>51-60</v>
      </c>
      <c r="G211" t="s">
        <v>14</v>
      </c>
      <c r="H211" t="s">
        <v>1618</v>
      </c>
      <c r="I211">
        <v>31.65</v>
      </c>
      <c r="J211">
        <v>-106.15</v>
      </c>
      <c r="K211" t="s">
        <v>1619</v>
      </c>
      <c r="L211" s="4">
        <v>29206</v>
      </c>
      <c r="M211" s="4">
        <v>25966</v>
      </c>
      <c r="N211" s="11">
        <f t="shared" si="9"/>
        <v>0.88906389098130523</v>
      </c>
      <c r="O211">
        <v>716</v>
      </c>
      <c r="P211" t="str">
        <f t="shared" si="11"/>
        <v>Good</v>
      </c>
      <c r="Q211">
        <v>6</v>
      </c>
    </row>
    <row r="212" spans="1:17" x14ac:dyDescent="0.3">
      <c r="A212">
        <v>210</v>
      </c>
      <c r="B212">
        <v>46</v>
      </c>
      <c r="C212">
        <v>63</v>
      </c>
      <c r="D212">
        <v>1973</v>
      </c>
      <c r="E212">
        <v>8</v>
      </c>
      <c r="F212" t="str">
        <f t="shared" si="10"/>
        <v>36-50</v>
      </c>
      <c r="G212" t="s">
        <v>19</v>
      </c>
      <c r="H212" t="s">
        <v>848</v>
      </c>
      <c r="I212">
        <v>29.45</v>
      </c>
      <c r="J212">
        <v>-98.5</v>
      </c>
      <c r="K212" t="s">
        <v>66</v>
      </c>
      <c r="L212" s="4">
        <v>25850</v>
      </c>
      <c r="M212" s="4">
        <v>56285</v>
      </c>
      <c r="N212" s="11">
        <f t="shared" si="9"/>
        <v>2.1773694390715668</v>
      </c>
      <c r="O212">
        <v>630</v>
      </c>
      <c r="P212" t="str">
        <f t="shared" si="11"/>
        <v>Fair</v>
      </c>
      <c r="Q212">
        <v>1</v>
      </c>
    </row>
    <row r="213" spans="1:17" x14ac:dyDescent="0.3">
      <c r="A213">
        <v>211</v>
      </c>
      <c r="B213">
        <v>43</v>
      </c>
      <c r="C213">
        <v>71</v>
      </c>
      <c r="D213">
        <v>1976</v>
      </c>
      <c r="E213">
        <v>5</v>
      </c>
      <c r="F213" t="str">
        <f t="shared" si="10"/>
        <v>36-50</v>
      </c>
      <c r="G213" t="s">
        <v>19</v>
      </c>
      <c r="H213" t="s">
        <v>1428</v>
      </c>
      <c r="I213">
        <v>34.61</v>
      </c>
      <c r="J213">
        <v>-114.3</v>
      </c>
      <c r="K213" t="s">
        <v>1429</v>
      </c>
      <c r="L213" s="4">
        <v>28983</v>
      </c>
      <c r="M213" s="4">
        <v>36482</v>
      </c>
      <c r="N213" s="11">
        <f t="shared" si="9"/>
        <v>1.2587378808266916</v>
      </c>
      <c r="O213">
        <v>755</v>
      </c>
      <c r="P213" t="str">
        <f t="shared" si="11"/>
        <v>Very Good</v>
      </c>
      <c r="Q213">
        <v>3</v>
      </c>
    </row>
    <row r="214" spans="1:17" x14ac:dyDescent="0.3">
      <c r="A214">
        <v>212</v>
      </c>
      <c r="B214">
        <v>52</v>
      </c>
      <c r="C214">
        <v>67</v>
      </c>
      <c r="D214">
        <v>1968</v>
      </c>
      <c r="E214">
        <v>2</v>
      </c>
      <c r="F214" t="str">
        <f t="shared" si="10"/>
        <v>51-60</v>
      </c>
      <c r="G214" t="s">
        <v>19</v>
      </c>
      <c r="H214" t="s">
        <v>1603</v>
      </c>
      <c r="I214">
        <v>32.79</v>
      </c>
      <c r="J214">
        <v>-96.76</v>
      </c>
      <c r="K214" t="s">
        <v>1587</v>
      </c>
      <c r="L214" s="4">
        <v>28137</v>
      </c>
      <c r="M214" s="4">
        <v>88482</v>
      </c>
      <c r="N214" s="11">
        <f t="shared" si="9"/>
        <v>3.1446849344279775</v>
      </c>
      <c r="O214">
        <v>797</v>
      </c>
      <c r="P214" t="str">
        <f t="shared" si="11"/>
        <v>Very Good</v>
      </c>
      <c r="Q214">
        <v>6</v>
      </c>
    </row>
    <row r="215" spans="1:17" x14ac:dyDescent="0.3">
      <c r="A215">
        <v>213</v>
      </c>
      <c r="B215">
        <v>37</v>
      </c>
      <c r="C215">
        <v>68</v>
      </c>
      <c r="D215">
        <v>1982</v>
      </c>
      <c r="E215">
        <v>5</v>
      </c>
      <c r="F215" t="str">
        <f t="shared" si="10"/>
        <v>36-50</v>
      </c>
      <c r="G215" t="s">
        <v>14</v>
      </c>
      <c r="H215" t="s">
        <v>1138</v>
      </c>
      <c r="I215">
        <v>32.909999999999997</v>
      </c>
      <c r="J215">
        <v>-96.62</v>
      </c>
      <c r="K215" t="s">
        <v>1139</v>
      </c>
      <c r="L215" s="4">
        <v>55172</v>
      </c>
      <c r="M215" s="4">
        <v>96779</v>
      </c>
      <c r="N215" s="11">
        <f t="shared" si="9"/>
        <v>1.7541325309939824</v>
      </c>
      <c r="O215">
        <v>629</v>
      </c>
      <c r="P215" t="str">
        <f t="shared" si="11"/>
        <v>Fair</v>
      </c>
      <c r="Q215">
        <v>3</v>
      </c>
    </row>
    <row r="216" spans="1:17" x14ac:dyDescent="0.3">
      <c r="A216">
        <v>214</v>
      </c>
      <c r="B216">
        <v>30</v>
      </c>
      <c r="C216">
        <v>62</v>
      </c>
      <c r="D216">
        <v>1989</v>
      </c>
      <c r="E216">
        <v>8</v>
      </c>
      <c r="F216" t="str">
        <f t="shared" si="10"/>
        <v>26-35</v>
      </c>
      <c r="G216" t="s">
        <v>19</v>
      </c>
      <c r="H216" t="s">
        <v>537</v>
      </c>
      <c r="I216">
        <v>41.83</v>
      </c>
      <c r="J216">
        <v>-87.68</v>
      </c>
      <c r="K216" t="s">
        <v>538</v>
      </c>
      <c r="L216" s="4">
        <v>47803</v>
      </c>
      <c r="M216" s="4">
        <v>81929</v>
      </c>
      <c r="N216" s="11">
        <f t="shared" si="9"/>
        <v>1.713888249691442</v>
      </c>
      <c r="O216">
        <v>652</v>
      </c>
      <c r="P216" t="str">
        <f t="shared" si="11"/>
        <v>Fair</v>
      </c>
      <c r="Q216">
        <v>1</v>
      </c>
    </row>
    <row r="217" spans="1:17" x14ac:dyDescent="0.3">
      <c r="A217">
        <v>215</v>
      </c>
      <c r="B217">
        <v>18</v>
      </c>
      <c r="C217">
        <v>65</v>
      </c>
      <c r="D217">
        <v>2002</v>
      </c>
      <c r="E217">
        <v>2</v>
      </c>
      <c r="F217" t="str">
        <f t="shared" si="10"/>
        <v>18-25</v>
      </c>
      <c r="G217" t="s">
        <v>19</v>
      </c>
      <c r="H217" t="s">
        <v>1726</v>
      </c>
      <c r="I217">
        <v>35.57</v>
      </c>
      <c r="J217">
        <v>-82.54</v>
      </c>
      <c r="K217" t="s">
        <v>802</v>
      </c>
      <c r="L217" s="4">
        <v>45313</v>
      </c>
      <c r="M217" s="4">
        <v>21488</v>
      </c>
      <c r="N217" s="11">
        <f t="shared" si="9"/>
        <v>0.47421269834263896</v>
      </c>
      <c r="O217">
        <v>716</v>
      </c>
      <c r="P217" t="str">
        <f t="shared" si="11"/>
        <v>Good</v>
      </c>
      <c r="Q217">
        <v>2</v>
      </c>
    </row>
    <row r="218" spans="1:17" x14ac:dyDescent="0.3">
      <c r="A218">
        <v>216</v>
      </c>
      <c r="B218">
        <v>60</v>
      </c>
      <c r="C218">
        <v>66</v>
      </c>
      <c r="D218">
        <v>1959</v>
      </c>
      <c r="E218">
        <v>5</v>
      </c>
      <c r="F218" t="str">
        <f t="shared" si="10"/>
        <v>51-60</v>
      </c>
      <c r="G218" t="s">
        <v>14</v>
      </c>
      <c r="H218" t="s">
        <v>1384</v>
      </c>
      <c r="I218">
        <v>39.92</v>
      </c>
      <c r="J218">
        <v>-85.36</v>
      </c>
      <c r="K218" t="s">
        <v>1385</v>
      </c>
      <c r="L218" s="4">
        <v>33178</v>
      </c>
      <c r="M218" s="4">
        <v>85620</v>
      </c>
      <c r="N218" s="11">
        <f t="shared" si="9"/>
        <v>2.5806257158357946</v>
      </c>
      <c r="O218">
        <v>687</v>
      </c>
      <c r="P218" t="str">
        <f t="shared" si="11"/>
        <v>Good</v>
      </c>
      <c r="Q218">
        <v>3</v>
      </c>
    </row>
    <row r="219" spans="1:17" x14ac:dyDescent="0.3">
      <c r="A219">
        <v>217</v>
      </c>
      <c r="B219">
        <v>42</v>
      </c>
      <c r="C219">
        <v>65</v>
      </c>
      <c r="D219">
        <v>1977</v>
      </c>
      <c r="E219">
        <v>10</v>
      </c>
      <c r="F219" t="str">
        <f t="shared" si="10"/>
        <v>36-50</v>
      </c>
      <c r="G219" t="s">
        <v>19</v>
      </c>
      <c r="H219" t="s">
        <v>94</v>
      </c>
      <c r="I219">
        <v>41.77</v>
      </c>
      <c r="J219">
        <v>-87.82</v>
      </c>
      <c r="K219" t="s">
        <v>95</v>
      </c>
      <c r="L219" s="4">
        <v>31031</v>
      </c>
      <c r="M219" s="4">
        <v>21853</v>
      </c>
      <c r="N219" s="11">
        <f t="shared" si="9"/>
        <v>0.7042312526183494</v>
      </c>
      <c r="O219">
        <v>744</v>
      </c>
      <c r="P219" t="str">
        <f t="shared" si="11"/>
        <v>Very Good</v>
      </c>
      <c r="Q219">
        <v>7</v>
      </c>
    </row>
    <row r="220" spans="1:17" x14ac:dyDescent="0.3">
      <c r="A220">
        <v>218</v>
      </c>
      <c r="B220">
        <v>59</v>
      </c>
      <c r="C220">
        <v>68</v>
      </c>
      <c r="D220">
        <v>1960</v>
      </c>
      <c r="E220">
        <v>3</v>
      </c>
      <c r="F220" t="str">
        <f t="shared" si="10"/>
        <v>51-60</v>
      </c>
      <c r="G220" t="s">
        <v>14</v>
      </c>
      <c r="H220" t="s">
        <v>1772</v>
      </c>
      <c r="I220">
        <v>40.76</v>
      </c>
      <c r="J220">
        <v>-74.03</v>
      </c>
      <c r="K220" t="s">
        <v>1086</v>
      </c>
      <c r="L220" s="4">
        <v>34190</v>
      </c>
      <c r="M220" s="4">
        <v>39242</v>
      </c>
      <c r="N220" s="11">
        <f t="shared" si="9"/>
        <v>1.1477625036560397</v>
      </c>
      <c r="O220">
        <v>810</v>
      </c>
      <c r="P220" t="str">
        <f t="shared" si="11"/>
        <v>Excellent</v>
      </c>
      <c r="Q220">
        <v>7</v>
      </c>
    </row>
    <row r="221" spans="1:17" x14ac:dyDescent="0.3">
      <c r="A221">
        <v>219</v>
      </c>
      <c r="B221">
        <v>47</v>
      </c>
      <c r="C221">
        <v>66</v>
      </c>
      <c r="D221">
        <v>1973</v>
      </c>
      <c r="E221">
        <v>2</v>
      </c>
      <c r="F221" t="str">
        <f t="shared" si="10"/>
        <v>36-50</v>
      </c>
      <c r="G221" t="s">
        <v>19</v>
      </c>
      <c r="H221" t="s">
        <v>1376</v>
      </c>
      <c r="I221">
        <v>44.01</v>
      </c>
      <c r="J221">
        <v>-84.8</v>
      </c>
      <c r="K221" t="s">
        <v>1377</v>
      </c>
      <c r="L221" s="4">
        <v>22505</v>
      </c>
      <c r="M221" s="4">
        <v>27928</v>
      </c>
      <c r="N221" s="11">
        <f t="shared" si="9"/>
        <v>1.2409686736280827</v>
      </c>
      <c r="O221">
        <v>798</v>
      </c>
      <c r="P221" t="str">
        <f t="shared" si="11"/>
        <v>Very Good</v>
      </c>
      <c r="Q221">
        <v>3</v>
      </c>
    </row>
    <row r="222" spans="1:17" x14ac:dyDescent="0.3">
      <c r="A222">
        <v>220</v>
      </c>
      <c r="B222">
        <v>33</v>
      </c>
      <c r="C222">
        <v>67</v>
      </c>
      <c r="D222">
        <v>1986</v>
      </c>
      <c r="E222">
        <v>11</v>
      </c>
      <c r="F222" t="str">
        <f t="shared" si="10"/>
        <v>26-35</v>
      </c>
      <c r="G222" t="s">
        <v>14</v>
      </c>
      <c r="H222" t="s">
        <v>1180</v>
      </c>
      <c r="I222">
        <v>38.1</v>
      </c>
      <c r="J222">
        <v>-122.63</v>
      </c>
      <c r="K222" t="s">
        <v>141</v>
      </c>
      <c r="L222" s="4">
        <v>61846</v>
      </c>
      <c r="M222" s="4">
        <v>12525</v>
      </c>
      <c r="N222" s="11">
        <f t="shared" si="9"/>
        <v>0.20251916049542412</v>
      </c>
      <c r="O222">
        <v>722</v>
      </c>
      <c r="P222" t="str">
        <f t="shared" si="11"/>
        <v>Good</v>
      </c>
      <c r="Q222">
        <v>4</v>
      </c>
    </row>
    <row r="223" spans="1:17" x14ac:dyDescent="0.3">
      <c r="A223">
        <v>221</v>
      </c>
      <c r="B223">
        <v>63</v>
      </c>
      <c r="C223">
        <v>65</v>
      </c>
      <c r="D223">
        <v>1956</v>
      </c>
      <c r="E223">
        <v>12</v>
      </c>
      <c r="F223" t="str">
        <f t="shared" si="10"/>
        <v>51-60</v>
      </c>
      <c r="G223" t="s">
        <v>14</v>
      </c>
      <c r="H223" t="s">
        <v>838</v>
      </c>
      <c r="I223">
        <v>37.700000000000003</v>
      </c>
      <c r="J223">
        <v>-122.12</v>
      </c>
      <c r="K223" t="s">
        <v>839</v>
      </c>
      <c r="L223" s="4">
        <v>44183</v>
      </c>
      <c r="M223" s="4">
        <v>89852</v>
      </c>
      <c r="N223" s="11">
        <f t="shared" si="9"/>
        <v>2.0336328452119594</v>
      </c>
      <c r="O223">
        <v>850</v>
      </c>
      <c r="P223" t="str">
        <f t="shared" si="11"/>
        <v>Excellent</v>
      </c>
      <c r="Q223">
        <v>4</v>
      </c>
    </row>
    <row r="224" spans="1:17" x14ac:dyDescent="0.3">
      <c r="A224">
        <v>222</v>
      </c>
      <c r="B224">
        <v>48</v>
      </c>
      <c r="C224">
        <v>70</v>
      </c>
      <c r="D224">
        <v>1971</v>
      </c>
      <c r="E224">
        <v>7</v>
      </c>
      <c r="F224" t="str">
        <f t="shared" si="10"/>
        <v>36-50</v>
      </c>
      <c r="G224" t="s">
        <v>14</v>
      </c>
      <c r="H224" t="s">
        <v>911</v>
      </c>
      <c r="I224">
        <v>33.76</v>
      </c>
      <c r="J224">
        <v>-84.33</v>
      </c>
      <c r="K224" t="s">
        <v>912</v>
      </c>
      <c r="L224" s="4">
        <v>93417</v>
      </c>
      <c r="M224" s="4">
        <v>115916</v>
      </c>
      <c r="N224" s="11">
        <f t="shared" si="9"/>
        <v>1.240844814113063</v>
      </c>
      <c r="O224">
        <v>714</v>
      </c>
      <c r="P224" t="str">
        <f t="shared" si="11"/>
        <v>Good</v>
      </c>
      <c r="Q224">
        <v>3</v>
      </c>
    </row>
    <row r="225" spans="1:17" x14ac:dyDescent="0.3">
      <c r="A225">
        <v>223</v>
      </c>
      <c r="B225">
        <v>37</v>
      </c>
      <c r="C225">
        <v>67</v>
      </c>
      <c r="D225">
        <v>1982</v>
      </c>
      <c r="E225">
        <v>10</v>
      </c>
      <c r="F225" t="str">
        <f t="shared" si="10"/>
        <v>36-50</v>
      </c>
      <c r="G225" t="s">
        <v>14</v>
      </c>
      <c r="H225" t="s">
        <v>299</v>
      </c>
      <c r="I225">
        <v>38.78</v>
      </c>
      <c r="J225">
        <v>-121.37</v>
      </c>
      <c r="K225" t="s">
        <v>300</v>
      </c>
      <c r="L225" s="4">
        <v>58637</v>
      </c>
      <c r="M225" s="4">
        <v>87340</v>
      </c>
      <c r="N225" s="11">
        <f t="shared" si="9"/>
        <v>1.4895032146937941</v>
      </c>
      <c r="O225">
        <v>803</v>
      </c>
      <c r="P225" t="str">
        <f t="shared" si="11"/>
        <v>Excellent</v>
      </c>
      <c r="Q225">
        <v>6</v>
      </c>
    </row>
    <row r="226" spans="1:17" x14ac:dyDescent="0.3">
      <c r="A226">
        <v>224</v>
      </c>
      <c r="B226">
        <v>20</v>
      </c>
      <c r="C226">
        <v>67</v>
      </c>
      <c r="D226">
        <v>1999</v>
      </c>
      <c r="E226">
        <v>11</v>
      </c>
      <c r="F226" t="str">
        <f t="shared" si="10"/>
        <v>18-25</v>
      </c>
      <c r="G226" t="s">
        <v>14</v>
      </c>
      <c r="H226" t="s">
        <v>450</v>
      </c>
      <c r="I226">
        <v>40.69</v>
      </c>
      <c r="J226">
        <v>-73.849999999999994</v>
      </c>
      <c r="K226" t="s">
        <v>451</v>
      </c>
      <c r="L226" s="4">
        <v>40130</v>
      </c>
      <c r="M226" s="4">
        <v>55801</v>
      </c>
      <c r="N226" s="11">
        <f t="shared" si="9"/>
        <v>1.3905058559681036</v>
      </c>
      <c r="O226">
        <v>798</v>
      </c>
      <c r="P226" t="str">
        <f t="shared" si="11"/>
        <v>Very Good</v>
      </c>
      <c r="Q226">
        <v>1</v>
      </c>
    </row>
    <row r="227" spans="1:17" x14ac:dyDescent="0.3">
      <c r="A227">
        <v>225</v>
      </c>
      <c r="B227">
        <v>32</v>
      </c>
      <c r="C227">
        <v>68</v>
      </c>
      <c r="D227">
        <v>1987</v>
      </c>
      <c r="E227">
        <v>3</v>
      </c>
      <c r="F227" t="str">
        <f t="shared" si="10"/>
        <v>26-35</v>
      </c>
      <c r="G227" t="s">
        <v>19</v>
      </c>
      <c r="H227" t="s">
        <v>1141</v>
      </c>
      <c r="I227">
        <v>29.76</v>
      </c>
      <c r="J227">
        <v>-95.38</v>
      </c>
      <c r="K227" t="s">
        <v>1142</v>
      </c>
      <c r="L227" s="4">
        <v>40887</v>
      </c>
      <c r="M227" s="4">
        <v>50734</v>
      </c>
      <c r="N227" s="11">
        <f t="shared" si="9"/>
        <v>1.2408344950717831</v>
      </c>
      <c r="O227">
        <v>688</v>
      </c>
      <c r="P227" t="str">
        <f t="shared" si="11"/>
        <v>Good</v>
      </c>
      <c r="Q227">
        <v>4</v>
      </c>
    </row>
    <row r="228" spans="1:17" x14ac:dyDescent="0.3">
      <c r="A228">
        <v>226</v>
      </c>
      <c r="B228">
        <v>30</v>
      </c>
      <c r="C228">
        <v>68</v>
      </c>
      <c r="D228">
        <v>1989</v>
      </c>
      <c r="E228">
        <v>8</v>
      </c>
      <c r="F228" t="str">
        <f t="shared" si="10"/>
        <v>26-35</v>
      </c>
      <c r="G228" t="s">
        <v>19</v>
      </c>
      <c r="H228" t="s">
        <v>723</v>
      </c>
      <c r="I228">
        <v>42.62</v>
      </c>
      <c r="J228">
        <v>-70.86</v>
      </c>
      <c r="K228" t="s">
        <v>724</v>
      </c>
      <c r="L228" s="4">
        <v>92960</v>
      </c>
      <c r="M228" s="4">
        <v>64167</v>
      </c>
      <c r="N228" s="11">
        <f t="shared" si="9"/>
        <v>0.69026462994836491</v>
      </c>
      <c r="O228">
        <v>724</v>
      </c>
      <c r="P228" t="str">
        <f t="shared" si="11"/>
        <v>Good</v>
      </c>
      <c r="Q228">
        <v>3</v>
      </c>
    </row>
    <row r="229" spans="1:17" x14ac:dyDescent="0.3">
      <c r="A229">
        <v>227</v>
      </c>
      <c r="B229">
        <v>48</v>
      </c>
      <c r="C229">
        <v>66</v>
      </c>
      <c r="D229">
        <v>1971</v>
      </c>
      <c r="E229">
        <v>9</v>
      </c>
      <c r="F229" t="str">
        <f t="shared" si="10"/>
        <v>36-50</v>
      </c>
      <c r="G229" t="s">
        <v>19</v>
      </c>
      <c r="H229" t="s">
        <v>184</v>
      </c>
      <c r="I229">
        <v>44.96</v>
      </c>
      <c r="J229">
        <v>-93.26</v>
      </c>
      <c r="K229" t="s">
        <v>185</v>
      </c>
      <c r="L229" s="4">
        <v>82295</v>
      </c>
      <c r="M229" s="4">
        <v>1555</v>
      </c>
      <c r="N229" s="11">
        <f t="shared" si="9"/>
        <v>1.8895437146849749E-2</v>
      </c>
      <c r="O229">
        <v>736</v>
      </c>
      <c r="P229" t="str">
        <f t="shared" si="11"/>
        <v>Good</v>
      </c>
      <c r="Q229">
        <v>4</v>
      </c>
    </row>
    <row r="230" spans="1:17" x14ac:dyDescent="0.3">
      <c r="A230">
        <v>228</v>
      </c>
      <c r="B230">
        <v>54</v>
      </c>
      <c r="C230">
        <v>66</v>
      </c>
      <c r="D230">
        <v>1966</v>
      </c>
      <c r="E230">
        <v>1</v>
      </c>
      <c r="F230" t="str">
        <f t="shared" si="10"/>
        <v>51-60</v>
      </c>
      <c r="G230" t="s">
        <v>14</v>
      </c>
      <c r="H230" t="s">
        <v>1785</v>
      </c>
      <c r="I230">
        <v>28.55</v>
      </c>
      <c r="J230">
        <v>-82.39</v>
      </c>
      <c r="K230" t="s">
        <v>1786</v>
      </c>
      <c r="L230" s="4">
        <v>31655</v>
      </c>
      <c r="M230" s="4">
        <v>46405</v>
      </c>
      <c r="N230" s="11">
        <f t="shared" si="9"/>
        <v>1.4659611435792135</v>
      </c>
      <c r="O230">
        <v>623</v>
      </c>
      <c r="P230" t="str">
        <f t="shared" si="11"/>
        <v>Fair</v>
      </c>
      <c r="Q230">
        <v>1</v>
      </c>
    </row>
    <row r="231" spans="1:17" x14ac:dyDescent="0.3">
      <c r="A231">
        <v>229</v>
      </c>
      <c r="B231">
        <v>35</v>
      </c>
      <c r="C231">
        <v>57</v>
      </c>
      <c r="D231">
        <v>1984</v>
      </c>
      <c r="E231">
        <v>6</v>
      </c>
      <c r="F231" t="str">
        <f t="shared" si="10"/>
        <v>26-35</v>
      </c>
      <c r="G231" t="s">
        <v>14</v>
      </c>
      <c r="H231" t="s">
        <v>254</v>
      </c>
      <c r="I231">
        <v>41.8</v>
      </c>
      <c r="J231">
        <v>-91.49</v>
      </c>
      <c r="K231" t="s">
        <v>255</v>
      </c>
      <c r="L231" s="4">
        <v>59248</v>
      </c>
      <c r="M231" s="4">
        <v>173887</v>
      </c>
      <c r="N231" s="11">
        <f t="shared" si="9"/>
        <v>2.9349007561436671</v>
      </c>
      <c r="O231">
        <v>725</v>
      </c>
      <c r="P231" t="str">
        <f t="shared" si="11"/>
        <v>Good</v>
      </c>
      <c r="Q231">
        <v>5</v>
      </c>
    </row>
    <row r="232" spans="1:17" x14ac:dyDescent="0.3">
      <c r="A232">
        <v>230</v>
      </c>
      <c r="B232">
        <v>39</v>
      </c>
      <c r="C232">
        <v>65</v>
      </c>
      <c r="D232">
        <v>1980</v>
      </c>
      <c r="E232">
        <v>10</v>
      </c>
      <c r="F232" t="str">
        <f t="shared" si="10"/>
        <v>36-50</v>
      </c>
      <c r="G232" t="s">
        <v>14</v>
      </c>
      <c r="H232" t="s">
        <v>948</v>
      </c>
      <c r="I232">
        <v>30.44</v>
      </c>
      <c r="J232">
        <v>-91.12</v>
      </c>
      <c r="K232" t="s">
        <v>949</v>
      </c>
      <c r="L232" s="4">
        <v>35501</v>
      </c>
      <c r="M232" s="4">
        <v>78801</v>
      </c>
      <c r="N232" s="11">
        <f t="shared" si="9"/>
        <v>2.2196839525647163</v>
      </c>
      <c r="O232">
        <v>693</v>
      </c>
      <c r="P232" t="str">
        <f t="shared" si="11"/>
        <v>Good</v>
      </c>
      <c r="Q232">
        <v>4</v>
      </c>
    </row>
    <row r="233" spans="1:17" x14ac:dyDescent="0.3">
      <c r="A233">
        <v>231</v>
      </c>
      <c r="B233">
        <v>55</v>
      </c>
      <c r="C233">
        <v>67</v>
      </c>
      <c r="D233">
        <v>1964</v>
      </c>
      <c r="E233">
        <v>3</v>
      </c>
      <c r="F233" t="str">
        <f t="shared" si="10"/>
        <v>51-60</v>
      </c>
      <c r="G233" t="s">
        <v>14</v>
      </c>
      <c r="H233" t="s">
        <v>1735</v>
      </c>
      <c r="I233">
        <v>35.049999999999997</v>
      </c>
      <c r="J233">
        <v>-78.87</v>
      </c>
      <c r="K233" t="s">
        <v>1736</v>
      </c>
      <c r="L233" s="4">
        <v>36270</v>
      </c>
      <c r="M233" s="4">
        <v>73779</v>
      </c>
      <c r="N233" s="11">
        <f t="shared" si="9"/>
        <v>2.034160463192721</v>
      </c>
      <c r="O233">
        <v>769</v>
      </c>
      <c r="P233" t="str">
        <f t="shared" si="11"/>
        <v>Very Good</v>
      </c>
      <c r="Q233">
        <v>5</v>
      </c>
    </row>
    <row r="234" spans="1:17" x14ac:dyDescent="0.3">
      <c r="A234">
        <v>232</v>
      </c>
      <c r="B234">
        <v>57</v>
      </c>
      <c r="C234">
        <v>66</v>
      </c>
      <c r="D234">
        <v>1962</v>
      </c>
      <c r="E234">
        <v>5</v>
      </c>
      <c r="F234" t="str">
        <f t="shared" si="10"/>
        <v>51-60</v>
      </c>
      <c r="G234" t="s">
        <v>14</v>
      </c>
      <c r="H234" t="s">
        <v>379</v>
      </c>
      <c r="I234">
        <v>41.58</v>
      </c>
      <c r="J234">
        <v>-73.8</v>
      </c>
      <c r="K234" t="s">
        <v>380</v>
      </c>
      <c r="L234" s="4">
        <v>69159</v>
      </c>
      <c r="M234" s="4">
        <v>135111</v>
      </c>
      <c r="N234" s="11">
        <f t="shared" si="9"/>
        <v>1.9536285949767926</v>
      </c>
      <c r="O234">
        <v>786</v>
      </c>
      <c r="P234" t="str">
        <f t="shared" si="11"/>
        <v>Very Good</v>
      </c>
      <c r="Q234">
        <v>3</v>
      </c>
    </row>
    <row r="235" spans="1:17" x14ac:dyDescent="0.3">
      <c r="A235">
        <v>233</v>
      </c>
      <c r="B235">
        <v>37</v>
      </c>
      <c r="C235">
        <v>64</v>
      </c>
      <c r="D235">
        <v>1982</v>
      </c>
      <c r="E235">
        <v>12</v>
      </c>
      <c r="F235" t="str">
        <f t="shared" si="10"/>
        <v>36-50</v>
      </c>
      <c r="G235" t="s">
        <v>14</v>
      </c>
      <c r="H235" t="s">
        <v>120</v>
      </c>
      <c r="I235">
        <v>44.96</v>
      </c>
      <c r="J235">
        <v>-93.26</v>
      </c>
      <c r="K235" t="s">
        <v>121</v>
      </c>
      <c r="L235" s="4">
        <v>47464</v>
      </c>
      <c r="M235" s="4">
        <v>83591</v>
      </c>
      <c r="N235" s="11">
        <f t="shared" si="9"/>
        <v>1.7611452890611832</v>
      </c>
      <c r="O235">
        <v>716</v>
      </c>
      <c r="P235" t="str">
        <f t="shared" si="11"/>
        <v>Good</v>
      </c>
      <c r="Q235">
        <v>1</v>
      </c>
    </row>
    <row r="236" spans="1:17" x14ac:dyDescent="0.3">
      <c r="A236">
        <v>234</v>
      </c>
      <c r="B236">
        <v>42</v>
      </c>
      <c r="C236">
        <v>73</v>
      </c>
      <c r="D236">
        <v>1977</v>
      </c>
      <c r="E236">
        <v>11</v>
      </c>
      <c r="F236" t="str">
        <f t="shared" si="10"/>
        <v>36-50</v>
      </c>
      <c r="G236" t="s">
        <v>14</v>
      </c>
      <c r="H236" t="s">
        <v>1233</v>
      </c>
      <c r="I236">
        <v>32.76</v>
      </c>
      <c r="J236">
        <v>-96.59</v>
      </c>
      <c r="K236" t="s">
        <v>275</v>
      </c>
      <c r="L236" s="4">
        <v>37623</v>
      </c>
      <c r="M236" s="4">
        <v>923</v>
      </c>
      <c r="N236" s="11">
        <f t="shared" si="9"/>
        <v>2.4532865534380565E-2</v>
      </c>
      <c r="O236">
        <v>726</v>
      </c>
      <c r="P236" t="str">
        <f t="shared" si="11"/>
        <v>Good</v>
      </c>
      <c r="Q236">
        <v>6</v>
      </c>
    </row>
    <row r="237" spans="1:17" x14ac:dyDescent="0.3">
      <c r="A237">
        <v>235</v>
      </c>
      <c r="B237">
        <v>32</v>
      </c>
      <c r="C237">
        <v>67</v>
      </c>
      <c r="D237">
        <v>1987</v>
      </c>
      <c r="E237">
        <v>12</v>
      </c>
      <c r="F237" t="str">
        <f t="shared" si="10"/>
        <v>26-35</v>
      </c>
      <c r="G237" t="s">
        <v>14</v>
      </c>
      <c r="H237" t="s">
        <v>1571</v>
      </c>
      <c r="I237">
        <v>40.71</v>
      </c>
      <c r="J237">
        <v>-73.989999999999995</v>
      </c>
      <c r="K237" t="s">
        <v>1572</v>
      </c>
      <c r="L237" s="4">
        <v>48676</v>
      </c>
      <c r="M237" s="4">
        <v>110589</v>
      </c>
      <c r="N237" s="11">
        <f t="shared" si="9"/>
        <v>2.2719409976168956</v>
      </c>
      <c r="O237">
        <v>721</v>
      </c>
      <c r="P237" t="str">
        <f t="shared" si="11"/>
        <v>Good</v>
      </c>
      <c r="Q237">
        <v>4</v>
      </c>
    </row>
    <row r="238" spans="1:17" x14ac:dyDescent="0.3">
      <c r="A238">
        <v>236</v>
      </c>
      <c r="B238">
        <v>36</v>
      </c>
      <c r="C238">
        <v>65</v>
      </c>
      <c r="D238">
        <v>1983</v>
      </c>
      <c r="E238">
        <v>3</v>
      </c>
      <c r="F238" t="str">
        <f t="shared" si="10"/>
        <v>36-50</v>
      </c>
      <c r="G238" t="s">
        <v>14</v>
      </c>
      <c r="H238" t="s">
        <v>495</v>
      </c>
      <c r="I238">
        <v>29.7</v>
      </c>
      <c r="J238">
        <v>-95.46</v>
      </c>
      <c r="K238" t="s">
        <v>496</v>
      </c>
      <c r="L238" s="4">
        <v>161276</v>
      </c>
      <c r="M238" s="4">
        <v>317964</v>
      </c>
      <c r="N238" s="11">
        <f t="shared" si="9"/>
        <v>1.971551873806394</v>
      </c>
      <c r="O238">
        <v>540</v>
      </c>
      <c r="P238" t="str">
        <f t="shared" si="11"/>
        <v>Poor</v>
      </c>
      <c r="Q238">
        <v>1</v>
      </c>
    </row>
    <row r="239" spans="1:17" x14ac:dyDescent="0.3">
      <c r="A239">
        <v>237</v>
      </c>
      <c r="B239">
        <v>42</v>
      </c>
      <c r="C239">
        <v>72</v>
      </c>
      <c r="D239">
        <v>1977</v>
      </c>
      <c r="E239">
        <v>8</v>
      </c>
      <c r="F239" t="str">
        <f t="shared" si="10"/>
        <v>36-50</v>
      </c>
      <c r="G239" t="s">
        <v>19</v>
      </c>
      <c r="H239" t="s">
        <v>1877</v>
      </c>
      <c r="I239">
        <v>37.96</v>
      </c>
      <c r="J239">
        <v>-121.76</v>
      </c>
      <c r="K239" t="s">
        <v>235</v>
      </c>
      <c r="L239" s="4">
        <v>58584</v>
      </c>
      <c r="M239" s="4">
        <v>99235</v>
      </c>
      <c r="N239" s="11">
        <f t="shared" si="9"/>
        <v>1.6938925303837225</v>
      </c>
      <c r="O239">
        <v>563</v>
      </c>
      <c r="P239" t="str">
        <f t="shared" si="11"/>
        <v>Poor</v>
      </c>
      <c r="Q239">
        <v>2</v>
      </c>
    </row>
    <row r="240" spans="1:17" x14ac:dyDescent="0.3">
      <c r="A240">
        <v>238</v>
      </c>
      <c r="B240">
        <v>22</v>
      </c>
      <c r="C240">
        <v>62</v>
      </c>
      <c r="D240">
        <v>1997</v>
      </c>
      <c r="E240">
        <v>6</v>
      </c>
      <c r="F240" t="str">
        <f t="shared" si="10"/>
        <v>18-25</v>
      </c>
      <c r="G240" t="s">
        <v>19</v>
      </c>
      <c r="H240" t="s">
        <v>369</v>
      </c>
      <c r="I240">
        <v>41.41</v>
      </c>
      <c r="J240">
        <v>-82.31</v>
      </c>
      <c r="K240" t="s">
        <v>370</v>
      </c>
      <c r="L240" s="4">
        <v>41595</v>
      </c>
      <c r="M240" s="4">
        <v>54451</v>
      </c>
      <c r="N240" s="11">
        <f t="shared" si="9"/>
        <v>1.3090756100492849</v>
      </c>
      <c r="O240">
        <v>675</v>
      </c>
      <c r="P240" t="str">
        <f t="shared" si="11"/>
        <v>Good</v>
      </c>
      <c r="Q240">
        <v>1</v>
      </c>
    </row>
    <row r="241" spans="1:17" x14ac:dyDescent="0.3">
      <c r="A241">
        <v>239</v>
      </c>
      <c r="B241">
        <v>26</v>
      </c>
      <c r="C241">
        <v>68</v>
      </c>
      <c r="D241">
        <v>1993</v>
      </c>
      <c r="E241">
        <v>3</v>
      </c>
      <c r="F241" t="str">
        <f t="shared" si="10"/>
        <v>26-35</v>
      </c>
      <c r="G241" t="s">
        <v>19</v>
      </c>
      <c r="H241" t="s">
        <v>1330</v>
      </c>
      <c r="I241">
        <v>44.88</v>
      </c>
      <c r="J241">
        <v>-94.37</v>
      </c>
      <c r="K241" t="s">
        <v>1331</v>
      </c>
      <c r="L241" s="4">
        <v>42201</v>
      </c>
      <c r="M241" s="4">
        <v>138469</v>
      </c>
      <c r="N241" s="11">
        <f t="shared" si="9"/>
        <v>3.2811781711333854</v>
      </c>
      <c r="O241">
        <v>682</v>
      </c>
      <c r="P241" t="str">
        <f t="shared" si="11"/>
        <v>Good</v>
      </c>
      <c r="Q241">
        <v>5</v>
      </c>
    </row>
    <row r="242" spans="1:17" x14ac:dyDescent="0.3">
      <c r="A242">
        <v>240</v>
      </c>
      <c r="B242">
        <v>50</v>
      </c>
      <c r="C242">
        <v>68</v>
      </c>
      <c r="D242">
        <v>1970</v>
      </c>
      <c r="E242">
        <v>2</v>
      </c>
      <c r="F242" t="str">
        <f t="shared" si="10"/>
        <v>36-50</v>
      </c>
      <c r="G242" t="s">
        <v>19</v>
      </c>
      <c r="H242" t="s">
        <v>1392</v>
      </c>
      <c r="I242">
        <v>36.21</v>
      </c>
      <c r="J242">
        <v>-83.29</v>
      </c>
      <c r="K242" t="s">
        <v>1393</v>
      </c>
      <c r="L242" s="4">
        <v>34868</v>
      </c>
      <c r="M242" s="4">
        <v>51984</v>
      </c>
      <c r="N242" s="11">
        <f t="shared" si="9"/>
        <v>1.4908798898703683</v>
      </c>
      <c r="O242">
        <v>745</v>
      </c>
      <c r="P242" t="str">
        <f t="shared" si="11"/>
        <v>Very Good</v>
      </c>
      <c r="Q242">
        <v>3</v>
      </c>
    </row>
    <row r="243" spans="1:17" x14ac:dyDescent="0.3">
      <c r="A243">
        <v>241</v>
      </c>
      <c r="B243">
        <v>58</v>
      </c>
      <c r="C243">
        <v>67</v>
      </c>
      <c r="D243">
        <v>1961</v>
      </c>
      <c r="E243">
        <v>4</v>
      </c>
      <c r="F243" t="str">
        <f t="shared" si="10"/>
        <v>51-60</v>
      </c>
      <c r="G243" t="s">
        <v>14</v>
      </c>
      <c r="H243" t="s">
        <v>1930</v>
      </c>
      <c r="I243">
        <v>34.93</v>
      </c>
      <c r="J243">
        <v>-79.760000000000005</v>
      </c>
      <c r="K243" t="s">
        <v>1931</v>
      </c>
      <c r="L243" s="4">
        <v>30605</v>
      </c>
      <c r="M243" s="4">
        <v>16549</v>
      </c>
      <c r="N243" s="11">
        <f t="shared" si="9"/>
        <v>0.54072863911125635</v>
      </c>
      <c r="O243">
        <v>737</v>
      </c>
      <c r="P243" t="str">
        <f t="shared" si="11"/>
        <v>Good</v>
      </c>
      <c r="Q243">
        <v>5</v>
      </c>
    </row>
    <row r="244" spans="1:17" x14ac:dyDescent="0.3">
      <c r="A244">
        <v>242</v>
      </c>
      <c r="B244">
        <v>41</v>
      </c>
      <c r="C244">
        <v>65</v>
      </c>
      <c r="D244">
        <v>1978</v>
      </c>
      <c r="E244">
        <v>6</v>
      </c>
      <c r="F244" t="str">
        <f t="shared" si="10"/>
        <v>36-50</v>
      </c>
      <c r="G244" t="s">
        <v>19</v>
      </c>
      <c r="H244" t="s">
        <v>1440</v>
      </c>
      <c r="I244">
        <v>42.19</v>
      </c>
      <c r="J244">
        <v>-73.349999999999994</v>
      </c>
      <c r="K244" t="s">
        <v>1441</v>
      </c>
      <c r="L244" s="4">
        <v>43560</v>
      </c>
      <c r="M244" s="4">
        <v>58544</v>
      </c>
      <c r="N244" s="11">
        <f t="shared" si="9"/>
        <v>1.3439853076216712</v>
      </c>
      <c r="O244">
        <v>850</v>
      </c>
      <c r="P244" t="str">
        <f t="shared" si="11"/>
        <v>Excellent</v>
      </c>
      <c r="Q244">
        <v>5</v>
      </c>
    </row>
    <row r="245" spans="1:17" x14ac:dyDescent="0.3">
      <c r="A245">
        <v>243</v>
      </c>
      <c r="B245">
        <v>20</v>
      </c>
      <c r="C245">
        <v>63</v>
      </c>
      <c r="D245">
        <v>1999</v>
      </c>
      <c r="E245">
        <v>3</v>
      </c>
      <c r="F245" t="str">
        <f t="shared" si="10"/>
        <v>18-25</v>
      </c>
      <c r="G245" t="s">
        <v>19</v>
      </c>
      <c r="H245" t="s">
        <v>685</v>
      </c>
      <c r="I245">
        <v>41.84</v>
      </c>
      <c r="J245">
        <v>-87.79</v>
      </c>
      <c r="K245" t="s">
        <v>686</v>
      </c>
      <c r="L245" s="4">
        <v>38158</v>
      </c>
      <c r="M245" s="4">
        <v>80609</v>
      </c>
      <c r="N245" s="11">
        <f t="shared" si="9"/>
        <v>2.1125058965354579</v>
      </c>
      <c r="O245">
        <v>666</v>
      </c>
      <c r="P245" t="str">
        <f t="shared" si="11"/>
        <v>Fair</v>
      </c>
      <c r="Q245">
        <v>1</v>
      </c>
    </row>
    <row r="246" spans="1:17" x14ac:dyDescent="0.3">
      <c r="A246">
        <v>244</v>
      </c>
      <c r="B246">
        <v>40</v>
      </c>
      <c r="C246">
        <v>62</v>
      </c>
      <c r="D246">
        <v>1979</v>
      </c>
      <c r="E246">
        <v>7</v>
      </c>
      <c r="F246" t="str">
        <f t="shared" si="10"/>
        <v>36-50</v>
      </c>
      <c r="G246" t="s">
        <v>14</v>
      </c>
      <c r="H246" t="s">
        <v>324</v>
      </c>
      <c r="I246">
        <v>30.58</v>
      </c>
      <c r="J246">
        <v>-84.58</v>
      </c>
      <c r="K246" t="s">
        <v>325</v>
      </c>
      <c r="L246" s="4">
        <v>26802</v>
      </c>
      <c r="M246" s="4">
        <v>43444</v>
      </c>
      <c r="N246" s="11">
        <f t="shared" si="9"/>
        <v>1.6209238116558466</v>
      </c>
      <c r="O246">
        <v>638</v>
      </c>
      <c r="P246" t="str">
        <f t="shared" si="11"/>
        <v>Fair</v>
      </c>
      <c r="Q246">
        <v>2</v>
      </c>
    </row>
    <row r="247" spans="1:17" x14ac:dyDescent="0.3">
      <c r="A247">
        <v>245</v>
      </c>
      <c r="B247">
        <v>39</v>
      </c>
      <c r="C247">
        <v>65</v>
      </c>
      <c r="D247">
        <v>1980</v>
      </c>
      <c r="E247">
        <v>7</v>
      </c>
      <c r="F247" t="str">
        <f t="shared" si="10"/>
        <v>36-50</v>
      </c>
      <c r="G247" t="s">
        <v>14</v>
      </c>
      <c r="H247" t="s">
        <v>883</v>
      </c>
      <c r="I247">
        <v>26.11</v>
      </c>
      <c r="J247">
        <v>-80.39</v>
      </c>
      <c r="K247" t="s">
        <v>884</v>
      </c>
      <c r="L247" s="4">
        <v>58774</v>
      </c>
      <c r="M247" s="4">
        <v>94053</v>
      </c>
      <c r="N247" s="11">
        <f t="shared" si="9"/>
        <v>1.6002484091605131</v>
      </c>
      <c r="O247">
        <v>528</v>
      </c>
      <c r="P247" t="str">
        <f t="shared" si="11"/>
        <v>Poor</v>
      </c>
      <c r="Q247">
        <v>2</v>
      </c>
    </row>
    <row r="248" spans="1:17" x14ac:dyDescent="0.3">
      <c r="A248">
        <v>246</v>
      </c>
      <c r="B248">
        <v>50</v>
      </c>
      <c r="C248">
        <v>70</v>
      </c>
      <c r="D248">
        <v>1969</v>
      </c>
      <c r="E248">
        <v>9</v>
      </c>
      <c r="F248" t="str">
        <f t="shared" si="10"/>
        <v>36-50</v>
      </c>
      <c r="G248" t="s">
        <v>14</v>
      </c>
      <c r="H248" t="s">
        <v>468</v>
      </c>
      <c r="I248">
        <v>44.96</v>
      </c>
      <c r="J248">
        <v>-93.26</v>
      </c>
      <c r="K248" t="s">
        <v>185</v>
      </c>
      <c r="L248" s="4">
        <v>82298</v>
      </c>
      <c r="M248" s="4">
        <v>0</v>
      </c>
      <c r="N248" s="11">
        <f t="shared" si="9"/>
        <v>0</v>
      </c>
      <c r="O248">
        <v>791</v>
      </c>
      <c r="P248" t="str">
        <f t="shared" si="11"/>
        <v>Very Good</v>
      </c>
      <c r="Q248">
        <v>4</v>
      </c>
    </row>
    <row r="249" spans="1:17" x14ac:dyDescent="0.3">
      <c r="A249">
        <v>247</v>
      </c>
      <c r="B249">
        <v>49</v>
      </c>
      <c r="C249">
        <v>69</v>
      </c>
      <c r="D249">
        <v>1970</v>
      </c>
      <c r="E249">
        <v>7</v>
      </c>
      <c r="F249" t="str">
        <f t="shared" si="10"/>
        <v>36-50</v>
      </c>
      <c r="G249" t="s">
        <v>14</v>
      </c>
      <c r="H249" t="s">
        <v>367</v>
      </c>
      <c r="I249">
        <v>30.21</v>
      </c>
      <c r="J249">
        <v>-93.2</v>
      </c>
      <c r="K249" t="s">
        <v>368</v>
      </c>
      <c r="L249" s="4">
        <v>54587</v>
      </c>
      <c r="M249" s="4">
        <v>69070</v>
      </c>
      <c r="N249" s="11">
        <f t="shared" si="9"/>
        <v>1.2653195815853591</v>
      </c>
      <c r="O249">
        <v>761</v>
      </c>
      <c r="P249" t="str">
        <f t="shared" si="11"/>
        <v>Very Good</v>
      </c>
      <c r="Q249">
        <v>6</v>
      </c>
    </row>
    <row r="250" spans="1:17" x14ac:dyDescent="0.3">
      <c r="A250">
        <v>248</v>
      </c>
      <c r="B250">
        <v>80</v>
      </c>
      <c r="C250">
        <v>67</v>
      </c>
      <c r="D250">
        <v>1939</v>
      </c>
      <c r="E250">
        <v>12</v>
      </c>
      <c r="F250" t="str">
        <f t="shared" si="10"/>
        <v>65+</v>
      </c>
      <c r="G250" t="s">
        <v>14</v>
      </c>
      <c r="H250" t="s">
        <v>855</v>
      </c>
      <c r="I250">
        <v>27.95</v>
      </c>
      <c r="J250">
        <v>-82.48</v>
      </c>
      <c r="K250" t="s">
        <v>856</v>
      </c>
      <c r="L250" s="4">
        <v>13596</v>
      </c>
      <c r="M250" s="4">
        <v>352</v>
      </c>
      <c r="N250" s="11">
        <f t="shared" si="9"/>
        <v>2.5889967637540454E-2</v>
      </c>
      <c r="O250">
        <v>684</v>
      </c>
      <c r="P250" t="str">
        <f t="shared" si="11"/>
        <v>Good</v>
      </c>
      <c r="Q250">
        <v>4</v>
      </c>
    </row>
    <row r="251" spans="1:17" x14ac:dyDescent="0.3">
      <c r="A251">
        <v>249</v>
      </c>
      <c r="B251">
        <v>42</v>
      </c>
      <c r="C251">
        <v>69</v>
      </c>
      <c r="D251">
        <v>1977</v>
      </c>
      <c r="E251">
        <v>9</v>
      </c>
      <c r="F251" t="str">
        <f t="shared" si="10"/>
        <v>36-50</v>
      </c>
      <c r="G251" t="s">
        <v>14</v>
      </c>
      <c r="H251" t="s">
        <v>1030</v>
      </c>
      <c r="I251">
        <v>34.1</v>
      </c>
      <c r="J251">
        <v>-117.38</v>
      </c>
      <c r="K251" t="s">
        <v>906</v>
      </c>
      <c r="L251" s="4">
        <v>29835</v>
      </c>
      <c r="M251" s="4">
        <v>46702</v>
      </c>
      <c r="N251" s="11">
        <f t="shared" si="9"/>
        <v>1.5653427182838948</v>
      </c>
      <c r="O251">
        <v>618</v>
      </c>
      <c r="P251" t="str">
        <f t="shared" si="11"/>
        <v>Fair</v>
      </c>
      <c r="Q251">
        <v>7</v>
      </c>
    </row>
    <row r="252" spans="1:17" x14ac:dyDescent="0.3">
      <c r="A252">
        <v>250</v>
      </c>
      <c r="B252">
        <v>50</v>
      </c>
      <c r="C252">
        <v>64</v>
      </c>
      <c r="D252">
        <v>1970</v>
      </c>
      <c r="E252">
        <v>2</v>
      </c>
      <c r="F252" t="str">
        <f t="shared" si="10"/>
        <v>36-50</v>
      </c>
      <c r="G252" t="s">
        <v>14</v>
      </c>
      <c r="H252" t="s">
        <v>1130</v>
      </c>
      <c r="I252">
        <v>44.52</v>
      </c>
      <c r="J252">
        <v>-122.81</v>
      </c>
      <c r="K252" t="s">
        <v>1131</v>
      </c>
      <c r="L252" s="4">
        <v>34671</v>
      </c>
      <c r="M252" s="4">
        <v>55643</v>
      </c>
      <c r="N252" s="11">
        <f t="shared" si="9"/>
        <v>1.6048859277205734</v>
      </c>
      <c r="O252">
        <v>786</v>
      </c>
      <c r="P252" t="str">
        <f t="shared" si="11"/>
        <v>Very Good</v>
      </c>
      <c r="Q252">
        <v>6</v>
      </c>
    </row>
    <row r="253" spans="1:17" x14ac:dyDescent="0.3">
      <c r="A253">
        <v>251</v>
      </c>
      <c r="B253">
        <v>21</v>
      </c>
      <c r="C253">
        <v>66</v>
      </c>
      <c r="D253">
        <v>1998</v>
      </c>
      <c r="E253">
        <v>8</v>
      </c>
      <c r="F253" t="str">
        <f t="shared" si="10"/>
        <v>18-25</v>
      </c>
      <c r="G253" t="s">
        <v>19</v>
      </c>
      <c r="H253" t="s">
        <v>633</v>
      </c>
      <c r="I253">
        <v>40.700000000000003</v>
      </c>
      <c r="J253">
        <v>-73.61</v>
      </c>
      <c r="K253" t="s">
        <v>634</v>
      </c>
      <c r="L253" s="4">
        <v>41087</v>
      </c>
      <c r="M253" s="4">
        <v>22720</v>
      </c>
      <c r="N253" s="11">
        <f t="shared" si="9"/>
        <v>0.5529729598169737</v>
      </c>
      <c r="O253">
        <v>695</v>
      </c>
      <c r="P253" t="str">
        <f t="shared" si="11"/>
        <v>Good</v>
      </c>
      <c r="Q253">
        <v>2</v>
      </c>
    </row>
    <row r="254" spans="1:17" x14ac:dyDescent="0.3">
      <c r="A254">
        <v>252</v>
      </c>
      <c r="B254">
        <v>67</v>
      </c>
      <c r="C254">
        <v>70</v>
      </c>
      <c r="D254">
        <v>1953</v>
      </c>
      <c r="E254">
        <v>1</v>
      </c>
      <c r="F254" t="str">
        <f t="shared" si="10"/>
        <v>65+</v>
      </c>
      <c r="G254" t="s">
        <v>19</v>
      </c>
      <c r="H254" t="s">
        <v>893</v>
      </c>
      <c r="I254">
        <v>40.58</v>
      </c>
      <c r="J254">
        <v>-82.42</v>
      </c>
      <c r="K254" t="s">
        <v>894</v>
      </c>
      <c r="L254" s="4">
        <v>34985</v>
      </c>
      <c r="M254" s="4">
        <v>29409</v>
      </c>
      <c r="N254" s="11">
        <f t="shared" si="9"/>
        <v>0.84061740746034019</v>
      </c>
      <c r="O254">
        <v>723</v>
      </c>
      <c r="P254" t="str">
        <f t="shared" si="11"/>
        <v>Good</v>
      </c>
      <c r="Q254">
        <v>6</v>
      </c>
    </row>
    <row r="255" spans="1:17" x14ac:dyDescent="0.3">
      <c r="A255">
        <v>253</v>
      </c>
      <c r="B255">
        <v>61</v>
      </c>
      <c r="C255">
        <v>62</v>
      </c>
      <c r="D255">
        <v>1959</v>
      </c>
      <c r="E255">
        <v>1</v>
      </c>
      <c r="F255" t="str">
        <f t="shared" si="10"/>
        <v>51-60</v>
      </c>
      <c r="G255" t="s">
        <v>19</v>
      </c>
      <c r="H255" t="s">
        <v>1490</v>
      </c>
      <c r="I255">
        <v>38.35</v>
      </c>
      <c r="J255">
        <v>-81.63</v>
      </c>
      <c r="K255" t="s">
        <v>1491</v>
      </c>
      <c r="L255" s="4">
        <v>44257</v>
      </c>
      <c r="M255" s="4">
        <v>110587</v>
      </c>
      <c r="N255" s="11">
        <f t="shared" si="9"/>
        <v>2.4987459610909011</v>
      </c>
      <c r="O255">
        <v>664</v>
      </c>
      <c r="P255" t="str">
        <f t="shared" si="11"/>
        <v>Fair</v>
      </c>
      <c r="Q255">
        <v>2</v>
      </c>
    </row>
    <row r="256" spans="1:17" x14ac:dyDescent="0.3">
      <c r="A256">
        <v>254</v>
      </c>
      <c r="B256">
        <v>30</v>
      </c>
      <c r="C256">
        <v>66</v>
      </c>
      <c r="D256">
        <v>1989</v>
      </c>
      <c r="E256">
        <v>5</v>
      </c>
      <c r="F256" t="str">
        <f t="shared" si="10"/>
        <v>26-35</v>
      </c>
      <c r="G256" t="s">
        <v>19</v>
      </c>
      <c r="H256" t="s">
        <v>721</v>
      </c>
      <c r="I256">
        <v>40.020000000000003</v>
      </c>
      <c r="J256">
        <v>-105.25</v>
      </c>
      <c r="K256" t="s">
        <v>722</v>
      </c>
      <c r="L256" s="4">
        <v>67589</v>
      </c>
      <c r="M256" s="4">
        <v>0</v>
      </c>
      <c r="N256" s="11">
        <f t="shared" si="9"/>
        <v>0</v>
      </c>
      <c r="O256">
        <v>734</v>
      </c>
      <c r="P256" t="str">
        <f t="shared" si="11"/>
        <v>Good</v>
      </c>
      <c r="Q256">
        <v>3</v>
      </c>
    </row>
    <row r="257" spans="1:17" x14ac:dyDescent="0.3">
      <c r="A257">
        <v>255</v>
      </c>
      <c r="B257">
        <v>18</v>
      </c>
      <c r="C257">
        <v>57</v>
      </c>
      <c r="D257">
        <v>2001</v>
      </c>
      <c r="E257">
        <v>8</v>
      </c>
      <c r="F257" t="str">
        <f t="shared" si="10"/>
        <v>18-25</v>
      </c>
      <c r="G257" t="s">
        <v>14</v>
      </c>
      <c r="H257" t="s">
        <v>1006</v>
      </c>
      <c r="I257">
        <v>29.79</v>
      </c>
      <c r="J257">
        <v>-95.82</v>
      </c>
      <c r="K257" t="s">
        <v>1007</v>
      </c>
      <c r="L257" s="4">
        <v>43253</v>
      </c>
      <c r="M257" s="4">
        <v>56323</v>
      </c>
      <c r="N257" s="11">
        <f t="shared" si="9"/>
        <v>1.3021755716366494</v>
      </c>
      <c r="O257">
        <v>718</v>
      </c>
      <c r="P257" t="str">
        <f t="shared" si="11"/>
        <v>Good</v>
      </c>
      <c r="Q257">
        <v>1</v>
      </c>
    </row>
    <row r="258" spans="1:17" x14ac:dyDescent="0.3">
      <c r="A258">
        <v>256</v>
      </c>
      <c r="B258">
        <v>75</v>
      </c>
      <c r="C258">
        <v>65</v>
      </c>
      <c r="D258">
        <v>1945</v>
      </c>
      <c r="E258">
        <v>2</v>
      </c>
      <c r="F258" t="str">
        <f t="shared" si="10"/>
        <v>65+</v>
      </c>
      <c r="G258" t="s">
        <v>19</v>
      </c>
      <c r="H258" t="s">
        <v>1682</v>
      </c>
      <c r="I258">
        <v>35.82</v>
      </c>
      <c r="J258">
        <v>-78.31</v>
      </c>
      <c r="K258" t="s">
        <v>1683</v>
      </c>
      <c r="L258" s="4">
        <v>22850</v>
      </c>
      <c r="M258" s="4">
        <v>17453</v>
      </c>
      <c r="N258" s="11">
        <f t="shared" ref="N258:N321" si="12">(M258/L258)</f>
        <v>0.76380743982494526</v>
      </c>
      <c r="O258">
        <v>714</v>
      </c>
      <c r="P258" t="str">
        <f t="shared" si="11"/>
        <v>Good</v>
      </c>
      <c r="Q258">
        <v>6</v>
      </c>
    </row>
    <row r="259" spans="1:17" x14ac:dyDescent="0.3">
      <c r="A259">
        <v>257</v>
      </c>
      <c r="B259">
        <v>52</v>
      </c>
      <c r="C259">
        <v>65</v>
      </c>
      <c r="D259">
        <v>1967</v>
      </c>
      <c r="E259">
        <v>9</v>
      </c>
      <c r="F259" t="str">
        <f t="shared" ref="F259:F322" si="13">IF(B259&lt;26,"18-25",
   IF(B259&lt;36,"26-35",
   IF(B259&lt;51,"36-50",
   IF(B259&lt;66,"51-60","65+"))))</f>
        <v>51-60</v>
      </c>
      <c r="G259" t="s">
        <v>19</v>
      </c>
      <c r="H259" t="s">
        <v>1708</v>
      </c>
      <c r="I259">
        <v>34.200000000000003</v>
      </c>
      <c r="J259">
        <v>-118.39</v>
      </c>
      <c r="K259" t="s">
        <v>825</v>
      </c>
      <c r="L259" s="4">
        <v>31070</v>
      </c>
      <c r="M259" s="4">
        <v>86747</v>
      </c>
      <c r="N259" s="11">
        <f t="shared" si="12"/>
        <v>2.791985838429353</v>
      </c>
      <c r="O259">
        <v>708</v>
      </c>
      <c r="P259" t="str">
        <f t="shared" ref="P259:P322" si="14">IF(O259&lt;580,"Poor",
   IF(O259&lt;670,"Fair",
   IF(O259&lt;740,"Good",
   IF(O259&lt;800,"Very Good","Excellent"))))</f>
        <v>Good</v>
      </c>
      <c r="Q259">
        <v>4</v>
      </c>
    </row>
    <row r="260" spans="1:17" x14ac:dyDescent="0.3">
      <c r="A260">
        <v>258</v>
      </c>
      <c r="B260">
        <v>51</v>
      </c>
      <c r="C260">
        <v>68</v>
      </c>
      <c r="D260">
        <v>1968</v>
      </c>
      <c r="E260">
        <v>3</v>
      </c>
      <c r="F260" t="str">
        <f t="shared" si="13"/>
        <v>51-60</v>
      </c>
      <c r="G260" t="s">
        <v>19</v>
      </c>
      <c r="H260" t="s">
        <v>405</v>
      </c>
      <c r="I260">
        <v>37.270000000000003</v>
      </c>
      <c r="J260">
        <v>-79.95</v>
      </c>
      <c r="K260" t="s">
        <v>406</v>
      </c>
      <c r="L260" s="4">
        <v>29622</v>
      </c>
      <c r="M260" s="4">
        <v>17385</v>
      </c>
      <c r="N260" s="11">
        <f t="shared" si="12"/>
        <v>0.58689487543042329</v>
      </c>
      <c r="O260">
        <v>694</v>
      </c>
      <c r="P260" t="str">
        <f t="shared" si="14"/>
        <v>Good</v>
      </c>
      <c r="Q260">
        <v>3</v>
      </c>
    </row>
    <row r="261" spans="1:17" x14ac:dyDescent="0.3">
      <c r="A261">
        <v>259</v>
      </c>
      <c r="B261">
        <v>71</v>
      </c>
      <c r="C261">
        <v>65</v>
      </c>
      <c r="D261">
        <v>1948</v>
      </c>
      <c r="E261">
        <v>5</v>
      </c>
      <c r="F261" t="str">
        <f t="shared" si="13"/>
        <v>65+</v>
      </c>
      <c r="G261" t="s">
        <v>14</v>
      </c>
      <c r="H261" t="s">
        <v>1446</v>
      </c>
      <c r="I261">
        <v>28.78</v>
      </c>
      <c r="J261">
        <v>-81.27</v>
      </c>
      <c r="K261" t="s">
        <v>1447</v>
      </c>
      <c r="L261" s="4">
        <v>38009</v>
      </c>
      <c r="M261" s="4">
        <v>20529</v>
      </c>
      <c r="N261" s="11">
        <f t="shared" si="12"/>
        <v>0.54010892157120682</v>
      </c>
      <c r="O261">
        <v>689</v>
      </c>
      <c r="P261" t="str">
        <f t="shared" si="14"/>
        <v>Good</v>
      </c>
      <c r="Q261">
        <v>3</v>
      </c>
    </row>
    <row r="262" spans="1:17" x14ac:dyDescent="0.3">
      <c r="A262">
        <v>260</v>
      </c>
      <c r="B262">
        <v>62</v>
      </c>
      <c r="C262">
        <v>70</v>
      </c>
      <c r="D262">
        <v>1958</v>
      </c>
      <c r="E262">
        <v>2</v>
      </c>
      <c r="F262" t="str">
        <f t="shared" si="13"/>
        <v>51-60</v>
      </c>
      <c r="G262" t="s">
        <v>19</v>
      </c>
      <c r="H262" t="s">
        <v>1118</v>
      </c>
      <c r="I262">
        <v>26.21</v>
      </c>
      <c r="J262">
        <v>-98.31</v>
      </c>
      <c r="K262" t="s">
        <v>1119</v>
      </c>
      <c r="L262" s="4">
        <v>29110</v>
      </c>
      <c r="M262" s="4">
        <v>23504</v>
      </c>
      <c r="N262" s="11">
        <f t="shared" si="12"/>
        <v>0.80742013053933359</v>
      </c>
      <c r="O262">
        <v>699</v>
      </c>
      <c r="P262" t="str">
        <f t="shared" si="14"/>
        <v>Good</v>
      </c>
      <c r="Q262">
        <v>3</v>
      </c>
    </row>
    <row r="263" spans="1:17" x14ac:dyDescent="0.3">
      <c r="A263">
        <v>261</v>
      </c>
      <c r="B263">
        <v>41</v>
      </c>
      <c r="C263">
        <v>66</v>
      </c>
      <c r="D263">
        <v>1979</v>
      </c>
      <c r="E263">
        <v>2</v>
      </c>
      <c r="F263" t="str">
        <f t="shared" si="13"/>
        <v>36-50</v>
      </c>
      <c r="G263" t="s">
        <v>19</v>
      </c>
      <c r="H263" t="s">
        <v>779</v>
      </c>
      <c r="I263">
        <v>36</v>
      </c>
      <c r="J263">
        <v>-114.96</v>
      </c>
      <c r="K263" t="s">
        <v>780</v>
      </c>
      <c r="L263" s="4">
        <v>59093</v>
      </c>
      <c r="M263" s="4">
        <v>117325</v>
      </c>
      <c r="N263" s="11">
        <f t="shared" si="12"/>
        <v>1.9854297463320529</v>
      </c>
      <c r="O263">
        <v>737</v>
      </c>
      <c r="P263" t="str">
        <f t="shared" si="14"/>
        <v>Good</v>
      </c>
      <c r="Q263">
        <v>5</v>
      </c>
    </row>
    <row r="264" spans="1:17" x14ac:dyDescent="0.3">
      <c r="A264">
        <v>262</v>
      </c>
      <c r="B264">
        <v>18</v>
      </c>
      <c r="C264">
        <v>60</v>
      </c>
      <c r="D264">
        <v>2002</v>
      </c>
      <c r="E264">
        <v>2</v>
      </c>
      <c r="F264" t="str">
        <f t="shared" si="13"/>
        <v>18-25</v>
      </c>
      <c r="G264" t="s">
        <v>19</v>
      </c>
      <c r="H264" t="s">
        <v>1911</v>
      </c>
      <c r="I264">
        <v>28.82</v>
      </c>
      <c r="J264">
        <v>-96.98</v>
      </c>
      <c r="K264" t="s">
        <v>1912</v>
      </c>
      <c r="L264" s="4">
        <v>32635</v>
      </c>
      <c r="M264" s="4">
        <v>47930</v>
      </c>
      <c r="N264" s="11">
        <f t="shared" si="12"/>
        <v>1.4686686073234259</v>
      </c>
      <c r="O264">
        <v>734</v>
      </c>
      <c r="P264" t="str">
        <f t="shared" si="14"/>
        <v>Good</v>
      </c>
      <c r="Q264">
        <v>3</v>
      </c>
    </row>
    <row r="265" spans="1:17" x14ac:dyDescent="0.3">
      <c r="A265">
        <v>263</v>
      </c>
      <c r="B265">
        <v>30</v>
      </c>
      <c r="C265">
        <v>69</v>
      </c>
      <c r="D265">
        <v>1989</v>
      </c>
      <c r="E265">
        <v>11</v>
      </c>
      <c r="F265" t="str">
        <f t="shared" si="13"/>
        <v>26-35</v>
      </c>
      <c r="G265" t="s">
        <v>19</v>
      </c>
      <c r="H265" t="s">
        <v>1080</v>
      </c>
      <c r="I265">
        <v>40.090000000000003</v>
      </c>
      <c r="J265">
        <v>-74.209999999999994</v>
      </c>
      <c r="K265" t="s">
        <v>662</v>
      </c>
      <c r="L265" s="4">
        <v>26519</v>
      </c>
      <c r="M265" s="4">
        <v>63979</v>
      </c>
      <c r="N265" s="11">
        <f t="shared" si="12"/>
        <v>2.4125721181040007</v>
      </c>
      <c r="O265">
        <v>663</v>
      </c>
      <c r="P265" t="str">
        <f t="shared" si="14"/>
        <v>Fair</v>
      </c>
      <c r="Q265">
        <v>3</v>
      </c>
    </row>
    <row r="266" spans="1:17" x14ac:dyDescent="0.3">
      <c r="A266">
        <v>264</v>
      </c>
      <c r="B266">
        <v>49</v>
      </c>
      <c r="C266">
        <v>67</v>
      </c>
      <c r="D266">
        <v>1970</v>
      </c>
      <c r="E266">
        <v>8</v>
      </c>
      <c r="F266" t="str">
        <f t="shared" si="13"/>
        <v>36-50</v>
      </c>
      <c r="G266" t="s">
        <v>19</v>
      </c>
      <c r="H266" t="s">
        <v>1631</v>
      </c>
      <c r="I266">
        <v>40.229999999999997</v>
      </c>
      <c r="J266">
        <v>-77.02</v>
      </c>
      <c r="K266" t="s">
        <v>1632</v>
      </c>
      <c r="L266" s="4">
        <v>44303</v>
      </c>
      <c r="M266" s="4">
        <v>53407</v>
      </c>
      <c r="N266" s="11">
        <f t="shared" si="12"/>
        <v>1.2054939846060087</v>
      </c>
      <c r="O266">
        <v>696</v>
      </c>
      <c r="P266" t="str">
        <f t="shared" si="14"/>
        <v>Good</v>
      </c>
      <c r="Q266">
        <v>1</v>
      </c>
    </row>
    <row r="267" spans="1:17" x14ac:dyDescent="0.3">
      <c r="A267">
        <v>265</v>
      </c>
      <c r="B267">
        <v>44</v>
      </c>
      <c r="C267">
        <v>70</v>
      </c>
      <c r="D267">
        <v>1975</v>
      </c>
      <c r="E267">
        <v>10</v>
      </c>
      <c r="F267" t="str">
        <f t="shared" si="13"/>
        <v>36-50</v>
      </c>
      <c r="G267" t="s">
        <v>14</v>
      </c>
      <c r="H267" t="s">
        <v>1922</v>
      </c>
      <c r="I267">
        <v>27.8</v>
      </c>
      <c r="J267">
        <v>-97.39</v>
      </c>
      <c r="K267" t="s">
        <v>1923</v>
      </c>
      <c r="L267" s="4">
        <v>45497</v>
      </c>
      <c r="M267" s="4">
        <v>101549</v>
      </c>
      <c r="N267" s="11">
        <f t="shared" si="12"/>
        <v>2.2319933182407632</v>
      </c>
      <c r="O267">
        <v>713</v>
      </c>
      <c r="P267" t="str">
        <f t="shared" si="14"/>
        <v>Good</v>
      </c>
      <c r="Q267">
        <v>3</v>
      </c>
    </row>
    <row r="268" spans="1:17" x14ac:dyDescent="0.3">
      <c r="A268">
        <v>266</v>
      </c>
      <c r="B268">
        <v>19</v>
      </c>
      <c r="C268">
        <v>65</v>
      </c>
      <c r="D268">
        <v>2000</v>
      </c>
      <c r="E268">
        <v>3</v>
      </c>
      <c r="F268" t="str">
        <f t="shared" si="13"/>
        <v>18-25</v>
      </c>
      <c r="G268" t="s">
        <v>14</v>
      </c>
      <c r="H268" t="s">
        <v>1058</v>
      </c>
      <c r="I268">
        <v>34.020000000000003</v>
      </c>
      <c r="J268">
        <v>-118.15</v>
      </c>
      <c r="K268" t="s">
        <v>1059</v>
      </c>
      <c r="L268" s="4">
        <v>27494</v>
      </c>
      <c r="M268" s="4">
        <v>26097</v>
      </c>
      <c r="N268" s="11">
        <f t="shared" si="12"/>
        <v>0.94918891394486071</v>
      </c>
      <c r="O268">
        <v>724</v>
      </c>
      <c r="P268" t="str">
        <f t="shared" si="14"/>
        <v>Good</v>
      </c>
      <c r="Q268">
        <v>1</v>
      </c>
    </row>
    <row r="269" spans="1:17" x14ac:dyDescent="0.3">
      <c r="A269">
        <v>267</v>
      </c>
      <c r="B269">
        <v>61</v>
      </c>
      <c r="C269">
        <v>66</v>
      </c>
      <c r="D269">
        <v>1958</v>
      </c>
      <c r="E269">
        <v>3</v>
      </c>
      <c r="F269" t="str">
        <f t="shared" si="13"/>
        <v>51-60</v>
      </c>
      <c r="G269" t="s">
        <v>14</v>
      </c>
      <c r="H269" t="s">
        <v>1789</v>
      </c>
      <c r="I269">
        <v>37.96</v>
      </c>
      <c r="J269">
        <v>-83.82</v>
      </c>
      <c r="K269" t="s">
        <v>1790</v>
      </c>
      <c r="L269" s="4">
        <v>27733</v>
      </c>
      <c r="M269" s="4">
        <v>21785</v>
      </c>
      <c r="N269" s="11">
        <f t="shared" si="12"/>
        <v>0.7855262683445714</v>
      </c>
      <c r="O269">
        <v>765</v>
      </c>
      <c r="P269" t="str">
        <f t="shared" si="14"/>
        <v>Very Good</v>
      </c>
      <c r="Q269">
        <v>3</v>
      </c>
    </row>
    <row r="270" spans="1:17" x14ac:dyDescent="0.3">
      <c r="A270">
        <v>268</v>
      </c>
      <c r="B270">
        <v>20</v>
      </c>
      <c r="C270">
        <v>62</v>
      </c>
      <c r="D270">
        <v>1999</v>
      </c>
      <c r="E270">
        <v>9</v>
      </c>
      <c r="F270" t="str">
        <f t="shared" si="13"/>
        <v>18-25</v>
      </c>
      <c r="G270" t="s">
        <v>14</v>
      </c>
      <c r="H270" t="s">
        <v>641</v>
      </c>
      <c r="I270">
        <v>43.02</v>
      </c>
      <c r="J270">
        <v>-78.75</v>
      </c>
      <c r="K270" t="s">
        <v>642</v>
      </c>
      <c r="L270" s="4">
        <v>60265</v>
      </c>
      <c r="M270" s="4">
        <v>80939</v>
      </c>
      <c r="N270" s="11">
        <f t="shared" si="12"/>
        <v>1.3430515224425454</v>
      </c>
      <c r="O270">
        <v>582</v>
      </c>
      <c r="P270" t="str">
        <f t="shared" si="14"/>
        <v>Fair</v>
      </c>
      <c r="Q270">
        <v>3</v>
      </c>
    </row>
    <row r="271" spans="1:17" x14ac:dyDescent="0.3">
      <c r="A271">
        <v>269</v>
      </c>
      <c r="B271">
        <v>21</v>
      </c>
      <c r="C271">
        <v>69</v>
      </c>
      <c r="D271">
        <v>1998</v>
      </c>
      <c r="E271">
        <v>5</v>
      </c>
      <c r="F271" t="str">
        <f t="shared" si="13"/>
        <v>18-25</v>
      </c>
      <c r="G271" t="s">
        <v>14</v>
      </c>
      <c r="H271" t="s">
        <v>1526</v>
      </c>
      <c r="I271">
        <v>39.65</v>
      </c>
      <c r="J271">
        <v>-82.74</v>
      </c>
      <c r="K271" t="s">
        <v>1527</v>
      </c>
      <c r="L271" s="4">
        <v>38739</v>
      </c>
      <c r="M271" s="4">
        <v>0</v>
      </c>
      <c r="N271" s="11">
        <f t="shared" si="12"/>
        <v>0</v>
      </c>
      <c r="O271">
        <v>689</v>
      </c>
      <c r="P271" t="str">
        <f t="shared" si="14"/>
        <v>Good</v>
      </c>
      <c r="Q271">
        <v>3</v>
      </c>
    </row>
    <row r="272" spans="1:17" x14ac:dyDescent="0.3">
      <c r="A272">
        <v>270</v>
      </c>
      <c r="B272">
        <v>30</v>
      </c>
      <c r="C272">
        <v>62</v>
      </c>
      <c r="D272">
        <v>1989</v>
      </c>
      <c r="E272">
        <v>8</v>
      </c>
      <c r="F272" t="str">
        <f t="shared" si="13"/>
        <v>26-35</v>
      </c>
      <c r="G272" t="s">
        <v>19</v>
      </c>
      <c r="H272" t="s">
        <v>469</v>
      </c>
      <c r="I272">
        <v>39.020000000000003</v>
      </c>
      <c r="J272">
        <v>-84.56</v>
      </c>
      <c r="K272" t="s">
        <v>470</v>
      </c>
      <c r="L272" s="4">
        <v>61916</v>
      </c>
      <c r="M272" s="4">
        <v>165886</v>
      </c>
      <c r="N272" s="11">
        <f t="shared" si="12"/>
        <v>2.6792105433167519</v>
      </c>
      <c r="O272">
        <v>655</v>
      </c>
      <c r="P272" t="str">
        <f t="shared" si="14"/>
        <v>Fair</v>
      </c>
      <c r="Q272">
        <v>4</v>
      </c>
    </row>
    <row r="273" spans="1:17" x14ac:dyDescent="0.3">
      <c r="A273">
        <v>271</v>
      </c>
      <c r="B273">
        <v>30</v>
      </c>
      <c r="C273">
        <v>65</v>
      </c>
      <c r="D273">
        <v>1989</v>
      </c>
      <c r="E273">
        <v>7</v>
      </c>
      <c r="F273" t="str">
        <f t="shared" si="13"/>
        <v>26-35</v>
      </c>
      <c r="G273" t="s">
        <v>14</v>
      </c>
      <c r="H273" t="s">
        <v>1837</v>
      </c>
      <c r="I273">
        <v>45.65</v>
      </c>
      <c r="J273">
        <v>-122.66</v>
      </c>
      <c r="K273" t="s">
        <v>242</v>
      </c>
      <c r="L273" s="4">
        <v>42101</v>
      </c>
      <c r="M273" s="4">
        <v>70460</v>
      </c>
      <c r="N273" s="11">
        <f t="shared" si="12"/>
        <v>1.6735944514382082</v>
      </c>
      <c r="O273">
        <v>685</v>
      </c>
      <c r="P273" t="str">
        <f t="shared" si="14"/>
        <v>Good</v>
      </c>
      <c r="Q273">
        <v>1</v>
      </c>
    </row>
    <row r="274" spans="1:17" x14ac:dyDescent="0.3">
      <c r="A274">
        <v>272</v>
      </c>
      <c r="B274">
        <v>30</v>
      </c>
      <c r="C274">
        <v>67</v>
      </c>
      <c r="D274">
        <v>1989</v>
      </c>
      <c r="E274">
        <v>8</v>
      </c>
      <c r="F274" t="str">
        <f t="shared" si="13"/>
        <v>26-35</v>
      </c>
      <c r="G274" t="s">
        <v>14</v>
      </c>
      <c r="H274" t="s">
        <v>1317</v>
      </c>
      <c r="I274">
        <v>39.79</v>
      </c>
      <c r="J274">
        <v>-75.14</v>
      </c>
      <c r="K274" t="s">
        <v>1318</v>
      </c>
      <c r="L274" s="4">
        <v>53407</v>
      </c>
      <c r="M274" s="4">
        <v>125586</v>
      </c>
      <c r="N274" s="11">
        <f t="shared" si="12"/>
        <v>2.3514895051210516</v>
      </c>
      <c r="O274">
        <v>767</v>
      </c>
      <c r="P274" t="str">
        <f t="shared" si="14"/>
        <v>Very Good</v>
      </c>
      <c r="Q274">
        <v>3</v>
      </c>
    </row>
    <row r="275" spans="1:17" x14ac:dyDescent="0.3">
      <c r="A275">
        <v>273</v>
      </c>
      <c r="B275">
        <v>42</v>
      </c>
      <c r="C275">
        <v>72</v>
      </c>
      <c r="D275">
        <v>1977</v>
      </c>
      <c r="E275">
        <v>4</v>
      </c>
      <c r="F275" t="str">
        <f t="shared" si="13"/>
        <v>36-50</v>
      </c>
      <c r="G275" t="s">
        <v>14</v>
      </c>
      <c r="H275" t="s">
        <v>592</v>
      </c>
      <c r="I275">
        <v>41.16</v>
      </c>
      <c r="J275">
        <v>-80.56</v>
      </c>
      <c r="K275" t="s">
        <v>593</v>
      </c>
      <c r="L275" s="4">
        <v>37415</v>
      </c>
      <c r="M275" s="4">
        <v>66403</v>
      </c>
      <c r="N275" s="11">
        <f t="shared" si="12"/>
        <v>1.7747694774822933</v>
      </c>
      <c r="O275">
        <v>665</v>
      </c>
      <c r="P275" t="str">
        <f t="shared" si="14"/>
        <v>Fair</v>
      </c>
      <c r="Q275">
        <v>1</v>
      </c>
    </row>
    <row r="276" spans="1:17" x14ac:dyDescent="0.3">
      <c r="A276">
        <v>274</v>
      </c>
      <c r="B276">
        <v>43</v>
      </c>
      <c r="C276">
        <v>67</v>
      </c>
      <c r="D276">
        <v>1976</v>
      </c>
      <c r="E276">
        <v>4</v>
      </c>
      <c r="F276" t="str">
        <f t="shared" si="13"/>
        <v>36-50</v>
      </c>
      <c r="G276" t="s">
        <v>14</v>
      </c>
      <c r="H276" t="s">
        <v>1083</v>
      </c>
      <c r="I276">
        <v>38.89</v>
      </c>
      <c r="J276">
        <v>-77.03</v>
      </c>
      <c r="K276" t="s">
        <v>1084</v>
      </c>
      <c r="L276" s="4">
        <v>48810</v>
      </c>
      <c r="M276" s="4">
        <v>0</v>
      </c>
      <c r="N276" s="11">
        <f t="shared" si="12"/>
        <v>0</v>
      </c>
      <c r="O276">
        <v>799</v>
      </c>
      <c r="P276" t="str">
        <f t="shared" si="14"/>
        <v>Very Good</v>
      </c>
      <c r="Q276">
        <v>3</v>
      </c>
    </row>
    <row r="277" spans="1:17" x14ac:dyDescent="0.3">
      <c r="A277">
        <v>275</v>
      </c>
      <c r="B277">
        <v>43</v>
      </c>
      <c r="C277">
        <v>58</v>
      </c>
      <c r="D277">
        <v>1977</v>
      </c>
      <c r="E277">
        <v>2</v>
      </c>
      <c r="F277" t="str">
        <f t="shared" si="13"/>
        <v>36-50</v>
      </c>
      <c r="G277" t="s">
        <v>14</v>
      </c>
      <c r="H277" t="s">
        <v>1261</v>
      </c>
      <c r="I277">
        <v>29.56</v>
      </c>
      <c r="J277">
        <v>-95.02</v>
      </c>
      <c r="K277" t="s">
        <v>594</v>
      </c>
      <c r="L277" s="4">
        <v>76288</v>
      </c>
      <c r="M277" s="4">
        <v>120771</v>
      </c>
      <c r="N277" s="11">
        <f t="shared" si="12"/>
        <v>1.5830930159395973</v>
      </c>
      <c r="O277">
        <v>710</v>
      </c>
      <c r="P277" t="str">
        <f t="shared" si="14"/>
        <v>Good</v>
      </c>
      <c r="Q277">
        <v>4</v>
      </c>
    </row>
    <row r="278" spans="1:17" x14ac:dyDescent="0.3">
      <c r="A278">
        <v>276</v>
      </c>
      <c r="B278">
        <v>25</v>
      </c>
      <c r="C278">
        <v>70</v>
      </c>
      <c r="D278">
        <v>1995</v>
      </c>
      <c r="E278">
        <v>1</v>
      </c>
      <c r="F278" t="str">
        <f t="shared" si="13"/>
        <v>18-25</v>
      </c>
      <c r="G278" t="s">
        <v>19</v>
      </c>
      <c r="H278" t="s">
        <v>390</v>
      </c>
      <c r="I278">
        <v>27.53</v>
      </c>
      <c r="J278">
        <v>-99.48</v>
      </c>
      <c r="K278" t="s">
        <v>391</v>
      </c>
      <c r="L278" s="4">
        <v>21666</v>
      </c>
      <c r="M278" s="4">
        <v>38058</v>
      </c>
      <c r="N278" s="11">
        <f t="shared" si="12"/>
        <v>1.7565771254500138</v>
      </c>
      <c r="O278">
        <v>610</v>
      </c>
      <c r="P278" t="str">
        <f t="shared" si="14"/>
        <v>Fair</v>
      </c>
      <c r="Q278">
        <v>2</v>
      </c>
    </row>
    <row r="279" spans="1:17" x14ac:dyDescent="0.3">
      <c r="A279">
        <v>277</v>
      </c>
      <c r="B279">
        <v>46</v>
      </c>
      <c r="C279">
        <v>68</v>
      </c>
      <c r="D279">
        <v>1974</v>
      </c>
      <c r="E279">
        <v>2</v>
      </c>
      <c r="F279" t="str">
        <f t="shared" si="13"/>
        <v>36-50</v>
      </c>
      <c r="G279" t="s">
        <v>19</v>
      </c>
      <c r="H279" t="s">
        <v>1581</v>
      </c>
      <c r="I279">
        <v>33.770000000000003</v>
      </c>
      <c r="J279">
        <v>-89.81</v>
      </c>
      <c r="K279" t="s">
        <v>1582</v>
      </c>
      <c r="L279" s="4">
        <v>31739</v>
      </c>
      <c r="M279" s="4">
        <v>81905</v>
      </c>
      <c r="N279" s="11">
        <f t="shared" si="12"/>
        <v>2.5805790982702668</v>
      </c>
      <c r="O279">
        <v>799</v>
      </c>
      <c r="P279" t="str">
        <f t="shared" si="14"/>
        <v>Very Good</v>
      </c>
      <c r="Q279">
        <v>5</v>
      </c>
    </row>
    <row r="280" spans="1:17" x14ac:dyDescent="0.3">
      <c r="A280">
        <v>278</v>
      </c>
      <c r="B280">
        <v>59</v>
      </c>
      <c r="C280">
        <v>66</v>
      </c>
      <c r="D280">
        <v>1960</v>
      </c>
      <c r="E280">
        <v>9</v>
      </c>
      <c r="F280" t="str">
        <f t="shared" si="13"/>
        <v>51-60</v>
      </c>
      <c r="G280" t="s">
        <v>19</v>
      </c>
      <c r="H280" t="s">
        <v>1760</v>
      </c>
      <c r="I280">
        <v>29.76</v>
      </c>
      <c r="J280">
        <v>-95.38</v>
      </c>
      <c r="K280" t="s">
        <v>76</v>
      </c>
      <c r="L280" s="4">
        <v>193768</v>
      </c>
      <c r="M280" s="4">
        <v>150896</v>
      </c>
      <c r="N280" s="11">
        <f t="shared" si="12"/>
        <v>0.77874571652698077</v>
      </c>
      <c r="O280">
        <v>686</v>
      </c>
      <c r="P280" t="str">
        <f t="shared" si="14"/>
        <v>Good</v>
      </c>
      <c r="Q280">
        <v>5</v>
      </c>
    </row>
    <row r="281" spans="1:17" x14ac:dyDescent="0.3">
      <c r="A281">
        <v>279</v>
      </c>
      <c r="B281">
        <v>25</v>
      </c>
      <c r="C281">
        <v>64</v>
      </c>
      <c r="D281">
        <v>1995</v>
      </c>
      <c r="E281">
        <v>2</v>
      </c>
      <c r="F281" t="str">
        <f t="shared" si="13"/>
        <v>18-25</v>
      </c>
      <c r="G281" t="s">
        <v>14</v>
      </c>
      <c r="H281" t="s">
        <v>1546</v>
      </c>
      <c r="I281">
        <v>27.95</v>
      </c>
      <c r="J281">
        <v>-82.48</v>
      </c>
      <c r="K281" t="s">
        <v>1547</v>
      </c>
      <c r="L281" s="4">
        <v>69572</v>
      </c>
      <c r="M281" s="4">
        <v>137845</v>
      </c>
      <c r="N281" s="11">
        <f t="shared" si="12"/>
        <v>1.9813286954521934</v>
      </c>
      <c r="O281">
        <v>753</v>
      </c>
      <c r="P281" t="str">
        <f t="shared" si="14"/>
        <v>Very Good</v>
      </c>
      <c r="Q281">
        <v>2</v>
      </c>
    </row>
    <row r="282" spans="1:17" x14ac:dyDescent="0.3">
      <c r="A282">
        <v>280</v>
      </c>
      <c r="B282">
        <v>40</v>
      </c>
      <c r="C282">
        <v>66</v>
      </c>
      <c r="D282">
        <v>1979</v>
      </c>
      <c r="E282">
        <v>10</v>
      </c>
      <c r="F282" t="str">
        <f t="shared" si="13"/>
        <v>36-50</v>
      </c>
      <c r="G282" t="s">
        <v>14</v>
      </c>
      <c r="H282" t="s">
        <v>434</v>
      </c>
      <c r="I282">
        <v>37.92</v>
      </c>
      <c r="J282">
        <v>-122.34</v>
      </c>
      <c r="K282" t="s">
        <v>435</v>
      </c>
      <c r="L282" s="4">
        <v>44585</v>
      </c>
      <c r="M282" s="4">
        <v>81825</v>
      </c>
      <c r="N282" s="11">
        <f t="shared" si="12"/>
        <v>1.8352584950095323</v>
      </c>
      <c r="O282">
        <v>684</v>
      </c>
      <c r="P282" t="str">
        <f t="shared" si="14"/>
        <v>Good</v>
      </c>
      <c r="Q282">
        <v>5</v>
      </c>
    </row>
    <row r="283" spans="1:17" x14ac:dyDescent="0.3">
      <c r="A283">
        <v>281</v>
      </c>
      <c r="B283">
        <v>24</v>
      </c>
      <c r="C283">
        <v>65</v>
      </c>
      <c r="D283">
        <v>1996</v>
      </c>
      <c r="E283">
        <v>2</v>
      </c>
      <c r="F283" t="str">
        <f t="shared" si="13"/>
        <v>18-25</v>
      </c>
      <c r="G283" t="s">
        <v>19</v>
      </c>
      <c r="H283" t="s">
        <v>1905</v>
      </c>
      <c r="I283">
        <v>41.15</v>
      </c>
      <c r="J283">
        <v>-81.239999999999995</v>
      </c>
      <c r="K283" t="s">
        <v>1906</v>
      </c>
      <c r="L283" s="4">
        <v>38549</v>
      </c>
      <c r="M283" s="4">
        <v>35691</v>
      </c>
      <c r="N283" s="11">
        <f t="shared" si="12"/>
        <v>0.92586059301149182</v>
      </c>
      <c r="O283">
        <v>684</v>
      </c>
      <c r="P283" t="str">
        <f t="shared" si="14"/>
        <v>Good</v>
      </c>
      <c r="Q283">
        <v>2</v>
      </c>
    </row>
    <row r="284" spans="1:17" x14ac:dyDescent="0.3">
      <c r="A284">
        <v>282</v>
      </c>
      <c r="B284">
        <v>42</v>
      </c>
      <c r="C284">
        <v>66</v>
      </c>
      <c r="D284">
        <v>1977</v>
      </c>
      <c r="E284">
        <v>5</v>
      </c>
      <c r="F284" t="str">
        <f t="shared" si="13"/>
        <v>36-50</v>
      </c>
      <c r="G284" t="s">
        <v>19</v>
      </c>
      <c r="H284" t="s">
        <v>1014</v>
      </c>
      <c r="I284">
        <v>29.45</v>
      </c>
      <c r="J284">
        <v>-98.5</v>
      </c>
      <c r="K284" t="s">
        <v>1015</v>
      </c>
      <c r="L284" s="4">
        <v>25585</v>
      </c>
      <c r="M284" s="4">
        <v>59827</v>
      </c>
      <c r="N284" s="11">
        <f t="shared" si="12"/>
        <v>2.3383623216728551</v>
      </c>
      <c r="O284">
        <v>702</v>
      </c>
      <c r="P284" t="str">
        <f t="shared" si="14"/>
        <v>Good</v>
      </c>
      <c r="Q284">
        <v>4</v>
      </c>
    </row>
    <row r="285" spans="1:17" x14ac:dyDescent="0.3">
      <c r="A285">
        <v>283</v>
      </c>
      <c r="B285">
        <v>19</v>
      </c>
      <c r="C285">
        <v>69</v>
      </c>
      <c r="D285">
        <v>2000</v>
      </c>
      <c r="E285">
        <v>11</v>
      </c>
      <c r="F285" t="str">
        <f t="shared" si="13"/>
        <v>18-25</v>
      </c>
      <c r="G285" t="s">
        <v>19</v>
      </c>
      <c r="H285" t="s">
        <v>333</v>
      </c>
      <c r="I285">
        <v>40.75</v>
      </c>
      <c r="J285">
        <v>-103.06</v>
      </c>
      <c r="K285" t="s">
        <v>334</v>
      </c>
      <c r="L285" s="4">
        <v>30710</v>
      </c>
      <c r="M285" s="4">
        <v>30956</v>
      </c>
      <c r="N285" s="11">
        <f t="shared" si="12"/>
        <v>1.0080104200586129</v>
      </c>
      <c r="O285">
        <v>680</v>
      </c>
      <c r="P285" t="str">
        <f t="shared" si="14"/>
        <v>Good</v>
      </c>
      <c r="Q285">
        <v>2</v>
      </c>
    </row>
    <row r="286" spans="1:17" x14ac:dyDescent="0.3">
      <c r="A286">
        <v>284</v>
      </c>
      <c r="B286">
        <v>51</v>
      </c>
      <c r="C286">
        <v>65</v>
      </c>
      <c r="D286">
        <v>1968</v>
      </c>
      <c r="E286">
        <v>4</v>
      </c>
      <c r="F286" t="str">
        <f t="shared" si="13"/>
        <v>51-60</v>
      </c>
      <c r="G286" t="s">
        <v>19</v>
      </c>
      <c r="H286" t="s">
        <v>1263</v>
      </c>
      <c r="I286">
        <v>33.44</v>
      </c>
      <c r="J286">
        <v>-111.76</v>
      </c>
      <c r="K286" t="s">
        <v>1264</v>
      </c>
      <c r="L286" s="4">
        <v>50980</v>
      </c>
      <c r="M286" s="4">
        <v>0</v>
      </c>
      <c r="N286" s="11">
        <f t="shared" si="12"/>
        <v>0</v>
      </c>
      <c r="O286">
        <v>754</v>
      </c>
      <c r="P286" t="str">
        <f t="shared" si="14"/>
        <v>Very Good</v>
      </c>
      <c r="Q286">
        <v>4</v>
      </c>
    </row>
    <row r="287" spans="1:17" x14ac:dyDescent="0.3">
      <c r="A287">
        <v>285</v>
      </c>
      <c r="B287">
        <v>62</v>
      </c>
      <c r="C287">
        <v>69</v>
      </c>
      <c r="D287">
        <v>1957</v>
      </c>
      <c r="E287">
        <v>8</v>
      </c>
      <c r="F287" t="str">
        <f t="shared" si="13"/>
        <v>51-60</v>
      </c>
      <c r="G287" t="s">
        <v>19</v>
      </c>
      <c r="H287" t="s">
        <v>523</v>
      </c>
      <c r="I287">
        <v>36.950000000000003</v>
      </c>
      <c r="J287">
        <v>-121.72</v>
      </c>
      <c r="K287" t="s">
        <v>524</v>
      </c>
      <c r="L287" s="4">
        <v>34496</v>
      </c>
      <c r="M287" s="4">
        <v>33122</v>
      </c>
      <c r="N287" s="11">
        <f t="shared" si="12"/>
        <v>0.96016929499072357</v>
      </c>
      <c r="O287">
        <v>731</v>
      </c>
      <c r="P287" t="str">
        <f t="shared" si="14"/>
        <v>Good</v>
      </c>
      <c r="Q287">
        <v>5</v>
      </c>
    </row>
    <row r="288" spans="1:17" x14ac:dyDescent="0.3">
      <c r="A288">
        <v>286</v>
      </c>
      <c r="B288">
        <v>38</v>
      </c>
      <c r="C288">
        <v>69</v>
      </c>
      <c r="D288">
        <v>1981</v>
      </c>
      <c r="E288">
        <v>10</v>
      </c>
      <c r="F288" t="str">
        <f t="shared" si="13"/>
        <v>36-50</v>
      </c>
      <c r="G288" t="s">
        <v>19</v>
      </c>
      <c r="H288" t="s">
        <v>1238</v>
      </c>
      <c r="I288">
        <v>31.15</v>
      </c>
      <c r="J288">
        <v>-88.55</v>
      </c>
      <c r="K288" t="s">
        <v>1239</v>
      </c>
      <c r="L288" s="4">
        <v>38223</v>
      </c>
      <c r="M288" s="4">
        <v>30756</v>
      </c>
      <c r="N288" s="11">
        <f t="shared" si="12"/>
        <v>0.8046464170787222</v>
      </c>
      <c r="O288">
        <v>725</v>
      </c>
      <c r="P288" t="str">
        <f t="shared" si="14"/>
        <v>Good</v>
      </c>
      <c r="Q288">
        <v>4</v>
      </c>
    </row>
    <row r="289" spans="1:17" x14ac:dyDescent="0.3">
      <c r="A289">
        <v>287</v>
      </c>
      <c r="B289">
        <v>42</v>
      </c>
      <c r="C289">
        <v>73</v>
      </c>
      <c r="D289">
        <v>1977</v>
      </c>
      <c r="E289">
        <v>8</v>
      </c>
      <c r="F289" t="str">
        <f t="shared" si="13"/>
        <v>36-50</v>
      </c>
      <c r="G289" t="s">
        <v>14</v>
      </c>
      <c r="H289" t="s">
        <v>1564</v>
      </c>
      <c r="I289">
        <v>29.31</v>
      </c>
      <c r="J289">
        <v>-95.01</v>
      </c>
      <c r="K289" t="s">
        <v>804</v>
      </c>
      <c r="L289" s="4">
        <v>43181</v>
      </c>
      <c r="M289" s="4">
        <v>57199</v>
      </c>
      <c r="N289" s="11">
        <f t="shared" si="12"/>
        <v>1.3246335193719461</v>
      </c>
      <c r="O289">
        <v>710</v>
      </c>
      <c r="P289" t="str">
        <f t="shared" si="14"/>
        <v>Good</v>
      </c>
      <c r="Q289">
        <v>3</v>
      </c>
    </row>
    <row r="290" spans="1:17" x14ac:dyDescent="0.3">
      <c r="A290">
        <v>288</v>
      </c>
      <c r="B290">
        <v>45</v>
      </c>
      <c r="C290">
        <v>69</v>
      </c>
      <c r="D290">
        <v>1974</v>
      </c>
      <c r="E290">
        <v>5</v>
      </c>
      <c r="F290" t="str">
        <f t="shared" si="13"/>
        <v>36-50</v>
      </c>
      <c r="G290" t="s">
        <v>14</v>
      </c>
      <c r="H290" t="s">
        <v>543</v>
      </c>
      <c r="I290">
        <v>33.17</v>
      </c>
      <c r="J290">
        <v>-90.48</v>
      </c>
      <c r="K290" t="s">
        <v>544</v>
      </c>
      <c r="L290" s="4">
        <v>22249</v>
      </c>
      <c r="M290" s="4">
        <v>20420</v>
      </c>
      <c r="N290" s="11">
        <f t="shared" si="12"/>
        <v>0.91779405815991733</v>
      </c>
      <c r="O290">
        <v>789</v>
      </c>
      <c r="P290" t="str">
        <f t="shared" si="14"/>
        <v>Very Good</v>
      </c>
      <c r="Q290">
        <v>3</v>
      </c>
    </row>
    <row r="291" spans="1:17" x14ac:dyDescent="0.3">
      <c r="A291">
        <v>289</v>
      </c>
      <c r="B291">
        <v>22</v>
      </c>
      <c r="C291">
        <v>64</v>
      </c>
      <c r="D291">
        <v>1997</v>
      </c>
      <c r="E291">
        <v>12</v>
      </c>
      <c r="F291" t="str">
        <f t="shared" si="13"/>
        <v>18-25</v>
      </c>
      <c r="G291" t="s">
        <v>14</v>
      </c>
      <c r="H291" t="s">
        <v>1757</v>
      </c>
      <c r="I291">
        <v>29.76</v>
      </c>
      <c r="J291">
        <v>-95.38</v>
      </c>
      <c r="K291" t="s">
        <v>1758</v>
      </c>
      <c r="L291" s="4">
        <v>22876</v>
      </c>
      <c r="M291" s="4">
        <v>36157</v>
      </c>
      <c r="N291" s="11">
        <f t="shared" si="12"/>
        <v>1.580564784053156</v>
      </c>
      <c r="O291">
        <v>685</v>
      </c>
      <c r="P291" t="str">
        <f t="shared" si="14"/>
        <v>Good</v>
      </c>
      <c r="Q291">
        <v>2</v>
      </c>
    </row>
    <row r="292" spans="1:17" x14ac:dyDescent="0.3">
      <c r="A292">
        <v>290</v>
      </c>
      <c r="B292">
        <v>27</v>
      </c>
      <c r="C292">
        <v>66</v>
      </c>
      <c r="D292">
        <v>1992</v>
      </c>
      <c r="E292">
        <v>3</v>
      </c>
      <c r="F292" t="str">
        <f t="shared" si="13"/>
        <v>26-35</v>
      </c>
      <c r="G292" t="s">
        <v>14</v>
      </c>
      <c r="H292" t="s">
        <v>108</v>
      </c>
      <c r="I292">
        <v>42.4</v>
      </c>
      <c r="J292">
        <v>-83.6</v>
      </c>
      <c r="K292" t="s">
        <v>109</v>
      </c>
      <c r="L292" s="4">
        <v>100837</v>
      </c>
      <c r="M292" s="4">
        <v>61377</v>
      </c>
      <c r="N292" s="11">
        <f t="shared" si="12"/>
        <v>0.60867538701072033</v>
      </c>
      <c r="O292">
        <v>687</v>
      </c>
      <c r="P292" t="str">
        <f t="shared" si="14"/>
        <v>Good</v>
      </c>
      <c r="Q292">
        <v>2</v>
      </c>
    </row>
    <row r="293" spans="1:17" x14ac:dyDescent="0.3">
      <c r="A293">
        <v>291</v>
      </c>
      <c r="B293">
        <v>64</v>
      </c>
      <c r="C293">
        <v>66</v>
      </c>
      <c r="D293">
        <v>1956</v>
      </c>
      <c r="E293">
        <v>1</v>
      </c>
      <c r="F293" t="str">
        <f t="shared" si="13"/>
        <v>51-60</v>
      </c>
      <c r="G293" t="s">
        <v>14</v>
      </c>
      <c r="H293" t="s">
        <v>1899</v>
      </c>
      <c r="I293">
        <v>34.76</v>
      </c>
      <c r="J293">
        <v>-84.97</v>
      </c>
      <c r="K293" t="s">
        <v>747</v>
      </c>
      <c r="L293" s="4">
        <v>40407</v>
      </c>
      <c r="M293" s="4">
        <v>62695</v>
      </c>
      <c r="N293" s="11">
        <f t="shared" si="12"/>
        <v>1.5515875962085777</v>
      </c>
      <c r="O293">
        <v>793</v>
      </c>
      <c r="P293" t="str">
        <f t="shared" si="14"/>
        <v>Very Good</v>
      </c>
      <c r="Q293">
        <v>3</v>
      </c>
    </row>
    <row r="294" spans="1:17" x14ac:dyDescent="0.3">
      <c r="A294">
        <v>292</v>
      </c>
      <c r="B294">
        <v>23</v>
      </c>
      <c r="C294">
        <v>65</v>
      </c>
      <c r="D294">
        <v>1996</v>
      </c>
      <c r="E294">
        <v>9</v>
      </c>
      <c r="F294" t="str">
        <f t="shared" si="13"/>
        <v>18-25</v>
      </c>
      <c r="G294" t="s">
        <v>14</v>
      </c>
      <c r="H294" t="s">
        <v>862</v>
      </c>
      <c r="I294">
        <v>32.79</v>
      </c>
      <c r="J294">
        <v>-116.96</v>
      </c>
      <c r="K294" t="s">
        <v>863</v>
      </c>
      <c r="L294" s="4">
        <v>42711</v>
      </c>
      <c r="M294" s="4">
        <v>48493</v>
      </c>
      <c r="N294" s="11">
        <f t="shared" si="12"/>
        <v>1.1353749619535951</v>
      </c>
      <c r="O294">
        <v>717</v>
      </c>
      <c r="P294" t="str">
        <f t="shared" si="14"/>
        <v>Good</v>
      </c>
      <c r="Q294">
        <v>1</v>
      </c>
    </row>
    <row r="295" spans="1:17" x14ac:dyDescent="0.3">
      <c r="A295">
        <v>293</v>
      </c>
      <c r="B295">
        <v>32</v>
      </c>
      <c r="C295">
        <v>63</v>
      </c>
      <c r="D295">
        <v>1987</v>
      </c>
      <c r="E295">
        <v>8</v>
      </c>
      <c r="F295" t="str">
        <f t="shared" si="13"/>
        <v>26-35</v>
      </c>
      <c r="G295" t="s">
        <v>14</v>
      </c>
      <c r="H295" t="s">
        <v>1386</v>
      </c>
      <c r="I295">
        <v>35.22</v>
      </c>
      <c r="J295">
        <v>-97.34</v>
      </c>
      <c r="K295" t="s">
        <v>1387</v>
      </c>
      <c r="L295" s="4">
        <v>42084</v>
      </c>
      <c r="M295" s="4">
        <v>57760</v>
      </c>
      <c r="N295" s="11">
        <f t="shared" si="12"/>
        <v>1.3724931090200552</v>
      </c>
      <c r="O295">
        <v>661</v>
      </c>
      <c r="P295" t="str">
        <f t="shared" si="14"/>
        <v>Fair</v>
      </c>
      <c r="Q295">
        <v>5</v>
      </c>
    </row>
    <row r="296" spans="1:17" x14ac:dyDescent="0.3">
      <c r="A296">
        <v>294</v>
      </c>
      <c r="B296">
        <v>36</v>
      </c>
      <c r="C296">
        <v>59</v>
      </c>
      <c r="D296">
        <v>1983</v>
      </c>
      <c r="E296">
        <v>8</v>
      </c>
      <c r="F296" t="str">
        <f t="shared" si="13"/>
        <v>36-50</v>
      </c>
      <c r="G296" t="s">
        <v>19</v>
      </c>
      <c r="H296" t="s">
        <v>858</v>
      </c>
      <c r="I296">
        <v>33.83</v>
      </c>
      <c r="J296">
        <v>-83.89</v>
      </c>
      <c r="K296" t="s">
        <v>859</v>
      </c>
      <c r="L296" s="4">
        <v>43953</v>
      </c>
      <c r="M296" s="4">
        <v>76915</v>
      </c>
      <c r="N296" s="11">
        <f t="shared" si="12"/>
        <v>1.7499374331672468</v>
      </c>
      <c r="O296">
        <v>607</v>
      </c>
      <c r="P296" t="str">
        <f t="shared" si="14"/>
        <v>Fair</v>
      </c>
      <c r="Q296">
        <v>1</v>
      </c>
    </row>
    <row r="297" spans="1:17" x14ac:dyDescent="0.3">
      <c r="A297">
        <v>295</v>
      </c>
      <c r="B297">
        <v>53</v>
      </c>
      <c r="C297">
        <v>69</v>
      </c>
      <c r="D297">
        <v>1966</v>
      </c>
      <c r="E297">
        <v>11</v>
      </c>
      <c r="F297" t="str">
        <f t="shared" si="13"/>
        <v>51-60</v>
      </c>
      <c r="G297" t="s">
        <v>19</v>
      </c>
      <c r="H297" t="s">
        <v>1919</v>
      </c>
      <c r="I297">
        <v>40.79</v>
      </c>
      <c r="J297">
        <v>-90.16</v>
      </c>
      <c r="K297" t="s">
        <v>1920</v>
      </c>
      <c r="L297" s="4">
        <v>30054</v>
      </c>
      <c r="M297" s="4">
        <v>60128</v>
      </c>
      <c r="N297" s="11">
        <f t="shared" si="12"/>
        <v>2.0006654688227856</v>
      </c>
      <c r="O297">
        <v>681</v>
      </c>
      <c r="P297" t="str">
        <f t="shared" si="14"/>
        <v>Good</v>
      </c>
      <c r="Q297">
        <v>1</v>
      </c>
    </row>
    <row r="298" spans="1:17" x14ac:dyDescent="0.3">
      <c r="A298">
        <v>296</v>
      </c>
      <c r="B298">
        <v>48</v>
      </c>
      <c r="C298">
        <v>71</v>
      </c>
      <c r="D298">
        <v>1971</v>
      </c>
      <c r="E298">
        <v>3</v>
      </c>
      <c r="F298" t="str">
        <f t="shared" si="13"/>
        <v>36-50</v>
      </c>
      <c r="G298" t="s">
        <v>19</v>
      </c>
      <c r="H298" t="s">
        <v>553</v>
      </c>
      <c r="I298">
        <v>40.81</v>
      </c>
      <c r="J298">
        <v>-74.099999999999994</v>
      </c>
      <c r="K298" t="s">
        <v>554</v>
      </c>
      <c r="L298" s="4">
        <v>75785</v>
      </c>
      <c r="M298" s="4">
        <v>117920</v>
      </c>
      <c r="N298" s="11">
        <f t="shared" si="12"/>
        <v>1.5559807349739394</v>
      </c>
      <c r="O298">
        <v>814</v>
      </c>
      <c r="P298" t="str">
        <f t="shared" si="14"/>
        <v>Excellent</v>
      </c>
      <c r="Q298">
        <v>3</v>
      </c>
    </row>
    <row r="299" spans="1:17" x14ac:dyDescent="0.3">
      <c r="A299">
        <v>297</v>
      </c>
      <c r="B299">
        <v>20</v>
      </c>
      <c r="C299">
        <v>66</v>
      </c>
      <c r="D299">
        <v>1999</v>
      </c>
      <c r="E299">
        <v>9</v>
      </c>
      <c r="F299" t="str">
        <f t="shared" si="13"/>
        <v>18-25</v>
      </c>
      <c r="G299" t="s">
        <v>19</v>
      </c>
      <c r="H299" t="s">
        <v>584</v>
      </c>
      <c r="I299">
        <v>37.909999999999997</v>
      </c>
      <c r="J299">
        <v>-76.47</v>
      </c>
      <c r="K299" t="s">
        <v>585</v>
      </c>
      <c r="L299" s="4">
        <v>28421</v>
      </c>
      <c r="M299" s="4">
        <v>77772</v>
      </c>
      <c r="N299" s="11">
        <f t="shared" si="12"/>
        <v>2.736427289680166</v>
      </c>
      <c r="O299">
        <v>738</v>
      </c>
      <c r="P299" t="str">
        <f t="shared" si="14"/>
        <v>Good</v>
      </c>
      <c r="Q299">
        <v>1</v>
      </c>
    </row>
    <row r="300" spans="1:17" x14ac:dyDescent="0.3">
      <c r="A300">
        <v>298</v>
      </c>
      <c r="B300">
        <v>28</v>
      </c>
      <c r="C300">
        <v>65</v>
      </c>
      <c r="D300">
        <v>1991</v>
      </c>
      <c r="E300">
        <v>5</v>
      </c>
      <c r="F300" t="str">
        <f t="shared" si="13"/>
        <v>26-35</v>
      </c>
      <c r="G300" t="s">
        <v>19</v>
      </c>
      <c r="H300" t="s">
        <v>172</v>
      </c>
      <c r="I300">
        <v>40.79</v>
      </c>
      <c r="J300">
        <v>-77.849999999999994</v>
      </c>
      <c r="K300" t="s">
        <v>173</v>
      </c>
      <c r="L300" s="4">
        <v>51041</v>
      </c>
      <c r="M300" s="4">
        <v>106989</v>
      </c>
      <c r="N300" s="11">
        <f t="shared" si="12"/>
        <v>2.0961383985423483</v>
      </c>
      <c r="O300">
        <v>686</v>
      </c>
      <c r="P300" t="str">
        <f t="shared" si="14"/>
        <v>Good</v>
      </c>
      <c r="Q300">
        <v>1</v>
      </c>
    </row>
    <row r="301" spans="1:17" x14ac:dyDescent="0.3">
      <c r="A301">
        <v>299</v>
      </c>
      <c r="B301">
        <v>40</v>
      </c>
      <c r="C301">
        <v>61</v>
      </c>
      <c r="D301">
        <v>1979</v>
      </c>
      <c r="E301">
        <v>7</v>
      </c>
      <c r="F301" t="str">
        <f t="shared" si="13"/>
        <v>36-50</v>
      </c>
      <c r="G301" t="s">
        <v>19</v>
      </c>
      <c r="H301" t="s">
        <v>200</v>
      </c>
      <c r="I301">
        <v>40.840000000000003</v>
      </c>
      <c r="J301">
        <v>-73.87</v>
      </c>
      <c r="K301" t="s">
        <v>201</v>
      </c>
      <c r="L301" s="4">
        <v>28229</v>
      </c>
      <c r="M301" s="4">
        <v>55675</v>
      </c>
      <c r="N301" s="11">
        <f t="shared" si="12"/>
        <v>1.9722625668638634</v>
      </c>
      <c r="O301">
        <v>622</v>
      </c>
      <c r="P301" t="str">
        <f t="shared" si="14"/>
        <v>Fair</v>
      </c>
      <c r="Q301">
        <v>5</v>
      </c>
    </row>
    <row r="302" spans="1:17" x14ac:dyDescent="0.3">
      <c r="A302">
        <v>300</v>
      </c>
      <c r="B302">
        <v>40</v>
      </c>
      <c r="C302">
        <v>64</v>
      </c>
      <c r="D302">
        <v>1979</v>
      </c>
      <c r="E302">
        <v>12</v>
      </c>
      <c r="F302" t="str">
        <f t="shared" si="13"/>
        <v>36-50</v>
      </c>
      <c r="G302" t="s">
        <v>19</v>
      </c>
      <c r="H302" t="s">
        <v>1448</v>
      </c>
      <c r="I302">
        <v>41.36</v>
      </c>
      <c r="J302">
        <v>-73.2</v>
      </c>
      <c r="K302" t="s">
        <v>1449</v>
      </c>
      <c r="L302" s="4">
        <v>75711</v>
      </c>
      <c r="M302" s="4">
        <v>121251</v>
      </c>
      <c r="N302" s="11">
        <f t="shared" si="12"/>
        <v>1.6014978008479612</v>
      </c>
      <c r="O302">
        <v>750</v>
      </c>
      <c r="P302" t="str">
        <f t="shared" si="14"/>
        <v>Very Good</v>
      </c>
      <c r="Q302">
        <v>1</v>
      </c>
    </row>
    <row r="303" spans="1:17" x14ac:dyDescent="0.3">
      <c r="A303">
        <v>301</v>
      </c>
      <c r="B303">
        <v>47</v>
      </c>
      <c r="C303">
        <v>69</v>
      </c>
      <c r="D303">
        <v>1972</v>
      </c>
      <c r="E303">
        <v>11</v>
      </c>
      <c r="F303" t="str">
        <f t="shared" si="13"/>
        <v>36-50</v>
      </c>
      <c r="G303" t="s">
        <v>19</v>
      </c>
      <c r="H303" t="s">
        <v>202</v>
      </c>
      <c r="I303">
        <v>34.24</v>
      </c>
      <c r="J303">
        <v>-84.49</v>
      </c>
      <c r="K303" t="s">
        <v>203</v>
      </c>
      <c r="L303" s="4">
        <v>52308</v>
      </c>
      <c r="M303" s="4">
        <v>135319</v>
      </c>
      <c r="N303" s="11">
        <f t="shared" si="12"/>
        <v>2.5869656649078534</v>
      </c>
      <c r="O303">
        <v>679</v>
      </c>
      <c r="P303" t="str">
        <f t="shared" si="14"/>
        <v>Good</v>
      </c>
      <c r="Q303">
        <v>1</v>
      </c>
    </row>
    <row r="304" spans="1:17" x14ac:dyDescent="0.3">
      <c r="A304">
        <v>302</v>
      </c>
      <c r="B304">
        <v>27</v>
      </c>
      <c r="C304">
        <v>67</v>
      </c>
      <c r="D304">
        <v>1992</v>
      </c>
      <c r="E304">
        <v>8</v>
      </c>
      <c r="F304" t="str">
        <f t="shared" si="13"/>
        <v>26-35</v>
      </c>
      <c r="G304" t="s">
        <v>14</v>
      </c>
      <c r="H304" t="s">
        <v>902</v>
      </c>
      <c r="I304">
        <v>38.409999999999997</v>
      </c>
      <c r="J304">
        <v>-78.61</v>
      </c>
      <c r="K304" t="s">
        <v>903</v>
      </c>
      <c r="L304" s="4">
        <v>37384</v>
      </c>
      <c r="M304" s="4">
        <v>120327</v>
      </c>
      <c r="N304" s="11">
        <f t="shared" si="12"/>
        <v>3.2186764391183393</v>
      </c>
      <c r="O304">
        <v>706</v>
      </c>
      <c r="P304" t="str">
        <f t="shared" si="14"/>
        <v>Good</v>
      </c>
      <c r="Q304">
        <v>2</v>
      </c>
    </row>
    <row r="305" spans="1:17" x14ac:dyDescent="0.3">
      <c r="A305">
        <v>303</v>
      </c>
      <c r="B305">
        <v>94</v>
      </c>
      <c r="C305">
        <v>66</v>
      </c>
      <c r="D305">
        <v>1926</v>
      </c>
      <c r="E305">
        <v>1</v>
      </c>
      <c r="F305" t="str">
        <f t="shared" si="13"/>
        <v>65+</v>
      </c>
      <c r="G305" t="s">
        <v>19</v>
      </c>
      <c r="H305" t="s">
        <v>1457</v>
      </c>
      <c r="I305">
        <v>40.479999999999997</v>
      </c>
      <c r="J305">
        <v>-104.9</v>
      </c>
      <c r="K305" t="s">
        <v>1458</v>
      </c>
      <c r="L305" s="4">
        <v>60080</v>
      </c>
      <c r="M305" s="4">
        <v>1807</v>
      </c>
      <c r="N305" s="11">
        <f t="shared" si="12"/>
        <v>3.0076564580559254E-2</v>
      </c>
      <c r="O305">
        <v>690</v>
      </c>
      <c r="P305" t="str">
        <f t="shared" si="14"/>
        <v>Good</v>
      </c>
      <c r="Q305">
        <v>6</v>
      </c>
    </row>
    <row r="306" spans="1:17" x14ac:dyDescent="0.3">
      <c r="A306">
        <v>304</v>
      </c>
      <c r="B306">
        <v>31</v>
      </c>
      <c r="C306">
        <v>68</v>
      </c>
      <c r="D306">
        <v>1988</v>
      </c>
      <c r="E306">
        <v>8</v>
      </c>
      <c r="F306" t="str">
        <f t="shared" si="13"/>
        <v>26-35</v>
      </c>
      <c r="G306" t="s">
        <v>19</v>
      </c>
      <c r="H306" t="s">
        <v>1213</v>
      </c>
      <c r="I306">
        <v>41.14</v>
      </c>
      <c r="J306">
        <v>-104.79</v>
      </c>
      <c r="K306" t="s">
        <v>1214</v>
      </c>
      <c r="L306" s="4">
        <v>41297</v>
      </c>
      <c r="M306" s="4">
        <v>34703</v>
      </c>
      <c r="N306" s="11">
        <f t="shared" si="12"/>
        <v>0.84032738455577882</v>
      </c>
      <c r="O306">
        <v>685</v>
      </c>
      <c r="P306" t="str">
        <f t="shared" si="14"/>
        <v>Good</v>
      </c>
      <c r="Q306">
        <v>2</v>
      </c>
    </row>
    <row r="307" spans="1:17" x14ac:dyDescent="0.3">
      <c r="A307">
        <v>305</v>
      </c>
      <c r="B307">
        <v>51</v>
      </c>
      <c r="C307">
        <v>65</v>
      </c>
      <c r="D307">
        <v>1968</v>
      </c>
      <c r="E307">
        <v>10</v>
      </c>
      <c r="F307" t="str">
        <f t="shared" si="13"/>
        <v>51-60</v>
      </c>
      <c r="G307" t="s">
        <v>19</v>
      </c>
      <c r="H307" t="s">
        <v>1928</v>
      </c>
      <c r="I307">
        <v>44.37</v>
      </c>
      <c r="J307">
        <v>-73.400000000000006</v>
      </c>
      <c r="K307" t="s">
        <v>1929</v>
      </c>
      <c r="L307" s="4">
        <v>29388</v>
      </c>
      <c r="M307" s="4">
        <v>21221</v>
      </c>
      <c r="N307" s="11">
        <f t="shared" si="12"/>
        <v>0.72209745474343268</v>
      </c>
      <c r="O307">
        <v>755</v>
      </c>
      <c r="P307" t="str">
        <f t="shared" si="14"/>
        <v>Very Good</v>
      </c>
      <c r="Q307">
        <v>3</v>
      </c>
    </row>
    <row r="308" spans="1:17" x14ac:dyDescent="0.3">
      <c r="A308">
        <v>306</v>
      </c>
      <c r="B308">
        <v>18</v>
      </c>
      <c r="C308">
        <v>69</v>
      </c>
      <c r="D308">
        <v>2002</v>
      </c>
      <c r="E308">
        <v>1</v>
      </c>
      <c r="F308" t="str">
        <f t="shared" si="13"/>
        <v>18-25</v>
      </c>
      <c r="G308" t="s">
        <v>19</v>
      </c>
      <c r="H308" t="s">
        <v>174</v>
      </c>
      <c r="I308">
        <v>42.28</v>
      </c>
      <c r="J308">
        <v>-71.16</v>
      </c>
      <c r="K308" t="s">
        <v>175</v>
      </c>
      <c r="L308" s="4">
        <v>70380</v>
      </c>
      <c r="M308" s="4">
        <v>106797</v>
      </c>
      <c r="N308" s="11">
        <f t="shared" si="12"/>
        <v>1.5174339300937767</v>
      </c>
      <c r="O308">
        <v>725</v>
      </c>
      <c r="P308" t="str">
        <f t="shared" si="14"/>
        <v>Good</v>
      </c>
      <c r="Q308">
        <v>2</v>
      </c>
    </row>
    <row r="309" spans="1:17" x14ac:dyDescent="0.3">
      <c r="A309">
        <v>307</v>
      </c>
      <c r="B309">
        <v>18</v>
      </c>
      <c r="C309">
        <v>69</v>
      </c>
      <c r="D309">
        <v>2001</v>
      </c>
      <c r="E309">
        <v>8</v>
      </c>
      <c r="F309" t="str">
        <f t="shared" si="13"/>
        <v>18-25</v>
      </c>
      <c r="G309" t="s">
        <v>19</v>
      </c>
      <c r="H309" t="s">
        <v>114</v>
      </c>
      <c r="I309">
        <v>30.23</v>
      </c>
      <c r="J309">
        <v>-92.81</v>
      </c>
      <c r="K309" t="s">
        <v>115</v>
      </c>
      <c r="L309" s="4">
        <v>36866</v>
      </c>
      <c r="M309" s="4">
        <v>0</v>
      </c>
      <c r="N309" s="11">
        <f t="shared" si="12"/>
        <v>0</v>
      </c>
      <c r="O309">
        <v>680</v>
      </c>
      <c r="P309" t="str">
        <f t="shared" si="14"/>
        <v>Good</v>
      </c>
      <c r="Q309">
        <v>2</v>
      </c>
    </row>
    <row r="310" spans="1:17" x14ac:dyDescent="0.3">
      <c r="A310">
        <v>308</v>
      </c>
      <c r="B310">
        <v>44</v>
      </c>
      <c r="C310">
        <v>65</v>
      </c>
      <c r="D310">
        <v>1976</v>
      </c>
      <c r="E310">
        <v>1</v>
      </c>
      <c r="F310" t="str">
        <f t="shared" si="13"/>
        <v>36-50</v>
      </c>
      <c r="G310" t="s">
        <v>19</v>
      </c>
      <c r="H310" t="s">
        <v>516</v>
      </c>
      <c r="I310">
        <v>35.369999999999997</v>
      </c>
      <c r="J310">
        <v>-85.38</v>
      </c>
      <c r="K310" t="s">
        <v>374</v>
      </c>
      <c r="L310" s="4">
        <v>31015</v>
      </c>
      <c r="M310" s="4">
        <v>103094</v>
      </c>
      <c r="N310" s="11">
        <f t="shared" si="12"/>
        <v>3.3240045139448653</v>
      </c>
      <c r="O310">
        <v>737</v>
      </c>
      <c r="P310" t="str">
        <f t="shared" si="14"/>
        <v>Good</v>
      </c>
      <c r="Q310">
        <v>2</v>
      </c>
    </row>
    <row r="311" spans="1:17" x14ac:dyDescent="0.3">
      <c r="A311">
        <v>309</v>
      </c>
      <c r="B311">
        <v>28</v>
      </c>
      <c r="C311">
        <v>57</v>
      </c>
      <c r="D311">
        <v>1991</v>
      </c>
      <c r="E311">
        <v>8</v>
      </c>
      <c r="F311" t="str">
        <f t="shared" si="13"/>
        <v>26-35</v>
      </c>
      <c r="G311" t="s">
        <v>19</v>
      </c>
      <c r="H311" t="s">
        <v>36</v>
      </c>
      <c r="I311">
        <v>32.07</v>
      </c>
      <c r="J311">
        <v>-82.91</v>
      </c>
      <c r="K311" t="s">
        <v>37</v>
      </c>
      <c r="L311" s="4">
        <v>25122</v>
      </c>
      <c r="M311" s="4">
        <v>43205</v>
      </c>
      <c r="N311" s="11">
        <f t="shared" si="12"/>
        <v>1.7198073401799219</v>
      </c>
      <c r="O311">
        <v>819</v>
      </c>
      <c r="P311" t="str">
        <f t="shared" si="14"/>
        <v>Excellent</v>
      </c>
      <c r="Q311">
        <v>3</v>
      </c>
    </row>
    <row r="312" spans="1:17" x14ac:dyDescent="0.3">
      <c r="A312">
        <v>310</v>
      </c>
      <c r="B312">
        <v>26</v>
      </c>
      <c r="C312">
        <v>61</v>
      </c>
      <c r="D312">
        <v>1994</v>
      </c>
      <c r="E312">
        <v>2</v>
      </c>
      <c r="F312" t="str">
        <f t="shared" si="13"/>
        <v>26-35</v>
      </c>
      <c r="G312" t="s">
        <v>19</v>
      </c>
      <c r="H312" t="s">
        <v>555</v>
      </c>
      <c r="I312">
        <v>38.72</v>
      </c>
      <c r="J312">
        <v>-121</v>
      </c>
      <c r="K312" t="s">
        <v>556</v>
      </c>
      <c r="L312" s="4">
        <v>58435</v>
      </c>
      <c r="M312" s="4">
        <v>134789</v>
      </c>
      <c r="N312" s="11">
        <f t="shared" si="12"/>
        <v>2.3066484127663216</v>
      </c>
      <c r="O312">
        <v>666</v>
      </c>
      <c r="P312" t="str">
        <f t="shared" si="14"/>
        <v>Fair</v>
      </c>
      <c r="Q312">
        <v>2</v>
      </c>
    </row>
    <row r="313" spans="1:17" x14ac:dyDescent="0.3">
      <c r="A313">
        <v>311</v>
      </c>
      <c r="B313">
        <v>46</v>
      </c>
      <c r="C313">
        <v>68</v>
      </c>
      <c r="D313">
        <v>1973</v>
      </c>
      <c r="E313">
        <v>12</v>
      </c>
      <c r="F313" t="str">
        <f t="shared" si="13"/>
        <v>36-50</v>
      </c>
      <c r="G313" t="s">
        <v>14</v>
      </c>
      <c r="H313" t="s">
        <v>545</v>
      </c>
      <c r="I313">
        <v>37.18</v>
      </c>
      <c r="J313">
        <v>-113.6</v>
      </c>
      <c r="K313" t="s">
        <v>546</v>
      </c>
      <c r="L313" s="4">
        <v>29510</v>
      </c>
      <c r="M313" s="4">
        <v>47153</v>
      </c>
      <c r="N313" s="11">
        <f t="shared" si="12"/>
        <v>1.5978651304642495</v>
      </c>
      <c r="O313">
        <v>752</v>
      </c>
      <c r="P313" t="str">
        <f t="shared" si="14"/>
        <v>Very Good</v>
      </c>
      <c r="Q313">
        <v>4</v>
      </c>
    </row>
    <row r="314" spans="1:17" x14ac:dyDescent="0.3">
      <c r="A314">
        <v>312</v>
      </c>
      <c r="B314">
        <v>18</v>
      </c>
      <c r="C314">
        <v>68</v>
      </c>
      <c r="D314">
        <v>2002</v>
      </c>
      <c r="E314">
        <v>2</v>
      </c>
      <c r="F314" t="str">
        <f t="shared" si="13"/>
        <v>18-25</v>
      </c>
      <c r="G314" t="s">
        <v>14</v>
      </c>
      <c r="H314" t="s">
        <v>1959</v>
      </c>
      <c r="I314">
        <v>39.69</v>
      </c>
      <c r="J314">
        <v>-76.06</v>
      </c>
      <c r="K314" t="s">
        <v>1960</v>
      </c>
      <c r="L314" s="4">
        <v>47672</v>
      </c>
      <c r="M314" s="4">
        <v>115371</v>
      </c>
      <c r="N314" s="11">
        <f t="shared" si="12"/>
        <v>2.4200998489679475</v>
      </c>
      <c r="O314">
        <v>767</v>
      </c>
      <c r="P314" t="str">
        <f t="shared" si="14"/>
        <v>Very Good</v>
      </c>
      <c r="Q314">
        <v>4</v>
      </c>
    </row>
    <row r="315" spans="1:17" x14ac:dyDescent="0.3">
      <c r="A315">
        <v>313</v>
      </c>
      <c r="B315">
        <v>32</v>
      </c>
      <c r="C315">
        <v>68</v>
      </c>
      <c r="D315">
        <v>1987</v>
      </c>
      <c r="E315">
        <v>6</v>
      </c>
      <c r="F315" t="str">
        <f t="shared" si="13"/>
        <v>26-35</v>
      </c>
      <c r="G315" t="s">
        <v>14</v>
      </c>
      <c r="H315" t="s">
        <v>1881</v>
      </c>
      <c r="I315">
        <v>36.729999999999997</v>
      </c>
      <c r="J315">
        <v>-95.94</v>
      </c>
      <c r="K315" t="s">
        <v>1882</v>
      </c>
      <c r="L315" s="4">
        <v>33548</v>
      </c>
      <c r="M315" s="4">
        <v>31183</v>
      </c>
      <c r="N315" s="11">
        <f t="shared" si="12"/>
        <v>0.92950399427685704</v>
      </c>
      <c r="O315">
        <v>693</v>
      </c>
      <c r="P315" t="str">
        <f t="shared" si="14"/>
        <v>Good</v>
      </c>
      <c r="Q315">
        <v>2</v>
      </c>
    </row>
    <row r="316" spans="1:17" x14ac:dyDescent="0.3">
      <c r="A316">
        <v>314</v>
      </c>
      <c r="B316">
        <v>27</v>
      </c>
      <c r="C316">
        <v>66</v>
      </c>
      <c r="D316">
        <v>1992</v>
      </c>
      <c r="E316">
        <v>6</v>
      </c>
      <c r="F316" t="str">
        <f t="shared" si="13"/>
        <v>26-35</v>
      </c>
      <c r="G316" t="s">
        <v>19</v>
      </c>
      <c r="H316" t="s">
        <v>304</v>
      </c>
      <c r="I316">
        <v>39</v>
      </c>
      <c r="J316">
        <v>-77.400000000000006</v>
      </c>
      <c r="K316" t="s">
        <v>305</v>
      </c>
      <c r="L316" s="4">
        <v>57927</v>
      </c>
      <c r="M316" s="4">
        <v>87736</v>
      </c>
      <c r="N316" s="11">
        <f t="shared" si="12"/>
        <v>1.5145959569803373</v>
      </c>
      <c r="O316">
        <v>557</v>
      </c>
      <c r="P316" t="str">
        <f t="shared" si="14"/>
        <v>Poor</v>
      </c>
      <c r="Q316">
        <v>1</v>
      </c>
    </row>
    <row r="317" spans="1:17" x14ac:dyDescent="0.3">
      <c r="A317">
        <v>315</v>
      </c>
      <c r="B317">
        <v>54</v>
      </c>
      <c r="C317">
        <v>69</v>
      </c>
      <c r="D317">
        <v>1966</v>
      </c>
      <c r="E317">
        <v>1</v>
      </c>
      <c r="F317" t="str">
        <f t="shared" si="13"/>
        <v>51-60</v>
      </c>
      <c r="G317" t="s">
        <v>19</v>
      </c>
      <c r="H317" t="s">
        <v>1721</v>
      </c>
      <c r="I317">
        <v>40.78</v>
      </c>
      <c r="J317">
        <v>-81.52</v>
      </c>
      <c r="K317" t="s">
        <v>933</v>
      </c>
      <c r="L317" s="4">
        <v>42379</v>
      </c>
      <c r="M317" s="4">
        <v>136748</v>
      </c>
      <c r="N317" s="11">
        <f t="shared" si="12"/>
        <v>3.2267868519785745</v>
      </c>
      <c r="O317">
        <v>692</v>
      </c>
      <c r="P317" t="str">
        <f t="shared" si="14"/>
        <v>Good</v>
      </c>
      <c r="Q317">
        <v>3</v>
      </c>
    </row>
    <row r="318" spans="1:17" x14ac:dyDescent="0.3">
      <c r="A318">
        <v>316</v>
      </c>
      <c r="B318">
        <v>36</v>
      </c>
      <c r="C318">
        <v>69</v>
      </c>
      <c r="D318">
        <v>1983</v>
      </c>
      <c r="E318">
        <v>8</v>
      </c>
      <c r="F318" t="str">
        <f t="shared" si="13"/>
        <v>36-50</v>
      </c>
      <c r="G318" t="s">
        <v>19</v>
      </c>
      <c r="H318" t="s">
        <v>629</v>
      </c>
      <c r="I318">
        <v>29.76</v>
      </c>
      <c r="J318">
        <v>-95.38</v>
      </c>
      <c r="K318" t="s">
        <v>630</v>
      </c>
      <c r="L318" s="4">
        <v>39871</v>
      </c>
      <c r="M318" s="4">
        <v>73726</v>
      </c>
      <c r="N318" s="11">
        <f t="shared" si="12"/>
        <v>1.8491133906849591</v>
      </c>
      <c r="O318">
        <v>719</v>
      </c>
      <c r="P318" t="str">
        <f t="shared" si="14"/>
        <v>Good</v>
      </c>
      <c r="Q318">
        <v>4</v>
      </c>
    </row>
    <row r="319" spans="1:17" x14ac:dyDescent="0.3">
      <c r="A319">
        <v>317</v>
      </c>
      <c r="B319">
        <v>67</v>
      </c>
      <c r="C319">
        <v>65</v>
      </c>
      <c r="D319">
        <v>1952</v>
      </c>
      <c r="E319">
        <v>3</v>
      </c>
      <c r="F319" t="str">
        <f t="shared" si="13"/>
        <v>65+</v>
      </c>
      <c r="G319" t="s">
        <v>14</v>
      </c>
      <c r="H319" t="s">
        <v>996</v>
      </c>
      <c r="I319">
        <v>39.74</v>
      </c>
      <c r="J319">
        <v>-121.6</v>
      </c>
      <c r="K319" t="s">
        <v>997</v>
      </c>
      <c r="L319" s="4">
        <v>19199</v>
      </c>
      <c r="M319" s="4">
        <v>15091</v>
      </c>
      <c r="N319" s="11">
        <f t="shared" si="12"/>
        <v>0.78603052242304283</v>
      </c>
      <c r="O319">
        <v>715</v>
      </c>
      <c r="P319" t="str">
        <f t="shared" si="14"/>
        <v>Good</v>
      </c>
      <c r="Q319">
        <v>3</v>
      </c>
    </row>
    <row r="320" spans="1:17" x14ac:dyDescent="0.3">
      <c r="A320">
        <v>318</v>
      </c>
      <c r="B320">
        <v>62</v>
      </c>
      <c r="C320">
        <v>67</v>
      </c>
      <c r="D320">
        <v>1957</v>
      </c>
      <c r="E320">
        <v>5</v>
      </c>
      <c r="F320" t="str">
        <f t="shared" si="13"/>
        <v>51-60</v>
      </c>
      <c r="G320" t="s">
        <v>19</v>
      </c>
      <c r="H320" t="s">
        <v>889</v>
      </c>
      <c r="I320">
        <v>34.5</v>
      </c>
      <c r="J320">
        <v>-118.01</v>
      </c>
      <c r="K320" t="s">
        <v>890</v>
      </c>
      <c r="L320" s="4">
        <v>36911</v>
      </c>
      <c r="M320" s="4">
        <v>93367</v>
      </c>
      <c r="N320" s="11">
        <f t="shared" si="12"/>
        <v>2.5295169461678091</v>
      </c>
      <c r="O320">
        <v>724</v>
      </c>
      <c r="P320" t="str">
        <f t="shared" si="14"/>
        <v>Good</v>
      </c>
      <c r="Q320">
        <v>4</v>
      </c>
    </row>
    <row r="321" spans="1:17" x14ac:dyDescent="0.3">
      <c r="A321">
        <v>319</v>
      </c>
      <c r="B321">
        <v>67</v>
      </c>
      <c r="C321">
        <v>67</v>
      </c>
      <c r="D321">
        <v>1952</v>
      </c>
      <c r="E321">
        <v>12</v>
      </c>
      <c r="F321" t="str">
        <f t="shared" si="13"/>
        <v>65+</v>
      </c>
      <c r="G321" t="s">
        <v>19</v>
      </c>
      <c r="H321" t="s">
        <v>1087</v>
      </c>
      <c r="I321">
        <v>36.75</v>
      </c>
      <c r="J321">
        <v>-119.67</v>
      </c>
      <c r="K321" t="s">
        <v>1088</v>
      </c>
      <c r="L321" s="4">
        <v>28357</v>
      </c>
      <c r="M321" s="4">
        <v>10400</v>
      </c>
      <c r="N321" s="11">
        <f t="shared" si="12"/>
        <v>0.36675247734245514</v>
      </c>
      <c r="O321">
        <v>628</v>
      </c>
      <c r="P321" t="str">
        <f t="shared" si="14"/>
        <v>Fair</v>
      </c>
      <c r="Q321">
        <v>2</v>
      </c>
    </row>
    <row r="322" spans="1:17" x14ac:dyDescent="0.3">
      <c r="A322">
        <v>320</v>
      </c>
      <c r="B322">
        <v>34</v>
      </c>
      <c r="C322">
        <v>75</v>
      </c>
      <c r="D322">
        <v>1985</v>
      </c>
      <c r="E322">
        <v>8</v>
      </c>
      <c r="F322" t="str">
        <f t="shared" si="13"/>
        <v>26-35</v>
      </c>
      <c r="G322" t="s">
        <v>19</v>
      </c>
      <c r="H322" t="s">
        <v>731</v>
      </c>
      <c r="I322">
        <v>32.22</v>
      </c>
      <c r="J322">
        <v>-110.82</v>
      </c>
      <c r="K322" t="s">
        <v>732</v>
      </c>
      <c r="L322" s="4">
        <v>35641</v>
      </c>
      <c r="M322" s="4">
        <v>64419</v>
      </c>
      <c r="N322" s="11">
        <f t="shared" ref="N322:N385" si="15">(M322/L322)</f>
        <v>1.8074408686624954</v>
      </c>
      <c r="O322">
        <v>625</v>
      </c>
      <c r="P322" t="str">
        <f t="shared" si="14"/>
        <v>Fair</v>
      </c>
      <c r="Q322">
        <v>2</v>
      </c>
    </row>
    <row r="323" spans="1:17" x14ac:dyDescent="0.3">
      <c r="A323">
        <v>321</v>
      </c>
      <c r="B323">
        <v>52</v>
      </c>
      <c r="C323">
        <v>67</v>
      </c>
      <c r="D323">
        <v>1967</v>
      </c>
      <c r="E323">
        <v>5</v>
      </c>
      <c r="F323" t="str">
        <f t="shared" ref="F323:F386" si="16">IF(B323&lt;26,"18-25",
   IF(B323&lt;36,"26-35",
   IF(B323&lt;51,"36-50",
   IF(B323&lt;66,"51-60","65+"))))</f>
        <v>51-60</v>
      </c>
      <c r="G323" t="s">
        <v>19</v>
      </c>
      <c r="H323" t="s">
        <v>1196</v>
      </c>
      <c r="I323">
        <v>45.18</v>
      </c>
      <c r="J323">
        <v>-89.7</v>
      </c>
      <c r="K323" t="s">
        <v>1197</v>
      </c>
      <c r="L323" s="4">
        <v>40177</v>
      </c>
      <c r="M323" s="4">
        <v>47012</v>
      </c>
      <c r="N323" s="11">
        <f t="shared" si="15"/>
        <v>1.170122209224183</v>
      </c>
      <c r="O323">
        <v>698</v>
      </c>
      <c r="P323" t="str">
        <f t="shared" ref="P323:P386" si="17">IF(O323&lt;580,"Poor",
   IF(O323&lt;670,"Fair",
   IF(O323&lt;740,"Good",
   IF(O323&lt;800,"Very Good","Excellent"))))</f>
        <v>Good</v>
      </c>
      <c r="Q323">
        <v>4</v>
      </c>
    </row>
    <row r="324" spans="1:17" x14ac:dyDescent="0.3">
      <c r="A324">
        <v>322</v>
      </c>
      <c r="B324">
        <v>47</v>
      </c>
      <c r="C324">
        <v>65</v>
      </c>
      <c r="D324">
        <v>1972</v>
      </c>
      <c r="E324">
        <v>10</v>
      </c>
      <c r="F324" t="str">
        <f t="shared" si="16"/>
        <v>36-50</v>
      </c>
      <c r="G324" t="s">
        <v>19</v>
      </c>
      <c r="H324" t="s">
        <v>67</v>
      </c>
      <c r="I324">
        <v>31.22</v>
      </c>
      <c r="J324">
        <v>-84.21</v>
      </c>
      <c r="K324" t="s">
        <v>68</v>
      </c>
      <c r="L324" s="4">
        <v>28055</v>
      </c>
      <c r="M324" s="4">
        <v>12475</v>
      </c>
      <c r="N324" s="11">
        <f t="shared" si="15"/>
        <v>0.44466227054001067</v>
      </c>
      <c r="O324">
        <v>829</v>
      </c>
      <c r="P324" t="str">
        <f t="shared" si="17"/>
        <v>Excellent</v>
      </c>
      <c r="Q324">
        <v>3</v>
      </c>
    </row>
    <row r="325" spans="1:17" x14ac:dyDescent="0.3">
      <c r="A325">
        <v>323</v>
      </c>
      <c r="B325">
        <v>54</v>
      </c>
      <c r="C325">
        <v>66</v>
      </c>
      <c r="D325">
        <v>1965</v>
      </c>
      <c r="E325">
        <v>7</v>
      </c>
      <c r="F325" t="str">
        <f t="shared" si="16"/>
        <v>51-60</v>
      </c>
      <c r="G325" t="s">
        <v>19</v>
      </c>
      <c r="H325" t="s">
        <v>1937</v>
      </c>
      <c r="I325">
        <v>36.6</v>
      </c>
      <c r="J325">
        <v>-119.75</v>
      </c>
      <c r="K325" t="s">
        <v>1938</v>
      </c>
      <c r="L325" s="4">
        <v>26696</v>
      </c>
      <c r="M325" s="4">
        <v>0</v>
      </c>
      <c r="N325" s="11">
        <f t="shared" si="15"/>
        <v>0</v>
      </c>
      <c r="O325">
        <v>683</v>
      </c>
      <c r="P325" t="str">
        <f t="shared" si="17"/>
        <v>Good</v>
      </c>
      <c r="Q325">
        <v>5</v>
      </c>
    </row>
    <row r="326" spans="1:17" x14ac:dyDescent="0.3">
      <c r="A326">
        <v>324</v>
      </c>
      <c r="B326">
        <v>21</v>
      </c>
      <c r="C326">
        <v>68</v>
      </c>
      <c r="D326">
        <v>1998</v>
      </c>
      <c r="E326">
        <v>7</v>
      </c>
      <c r="F326" t="str">
        <f t="shared" si="16"/>
        <v>18-25</v>
      </c>
      <c r="G326" t="s">
        <v>14</v>
      </c>
      <c r="H326" t="s">
        <v>970</v>
      </c>
      <c r="I326">
        <v>45.55</v>
      </c>
      <c r="J326">
        <v>-122.73</v>
      </c>
      <c r="K326" t="s">
        <v>971</v>
      </c>
      <c r="L326" s="4">
        <v>87372</v>
      </c>
      <c r="M326" s="4">
        <v>40547</v>
      </c>
      <c r="N326" s="11">
        <f t="shared" si="15"/>
        <v>0.46407315844893099</v>
      </c>
      <c r="O326">
        <v>792</v>
      </c>
      <c r="P326" t="str">
        <f t="shared" si="17"/>
        <v>Very Good</v>
      </c>
      <c r="Q326">
        <v>3</v>
      </c>
    </row>
    <row r="327" spans="1:17" x14ac:dyDescent="0.3">
      <c r="A327">
        <v>325</v>
      </c>
      <c r="B327">
        <v>45</v>
      </c>
      <c r="C327">
        <v>57</v>
      </c>
      <c r="D327">
        <v>1974</v>
      </c>
      <c r="E327">
        <v>11</v>
      </c>
      <c r="F327" t="str">
        <f t="shared" si="16"/>
        <v>36-50</v>
      </c>
      <c r="G327" t="s">
        <v>19</v>
      </c>
      <c r="H327" t="s">
        <v>1467</v>
      </c>
      <c r="I327">
        <v>35.22</v>
      </c>
      <c r="J327">
        <v>-92.38</v>
      </c>
      <c r="K327" t="s">
        <v>1468</v>
      </c>
      <c r="L327" s="4">
        <v>39942</v>
      </c>
      <c r="M327" s="4">
        <v>52441</v>
      </c>
      <c r="N327" s="11">
        <f t="shared" si="15"/>
        <v>1.31292874668269</v>
      </c>
      <c r="O327">
        <v>709</v>
      </c>
      <c r="P327" t="str">
        <f t="shared" si="17"/>
        <v>Good</v>
      </c>
      <c r="Q327">
        <v>4</v>
      </c>
    </row>
    <row r="328" spans="1:17" x14ac:dyDescent="0.3">
      <c r="A328">
        <v>326</v>
      </c>
      <c r="B328">
        <v>18</v>
      </c>
      <c r="C328">
        <v>61</v>
      </c>
      <c r="D328">
        <v>2001</v>
      </c>
      <c r="E328">
        <v>3</v>
      </c>
      <c r="F328" t="str">
        <f t="shared" si="16"/>
        <v>18-25</v>
      </c>
      <c r="G328" t="s">
        <v>19</v>
      </c>
      <c r="H328" t="s">
        <v>312</v>
      </c>
      <c r="I328">
        <v>40.26</v>
      </c>
      <c r="J328">
        <v>-80.180000000000007</v>
      </c>
      <c r="K328" t="s">
        <v>313</v>
      </c>
      <c r="L328" s="4">
        <v>61325</v>
      </c>
      <c r="M328" s="4">
        <v>83899</v>
      </c>
      <c r="N328" s="11">
        <f t="shared" si="15"/>
        <v>1.3681043620057074</v>
      </c>
      <c r="O328">
        <v>652</v>
      </c>
      <c r="P328" t="str">
        <f t="shared" si="17"/>
        <v>Fair</v>
      </c>
      <c r="Q328">
        <v>1</v>
      </c>
    </row>
    <row r="329" spans="1:17" x14ac:dyDescent="0.3">
      <c r="A329">
        <v>327</v>
      </c>
      <c r="B329">
        <v>44</v>
      </c>
      <c r="C329">
        <v>67</v>
      </c>
      <c r="D329">
        <v>1975</v>
      </c>
      <c r="E329">
        <v>7</v>
      </c>
      <c r="F329" t="str">
        <f t="shared" si="16"/>
        <v>36-50</v>
      </c>
      <c r="G329" t="s">
        <v>19</v>
      </c>
      <c r="H329" t="s">
        <v>1366</v>
      </c>
      <c r="I329">
        <v>44.41</v>
      </c>
      <c r="J329">
        <v>-71.97</v>
      </c>
      <c r="K329" t="s">
        <v>1367</v>
      </c>
      <c r="L329" s="4">
        <v>36843</v>
      </c>
      <c r="M329" s="4">
        <v>52248</v>
      </c>
      <c r="N329" s="11">
        <f t="shared" si="15"/>
        <v>1.4181255598078333</v>
      </c>
      <c r="O329">
        <v>772</v>
      </c>
      <c r="P329" t="str">
        <f t="shared" si="17"/>
        <v>Very Good</v>
      </c>
      <c r="Q329">
        <v>5</v>
      </c>
    </row>
    <row r="330" spans="1:17" x14ac:dyDescent="0.3">
      <c r="A330">
        <v>328</v>
      </c>
      <c r="B330">
        <v>45</v>
      </c>
      <c r="C330">
        <v>67</v>
      </c>
      <c r="D330">
        <v>1974</v>
      </c>
      <c r="E330">
        <v>3</v>
      </c>
      <c r="F330" t="str">
        <f t="shared" si="16"/>
        <v>36-50</v>
      </c>
      <c r="G330" t="s">
        <v>19</v>
      </c>
      <c r="H330" t="s">
        <v>1804</v>
      </c>
      <c r="I330">
        <v>35.19</v>
      </c>
      <c r="J330">
        <v>-80.83</v>
      </c>
      <c r="K330" t="s">
        <v>1805</v>
      </c>
      <c r="L330" s="4">
        <v>36323</v>
      </c>
      <c r="M330" s="4">
        <v>65525</v>
      </c>
      <c r="N330" s="11">
        <f t="shared" si="15"/>
        <v>1.8039534179445531</v>
      </c>
      <c r="O330">
        <v>700</v>
      </c>
      <c r="P330" t="str">
        <f t="shared" si="17"/>
        <v>Good</v>
      </c>
      <c r="Q330">
        <v>3</v>
      </c>
    </row>
    <row r="331" spans="1:17" x14ac:dyDescent="0.3">
      <c r="A331">
        <v>329</v>
      </c>
      <c r="B331">
        <v>70</v>
      </c>
      <c r="C331">
        <v>65</v>
      </c>
      <c r="D331">
        <v>1949</v>
      </c>
      <c r="E331">
        <v>3</v>
      </c>
      <c r="F331" t="str">
        <f t="shared" si="16"/>
        <v>65+</v>
      </c>
      <c r="G331" t="s">
        <v>19</v>
      </c>
      <c r="H331" t="s">
        <v>1819</v>
      </c>
      <c r="I331">
        <v>34.39</v>
      </c>
      <c r="J331">
        <v>-119.51</v>
      </c>
      <c r="K331" t="s">
        <v>1820</v>
      </c>
      <c r="L331" s="4">
        <v>36724</v>
      </c>
      <c r="M331" s="4">
        <v>16437</v>
      </c>
      <c r="N331" s="11">
        <f t="shared" si="15"/>
        <v>0.44758196274915585</v>
      </c>
      <c r="O331">
        <v>701</v>
      </c>
      <c r="P331" t="str">
        <f t="shared" si="17"/>
        <v>Good</v>
      </c>
      <c r="Q331">
        <v>4</v>
      </c>
    </row>
    <row r="332" spans="1:17" x14ac:dyDescent="0.3">
      <c r="A332">
        <v>330</v>
      </c>
      <c r="B332">
        <v>36</v>
      </c>
      <c r="C332">
        <v>71</v>
      </c>
      <c r="D332">
        <v>1984</v>
      </c>
      <c r="E332">
        <v>2</v>
      </c>
      <c r="F332" t="str">
        <f t="shared" si="16"/>
        <v>36-50</v>
      </c>
      <c r="G332" t="s">
        <v>19</v>
      </c>
      <c r="H332" t="s">
        <v>943</v>
      </c>
      <c r="I332">
        <v>40.24</v>
      </c>
      <c r="J332">
        <v>-75.28</v>
      </c>
      <c r="K332" t="s">
        <v>944</v>
      </c>
      <c r="L332" s="4">
        <v>64419</v>
      </c>
      <c r="M332" s="4">
        <v>183210</v>
      </c>
      <c r="N332" s="11">
        <f t="shared" si="15"/>
        <v>2.8440366972477062</v>
      </c>
      <c r="O332">
        <v>711</v>
      </c>
      <c r="P332" t="str">
        <f t="shared" si="17"/>
        <v>Good</v>
      </c>
      <c r="Q332">
        <v>1</v>
      </c>
    </row>
    <row r="333" spans="1:17" x14ac:dyDescent="0.3">
      <c r="A333">
        <v>331</v>
      </c>
      <c r="B333">
        <v>34</v>
      </c>
      <c r="C333">
        <v>68</v>
      </c>
      <c r="D333">
        <v>1985</v>
      </c>
      <c r="E333">
        <v>6</v>
      </c>
      <c r="F333" t="str">
        <f t="shared" si="16"/>
        <v>26-35</v>
      </c>
      <c r="G333" t="s">
        <v>19</v>
      </c>
      <c r="H333" t="s">
        <v>1932</v>
      </c>
      <c r="I333">
        <v>33.44</v>
      </c>
      <c r="J333">
        <v>-79.56</v>
      </c>
      <c r="K333" t="s">
        <v>1933</v>
      </c>
      <c r="L333" s="4">
        <v>29907</v>
      </c>
      <c r="M333" s="4">
        <v>16764</v>
      </c>
      <c r="N333" s="11">
        <f t="shared" si="15"/>
        <v>0.56053766676697758</v>
      </c>
      <c r="O333">
        <v>732</v>
      </c>
      <c r="P333" t="str">
        <f t="shared" si="17"/>
        <v>Good</v>
      </c>
      <c r="Q333">
        <v>2</v>
      </c>
    </row>
    <row r="334" spans="1:17" x14ac:dyDescent="0.3">
      <c r="A334">
        <v>332</v>
      </c>
      <c r="B334">
        <v>61</v>
      </c>
      <c r="C334">
        <v>65</v>
      </c>
      <c r="D334">
        <v>1958</v>
      </c>
      <c r="E334">
        <v>7</v>
      </c>
      <c r="F334" t="str">
        <f t="shared" si="16"/>
        <v>51-60</v>
      </c>
      <c r="G334" t="s">
        <v>19</v>
      </c>
      <c r="H334" t="s">
        <v>1242</v>
      </c>
      <c r="I334">
        <v>39.520000000000003</v>
      </c>
      <c r="J334">
        <v>-85.77</v>
      </c>
      <c r="K334" t="s">
        <v>1243</v>
      </c>
      <c r="L334" s="4">
        <v>37362</v>
      </c>
      <c r="M334" s="4">
        <v>21600</v>
      </c>
      <c r="N334" s="11">
        <f t="shared" si="15"/>
        <v>0.57812750923398104</v>
      </c>
      <c r="O334">
        <v>703</v>
      </c>
      <c r="P334" t="str">
        <f t="shared" si="17"/>
        <v>Good</v>
      </c>
      <c r="Q334">
        <v>4</v>
      </c>
    </row>
    <row r="335" spans="1:17" x14ac:dyDescent="0.3">
      <c r="A335">
        <v>333</v>
      </c>
      <c r="B335">
        <v>20</v>
      </c>
      <c r="C335">
        <v>64</v>
      </c>
      <c r="D335">
        <v>2000</v>
      </c>
      <c r="E335">
        <v>1</v>
      </c>
      <c r="F335" t="str">
        <f t="shared" si="16"/>
        <v>18-25</v>
      </c>
      <c r="G335" t="s">
        <v>14</v>
      </c>
      <c r="H335" t="s">
        <v>1742</v>
      </c>
      <c r="I335">
        <v>39.450000000000003</v>
      </c>
      <c r="J335">
        <v>-74.72</v>
      </c>
      <c r="K335" t="s">
        <v>1743</v>
      </c>
      <c r="L335" s="4">
        <v>47504</v>
      </c>
      <c r="M335" s="4">
        <v>65156</v>
      </c>
      <c r="N335" s="11">
        <f t="shared" si="15"/>
        <v>1.3715897608622432</v>
      </c>
      <c r="O335">
        <v>706</v>
      </c>
      <c r="P335" t="str">
        <f t="shared" si="17"/>
        <v>Good</v>
      </c>
      <c r="Q335">
        <v>1</v>
      </c>
    </row>
    <row r="336" spans="1:17" x14ac:dyDescent="0.3">
      <c r="A336">
        <v>334</v>
      </c>
      <c r="B336">
        <v>44</v>
      </c>
      <c r="C336">
        <v>65</v>
      </c>
      <c r="D336">
        <v>1975</v>
      </c>
      <c r="E336">
        <v>11</v>
      </c>
      <c r="F336" t="str">
        <f t="shared" si="16"/>
        <v>36-50</v>
      </c>
      <c r="G336" t="s">
        <v>19</v>
      </c>
      <c r="H336" t="s">
        <v>746</v>
      </c>
      <c r="I336">
        <v>41.16</v>
      </c>
      <c r="J336">
        <v>-82.22</v>
      </c>
      <c r="K336" t="s">
        <v>747</v>
      </c>
      <c r="L336" s="4">
        <v>40407</v>
      </c>
      <c r="M336" s="4">
        <v>25986</v>
      </c>
      <c r="N336" s="11">
        <f t="shared" si="15"/>
        <v>0.6431063924567525</v>
      </c>
      <c r="O336">
        <v>697</v>
      </c>
      <c r="P336" t="str">
        <f t="shared" si="17"/>
        <v>Good</v>
      </c>
      <c r="Q336">
        <v>3</v>
      </c>
    </row>
    <row r="337" spans="1:17" x14ac:dyDescent="0.3">
      <c r="A337">
        <v>335</v>
      </c>
      <c r="B337">
        <v>46</v>
      </c>
      <c r="C337">
        <v>68</v>
      </c>
      <c r="D337">
        <v>1973</v>
      </c>
      <c r="E337">
        <v>7</v>
      </c>
      <c r="F337" t="str">
        <f t="shared" si="16"/>
        <v>36-50</v>
      </c>
      <c r="G337" t="s">
        <v>14</v>
      </c>
      <c r="H337" t="s">
        <v>576</v>
      </c>
      <c r="I337">
        <v>26.74</v>
      </c>
      <c r="J337">
        <v>-80.12</v>
      </c>
      <c r="K337" t="s">
        <v>577</v>
      </c>
      <c r="L337" s="4">
        <v>56467</v>
      </c>
      <c r="M337" s="4">
        <v>66565</v>
      </c>
      <c r="N337" s="11">
        <f t="shared" si="15"/>
        <v>1.1788301131634407</v>
      </c>
      <c r="O337">
        <v>688</v>
      </c>
      <c r="P337" t="str">
        <f t="shared" si="17"/>
        <v>Good</v>
      </c>
      <c r="Q337">
        <v>3</v>
      </c>
    </row>
    <row r="338" spans="1:17" x14ac:dyDescent="0.3">
      <c r="A338">
        <v>336</v>
      </c>
      <c r="B338">
        <v>23</v>
      </c>
      <c r="C338">
        <v>65</v>
      </c>
      <c r="D338">
        <v>1996</v>
      </c>
      <c r="E338">
        <v>12</v>
      </c>
      <c r="F338" t="str">
        <f t="shared" si="16"/>
        <v>18-25</v>
      </c>
      <c r="G338" t="s">
        <v>19</v>
      </c>
      <c r="H338" t="s">
        <v>1671</v>
      </c>
      <c r="I338">
        <v>40.71</v>
      </c>
      <c r="J338">
        <v>-74.06</v>
      </c>
      <c r="K338" t="s">
        <v>301</v>
      </c>
      <c r="L338" s="4">
        <v>44128</v>
      </c>
      <c r="M338" s="4">
        <v>0</v>
      </c>
      <c r="N338" s="11">
        <f t="shared" si="15"/>
        <v>0</v>
      </c>
      <c r="O338">
        <v>760</v>
      </c>
      <c r="P338" t="str">
        <f t="shared" si="17"/>
        <v>Very Good</v>
      </c>
      <c r="Q338">
        <v>1</v>
      </c>
    </row>
    <row r="339" spans="1:17" x14ac:dyDescent="0.3">
      <c r="A339">
        <v>337</v>
      </c>
      <c r="B339">
        <v>20</v>
      </c>
      <c r="C339">
        <v>74</v>
      </c>
      <c r="D339">
        <v>1999</v>
      </c>
      <c r="E339">
        <v>9</v>
      </c>
      <c r="F339" t="str">
        <f t="shared" si="16"/>
        <v>18-25</v>
      </c>
      <c r="G339" t="s">
        <v>19</v>
      </c>
      <c r="H339" t="s">
        <v>1608</v>
      </c>
      <c r="I339">
        <v>41.69</v>
      </c>
      <c r="J339">
        <v>-71.510000000000005</v>
      </c>
      <c r="K339" t="s">
        <v>1609</v>
      </c>
      <c r="L339" s="4">
        <v>46284</v>
      </c>
      <c r="M339" s="4">
        <v>46220</v>
      </c>
      <c r="N339" s="11">
        <f t="shared" si="15"/>
        <v>0.99861723273701497</v>
      </c>
      <c r="O339">
        <v>850</v>
      </c>
      <c r="P339" t="str">
        <f t="shared" si="17"/>
        <v>Excellent</v>
      </c>
      <c r="Q339">
        <v>1</v>
      </c>
    </row>
    <row r="340" spans="1:17" x14ac:dyDescent="0.3">
      <c r="A340">
        <v>338</v>
      </c>
      <c r="B340">
        <v>68</v>
      </c>
      <c r="C340">
        <v>72</v>
      </c>
      <c r="D340">
        <v>1951</v>
      </c>
      <c r="E340">
        <v>8</v>
      </c>
      <c r="F340" t="str">
        <f t="shared" si="16"/>
        <v>65+</v>
      </c>
      <c r="G340" t="s">
        <v>14</v>
      </c>
      <c r="H340" t="s">
        <v>1052</v>
      </c>
      <c r="I340">
        <v>42.83</v>
      </c>
      <c r="J340">
        <v>-78.63</v>
      </c>
      <c r="K340" t="s">
        <v>1053</v>
      </c>
      <c r="L340" s="4">
        <v>50258</v>
      </c>
      <c r="M340" s="4">
        <v>0</v>
      </c>
      <c r="N340" s="11">
        <f t="shared" si="15"/>
        <v>0</v>
      </c>
      <c r="O340">
        <v>686</v>
      </c>
      <c r="P340" t="str">
        <f t="shared" si="17"/>
        <v>Good</v>
      </c>
      <c r="Q340">
        <v>3</v>
      </c>
    </row>
    <row r="341" spans="1:17" x14ac:dyDescent="0.3">
      <c r="A341">
        <v>339</v>
      </c>
      <c r="B341">
        <v>19</v>
      </c>
      <c r="C341">
        <v>75</v>
      </c>
      <c r="D341">
        <v>2000</v>
      </c>
      <c r="E341">
        <v>7</v>
      </c>
      <c r="F341" t="str">
        <f t="shared" si="16"/>
        <v>18-25</v>
      </c>
      <c r="G341" t="s">
        <v>14</v>
      </c>
      <c r="H341" t="s">
        <v>431</v>
      </c>
      <c r="I341">
        <v>32.61</v>
      </c>
      <c r="J341">
        <v>-90.03</v>
      </c>
      <c r="K341" t="s">
        <v>432</v>
      </c>
      <c r="L341" s="4">
        <v>31797</v>
      </c>
      <c r="M341" s="4">
        <v>5400</v>
      </c>
      <c r="N341" s="11">
        <f t="shared" si="15"/>
        <v>0.16982734220209453</v>
      </c>
      <c r="O341">
        <v>843</v>
      </c>
      <c r="P341" t="str">
        <f t="shared" si="17"/>
        <v>Excellent</v>
      </c>
      <c r="Q341">
        <v>2</v>
      </c>
    </row>
    <row r="342" spans="1:17" x14ac:dyDescent="0.3">
      <c r="A342">
        <v>340</v>
      </c>
      <c r="B342">
        <v>20</v>
      </c>
      <c r="C342">
        <v>63</v>
      </c>
      <c r="D342">
        <v>1999</v>
      </c>
      <c r="E342">
        <v>8</v>
      </c>
      <c r="F342" t="str">
        <f t="shared" si="16"/>
        <v>18-25</v>
      </c>
      <c r="G342" t="s">
        <v>19</v>
      </c>
      <c r="H342" t="s">
        <v>214</v>
      </c>
      <c r="I342">
        <v>47.3</v>
      </c>
      <c r="J342">
        <v>-122.37</v>
      </c>
      <c r="K342" t="s">
        <v>215</v>
      </c>
      <c r="L342" s="4">
        <v>51713</v>
      </c>
      <c r="M342" s="4">
        <v>86165</v>
      </c>
      <c r="N342" s="11">
        <f t="shared" si="15"/>
        <v>1.6662154583953745</v>
      </c>
      <c r="O342">
        <v>809</v>
      </c>
      <c r="P342" t="str">
        <f t="shared" si="17"/>
        <v>Excellent</v>
      </c>
      <c r="Q342">
        <v>1</v>
      </c>
    </row>
    <row r="343" spans="1:17" x14ac:dyDescent="0.3">
      <c r="A343">
        <v>341</v>
      </c>
      <c r="B343">
        <v>50</v>
      </c>
      <c r="C343">
        <v>66</v>
      </c>
      <c r="D343">
        <v>1969</v>
      </c>
      <c r="E343">
        <v>10</v>
      </c>
      <c r="F343" t="str">
        <f t="shared" si="16"/>
        <v>36-50</v>
      </c>
      <c r="G343" t="s">
        <v>19</v>
      </c>
      <c r="H343" t="s">
        <v>1042</v>
      </c>
      <c r="I343">
        <v>40.869999999999997</v>
      </c>
      <c r="J343">
        <v>-73.400000000000006</v>
      </c>
      <c r="K343" t="s">
        <v>409</v>
      </c>
      <c r="L343" s="4">
        <v>104045</v>
      </c>
      <c r="M343" s="4">
        <v>0</v>
      </c>
      <c r="N343" s="11">
        <f t="shared" si="15"/>
        <v>0</v>
      </c>
      <c r="O343">
        <v>734</v>
      </c>
      <c r="P343" t="str">
        <f t="shared" si="17"/>
        <v>Good</v>
      </c>
      <c r="Q343">
        <v>3</v>
      </c>
    </row>
    <row r="344" spans="1:17" x14ac:dyDescent="0.3">
      <c r="A344">
        <v>342</v>
      </c>
      <c r="B344">
        <v>18</v>
      </c>
      <c r="C344">
        <v>68</v>
      </c>
      <c r="D344">
        <v>2001</v>
      </c>
      <c r="E344">
        <v>6</v>
      </c>
      <c r="F344" t="str">
        <f t="shared" si="16"/>
        <v>18-25</v>
      </c>
      <c r="G344" t="s">
        <v>19</v>
      </c>
      <c r="H344" t="s">
        <v>1305</v>
      </c>
      <c r="I344">
        <v>38.94</v>
      </c>
      <c r="J344">
        <v>-77.19</v>
      </c>
      <c r="K344" t="s">
        <v>1306</v>
      </c>
      <c r="L344" s="4">
        <v>128123</v>
      </c>
      <c r="M344" s="4">
        <v>135808</v>
      </c>
      <c r="N344" s="11">
        <f t="shared" si="15"/>
        <v>1.0599814241002787</v>
      </c>
      <c r="O344">
        <v>699</v>
      </c>
      <c r="P344" t="str">
        <f t="shared" si="17"/>
        <v>Good</v>
      </c>
      <c r="Q344">
        <v>1</v>
      </c>
    </row>
    <row r="345" spans="1:17" x14ac:dyDescent="0.3">
      <c r="A345">
        <v>343</v>
      </c>
      <c r="B345">
        <v>55</v>
      </c>
      <c r="C345">
        <v>72</v>
      </c>
      <c r="D345">
        <v>1964</v>
      </c>
      <c r="E345">
        <v>9</v>
      </c>
      <c r="F345" t="str">
        <f t="shared" si="16"/>
        <v>51-60</v>
      </c>
      <c r="G345" t="s">
        <v>14</v>
      </c>
      <c r="H345" t="s">
        <v>1134</v>
      </c>
      <c r="I345">
        <v>37.729999999999997</v>
      </c>
      <c r="J345">
        <v>-121.24</v>
      </c>
      <c r="K345" t="s">
        <v>1135</v>
      </c>
      <c r="L345" s="4">
        <v>47643</v>
      </c>
      <c r="M345" s="4">
        <v>45706</v>
      </c>
      <c r="N345" s="11">
        <f t="shared" si="15"/>
        <v>0.95934345024452705</v>
      </c>
      <c r="O345">
        <v>764</v>
      </c>
      <c r="P345" t="str">
        <f t="shared" si="17"/>
        <v>Very Good</v>
      </c>
      <c r="Q345">
        <v>8</v>
      </c>
    </row>
    <row r="346" spans="1:17" x14ac:dyDescent="0.3">
      <c r="A346">
        <v>344</v>
      </c>
      <c r="B346">
        <v>18</v>
      </c>
      <c r="C346">
        <v>63</v>
      </c>
      <c r="D346">
        <v>2002</v>
      </c>
      <c r="E346">
        <v>1</v>
      </c>
      <c r="F346" t="str">
        <f t="shared" si="16"/>
        <v>18-25</v>
      </c>
      <c r="G346" t="s">
        <v>19</v>
      </c>
      <c r="H346" t="s">
        <v>1597</v>
      </c>
      <c r="I346">
        <v>34.22</v>
      </c>
      <c r="J346">
        <v>-118.59</v>
      </c>
      <c r="K346" t="s">
        <v>1598</v>
      </c>
      <c r="L346" s="4">
        <v>49084</v>
      </c>
      <c r="M346" s="4">
        <v>106863</v>
      </c>
      <c r="N346" s="11">
        <f t="shared" si="15"/>
        <v>2.1771453019313829</v>
      </c>
      <c r="O346">
        <v>577</v>
      </c>
      <c r="P346" t="str">
        <f t="shared" si="17"/>
        <v>Poor</v>
      </c>
      <c r="Q346">
        <v>3</v>
      </c>
    </row>
    <row r="347" spans="1:17" x14ac:dyDescent="0.3">
      <c r="A347">
        <v>345</v>
      </c>
      <c r="B347">
        <v>33</v>
      </c>
      <c r="C347">
        <v>67</v>
      </c>
      <c r="D347">
        <v>1986</v>
      </c>
      <c r="E347">
        <v>7</v>
      </c>
      <c r="F347" t="str">
        <f t="shared" si="16"/>
        <v>26-35</v>
      </c>
      <c r="G347" t="s">
        <v>19</v>
      </c>
      <c r="H347" t="s">
        <v>514</v>
      </c>
      <c r="I347">
        <v>42.24</v>
      </c>
      <c r="J347">
        <v>-85.48</v>
      </c>
      <c r="K347" t="s">
        <v>515</v>
      </c>
      <c r="L347" s="4">
        <v>35499</v>
      </c>
      <c r="M347" s="4">
        <v>80517</v>
      </c>
      <c r="N347" s="11">
        <f t="shared" si="15"/>
        <v>2.2681483985464381</v>
      </c>
      <c r="O347">
        <v>724</v>
      </c>
      <c r="P347" t="str">
        <f t="shared" si="17"/>
        <v>Good</v>
      </c>
      <c r="Q347">
        <v>1</v>
      </c>
    </row>
    <row r="348" spans="1:17" x14ac:dyDescent="0.3">
      <c r="A348">
        <v>346</v>
      </c>
      <c r="B348">
        <v>90</v>
      </c>
      <c r="C348">
        <v>74</v>
      </c>
      <c r="D348">
        <v>1929</v>
      </c>
      <c r="E348">
        <v>11</v>
      </c>
      <c r="F348" t="str">
        <f t="shared" si="16"/>
        <v>65+</v>
      </c>
      <c r="G348" t="s">
        <v>14</v>
      </c>
      <c r="H348" t="s">
        <v>278</v>
      </c>
      <c r="I348">
        <v>34.43</v>
      </c>
      <c r="J348">
        <v>-119.68</v>
      </c>
      <c r="K348" t="s">
        <v>279</v>
      </c>
      <c r="L348" s="4">
        <v>48580</v>
      </c>
      <c r="M348" s="4">
        <v>1785</v>
      </c>
      <c r="N348" s="11">
        <f t="shared" si="15"/>
        <v>3.6743515850144091E-2</v>
      </c>
      <c r="O348">
        <v>687</v>
      </c>
      <c r="P348" t="str">
        <f t="shared" si="17"/>
        <v>Good</v>
      </c>
      <c r="Q348">
        <v>7</v>
      </c>
    </row>
    <row r="349" spans="1:17" x14ac:dyDescent="0.3">
      <c r="A349">
        <v>347</v>
      </c>
      <c r="B349">
        <v>28</v>
      </c>
      <c r="C349">
        <v>63</v>
      </c>
      <c r="D349">
        <v>1991</v>
      </c>
      <c r="E349">
        <v>8</v>
      </c>
      <c r="F349" t="str">
        <f t="shared" si="16"/>
        <v>26-35</v>
      </c>
      <c r="G349" t="s">
        <v>14</v>
      </c>
      <c r="H349" t="s">
        <v>770</v>
      </c>
      <c r="I349">
        <v>25.77</v>
      </c>
      <c r="J349">
        <v>-80.2</v>
      </c>
      <c r="K349" t="s">
        <v>771</v>
      </c>
      <c r="L349" s="4">
        <v>44046</v>
      </c>
      <c r="M349" s="4">
        <v>57982</v>
      </c>
      <c r="N349" s="11">
        <f t="shared" si="15"/>
        <v>1.3163964945738547</v>
      </c>
      <c r="O349">
        <v>557</v>
      </c>
      <c r="P349" t="str">
        <f t="shared" si="17"/>
        <v>Poor</v>
      </c>
      <c r="Q349">
        <v>3</v>
      </c>
    </row>
    <row r="350" spans="1:17" x14ac:dyDescent="0.3">
      <c r="A350">
        <v>348</v>
      </c>
      <c r="B350">
        <v>49</v>
      </c>
      <c r="C350">
        <v>70</v>
      </c>
      <c r="D350">
        <v>1970</v>
      </c>
      <c r="E350">
        <v>7</v>
      </c>
      <c r="F350" t="str">
        <f t="shared" si="16"/>
        <v>36-50</v>
      </c>
      <c r="G350" t="s">
        <v>14</v>
      </c>
      <c r="H350" t="s">
        <v>90</v>
      </c>
      <c r="I350">
        <v>40.22</v>
      </c>
      <c r="J350">
        <v>-74.760000000000005</v>
      </c>
      <c r="K350" t="s">
        <v>91</v>
      </c>
      <c r="L350" s="4">
        <v>46377</v>
      </c>
      <c r="M350" s="4">
        <v>79980</v>
      </c>
      <c r="N350" s="11">
        <f t="shared" si="15"/>
        <v>1.7245617439679151</v>
      </c>
      <c r="O350">
        <v>719</v>
      </c>
      <c r="P350" t="str">
        <f t="shared" si="17"/>
        <v>Good</v>
      </c>
      <c r="Q350">
        <v>3</v>
      </c>
    </row>
    <row r="351" spans="1:17" x14ac:dyDescent="0.3">
      <c r="A351">
        <v>349</v>
      </c>
      <c r="B351">
        <v>40</v>
      </c>
      <c r="C351">
        <v>61</v>
      </c>
      <c r="D351">
        <v>1979</v>
      </c>
      <c r="E351">
        <v>12</v>
      </c>
      <c r="F351" t="str">
        <f t="shared" si="16"/>
        <v>36-50</v>
      </c>
      <c r="G351" t="s">
        <v>14</v>
      </c>
      <c r="H351" t="s">
        <v>1783</v>
      </c>
      <c r="I351">
        <v>40.840000000000003</v>
      </c>
      <c r="J351">
        <v>-81.63</v>
      </c>
      <c r="K351" t="s">
        <v>1784</v>
      </c>
      <c r="L351" s="4">
        <v>43229</v>
      </c>
      <c r="M351" s="4">
        <v>96831</v>
      </c>
      <c r="N351" s="11">
        <f t="shared" si="15"/>
        <v>2.2399546600661595</v>
      </c>
      <c r="O351">
        <v>685</v>
      </c>
      <c r="P351" t="str">
        <f t="shared" si="17"/>
        <v>Good</v>
      </c>
      <c r="Q351">
        <v>2</v>
      </c>
    </row>
    <row r="352" spans="1:17" x14ac:dyDescent="0.3">
      <c r="A352">
        <v>350</v>
      </c>
      <c r="B352">
        <v>62</v>
      </c>
      <c r="C352">
        <v>70</v>
      </c>
      <c r="D352">
        <v>1957</v>
      </c>
      <c r="E352">
        <v>8</v>
      </c>
      <c r="F352" t="str">
        <f t="shared" si="16"/>
        <v>51-60</v>
      </c>
      <c r="G352" t="s">
        <v>14</v>
      </c>
      <c r="H352" t="s">
        <v>293</v>
      </c>
      <c r="I352">
        <v>39.14</v>
      </c>
      <c r="J352">
        <v>-76.77</v>
      </c>
      <c r="K352" t="s">
        <v>294</v>
      </c>
      <c r="L352" s="4">
        <v>58463</v>
      </c>
      <c r="M352" s="4">
        <v>141151</v>
      </c>
      <c r="N352" s="11">
        <f t="shared" si="15"/>
        <v>2.4143646408839778</v>
      </c>
      <c r="O352">
        <v>737</v>
      </c>
      <c r="P352" t="str">
        <f t="shared" si="17"/>
        <v>Good</v>
      </c>
      <c r="Q352">
        <v>4</v>
      </c>
    </row>
    <row r="353" spans="1:17" x14ac:dyDescent="0.3">
      <c r="A353">
        <v>351</v>
      </c>
      <c r="B353">
        <v>91</v>
      </c>
      <c r="C353">
        <v>70</v>
      </c>
      <c r="D353">
        <v>1928</v>
      </c>
      <c r="E353">
        <v>9</v>
      </c>
      <c r="F353" t="str">
        <f t="shared" si="16"/>
        <v>65+</v>
      </c>
      <c r="G353" t="s">
        <v>14</v>
      </c>
      <c r="H353" t="s">
        <v>1004</v>
      </c>
      <c r="I353">
        <v>40.770000000000003</v>
      </c>
      <c r="J353">
        <v>-73.84</v>
      </c>
      <c r="K353" t="s">
        <v>1005</v>
      </c>
      <c r="L353" s="4">
        <v>17150</v>
      </c>
      <c r="M353" s="4">
        <v>375</v>
      </c>
      <c r="N353" s="11">
        <f t="shared" si="15"/>
        <v>2.1865889212827987E-2</v>
      </c>
      <c r="O353">
        <v>807</v>
      </c>
      <c r="P353" t="str">
        <f t="shared" si="17"/>
        <v>Excellent</v>
      </c>
      <c r="Q353">
        <v>6</v>
      </c>
    </row>
    <row r="354" spans="1:17" x14ac:dyDescent="0.3">
      <c r="A354">
        <v>352</v>
      </c>
      <c r="B354">
        <v>22</v>
      </c>
      <c r="C354">
        <v>65</v>
      </c>
      <c r="D354">
        <v>1997</v>
      </c>
      <c r="E354">
        <v>11</v>
      </c>
      <c r="F354" t="str">
        <f t="shared" si="16"/>
        <v>18-25</v>
      </c>
      <c r="G354" t="s">
        <v>19</v>
      </c>
      <c r="H354" t="s">
        <v>190</v>
      </c>
      <c r="I354">
        <v>34.21</v>
      </c>
      <c r="J354">
        <v>-119.18</v>
      </c>
      <c r="K354" t="s">
        <v>191</v>
      </c>
      <c r="L354" s="4">
        <v>37058</v>
      </c>
      <c r="M354" s="4">
        <v>50548</v>
      </c>
      <c r="N354" s="11">
        <f t="shared" si="15"/>
        <v>1.3640239624372605</v>
      </c>
      <c r="O354">
        <v>680</v>
      </c>
      <c r="P354" t="str">
        <f t="shared" si="17"/>
        <v>Good</v>
      </c>
      <c r="Q354">
        <v>2</v>
      </c>
    </row>
    <row r="355" spans="1:17" x14ac:dyDescent="0.3">
      <c r="A355">
        <v>353</v>
      </c>
      <c r="B355">
        <v>24</v>
      </c>
      <c r="C355">
        <v>69</v>
      </c>
      <c r="D355">
        <v>1996</v>
      </c>
      <c r="E355">
        <v>2</v>
      </c>
      <c r="F355" t="str">
        <f t="shared" si="16"/>
        <v>18-25</v>
      </c>
      <c r="G355" t="s">
        <v>14</v>
      </c>
      <c r="H355" t="s">
        <v>147</v>
      </c>
      <c r="I355">
        <v>33.83</v>
      </c>
      <c r="J355">
        <v>-117.2</v>
      </c>
      <c r="K355" t="s">
        <v>148</v>
      </c>
      <c r="L355" s="4">
        <v>32847</v>
      </c>
      <c r="M355" s="4">
        <v>33514</v>
      </c>
      <c r="N355" s="11">
        <f t="shared" si="15"/>
        <v>1.0203062684567845</v>
      </c>
      <c r="O355">
        <v>721</v>
      </c>
      <c r="P355" t="str">
        <f t="shared" si="17"/>
        <v>Good</v>
      </c>
      <c r="Q355">
        <v>2</v>
      </c>
    </row>
    <row r="356" spans="1:17" x14ac:dyDescent="0.3">
      <c r="A356">
        <v>354</v>
      </c>
      <c r="B356">
        <v>77</v>
      </c>
      <c r="C356">
        <v>72</v>
      </c>
      <c r="D356">
        <v>1942</v>
      </c>
      <c r="E356">
        <v>8</v>
      </c>
      <c r="F356" t="str">
        <f t="shared" si="16"/>
        <v>65+</v>
      </c>
      <c r="G356" t="s">
        <v>14</v>
      </c>
      <c r="H356" t="s">
        <v>302</v>
      </c>
      <c r="I356">
        <v>38.86</v>
      </c>
      <c r="J356">
        <v>-104.76</v>
      </c>
      <c r="K356" t="s">
        <v>303</v>
      </c>
      <c r="L356" s="4">
        <v>31942</v>
      </c>
      <c r="M356" s="4">
        <v>11845</v>
      </c>
      <c r="N356" s="11">
        <f t="shared" si="15"/>
        <v>0.3708283764322835</v>
      </c>
      <c r="O356">
        <v>713</v>
      </c>
      <c r="P356" t="str">
        <f t="shared" si="17"/>
        <v>Good</v>
      </c>
      <c r="Q356">
        <v>6</v>
      </c>
    </row>
    <row r="357" spans="1:17" x14ac:dyDescent="0.3">
      <c r="A357">
        <v>355</v>
      </c>
      <c r="B357">
        <v>22</v>
      </c>
      <c r="C357">
        <v>62</v>
      </c>
      <c r="D357">
        <v>1997</v>
      </c>
      <c r="E357">
        <v>11</v>
      </c>
      <c r="F357" t="str">
        <f t="shared" si="16"/>
        <v>18-25</v>
      </c>
      <c r="G357" t="s">
        <v>14</v>
      </c>
      <c r="H357" t="s">
        <v>335</v>
      </c>
      <c r="I357">
        <v>35.869999999999997</v>
      </c>
      <c r="J357">
        <v>-96.05</v>
      </c>
      <c r="K357" t="s">
        <v>336</v>
      </c>
      <c r="L357" s="4">
        <v>40491</v>
      </c>
      <c r="M357" s="4">
        <v>81879</v>
      </c>
      <c r="N357" s="11">
        <f t="shared" si="15"/>
        <v>2.0221530710528266</v>
      </c>
      <c r="O357">
        <v>691</v>
      </c>
      <c r="P357" t="str">
        <f t="shared" si="17"/>
        <v>Good</v>
      </c>
      <c r="Q357">
        <v>2</v>
      </c>
    </row>
    <row r="358" spans="1:17" x14ac:dyDescent="0.3">
      <c r="A358">
        <v>356</v>
      </c>
      <c r="B358">
        <v>50</v>
      </c>
      <c r="C358">
        <v>73</v>
      </c>
      <c r="D358">
        <v>1969</v>
      </c>
      <c r="E358">
        <v>10</v>
      </c>
      <c r="F358" t="str">
        <f t="shared" si="16"/>
        <v>36-50</v>
      </c>
      <c r="G358" t="s">
        <v>14</v>
      </c>
      <c r="H358" t="s">
        <v>783</v>
      </c>
      <c r="I358">
        <v>27.19</v>
      </c>
      <c r="J358">
        <v>-80.239999999999995</v>
      </c>
      <c r="K358" t="s">
        <v>784</v>
      </c>
      <c r="L358" s="4">
        <v>41420</v>
      </c>
      <c r="M358" s="4">
        <v>0</v>
      </c>
      <c r="N358" s="11">
        <f t="shared" si="15"/>
        <v>0</v>
      </c>
      <c r="O358">
        <v>691</v>
      </c>
      <c r="P358" t="str">
        <f t="shared" si="17"/>
        <v>Good</v>
      </c>
      <c r="Q358">
        <v>5</v>
      </c>
    </row>
    <row r="359" spans="1:17" x14ac:dyDescent="0.3">
      <c r="A359">
        <v>357</v>
      </c>
      <c r="B359">
        <v>59</v>
      </c>
      <c r="C359">
        <v>67</v>
      </c>
      <c r="D359">
        <v>1960</v>
      </c>
      <c r="E359">
        <v>9</v>
      </c>
      <c r="F359" t="str">
        <f t="shared" si="16"/>
        <v>51-60</v>
      </c>
      <c r="G359" t="s">
        <v>14</v>
      </c>
      <c r="H359" t="s">
        <v>608</v>
      </c>
      <c r="I359">
        <v>42.35</v>
      </c>
      <c r="J359">
        <v>-71.06</v>
      </c>
      <c r="K359" t="s">
        <v>609</v>
      </c>
      <c r="L359" s="4">
        <v>80156</v>
      </c>
      <c r="M359" s="4">
        <v>61817</v>
      </c>
      <c r="N359" s="11">
        <f t="shared" si="15"/>
        <v>0.77120864314586557</v>
      </c>
      <c r="O359">
        <v>735</v>
      </c>
      <c r="P359" t="str">
        <f t="shared" si="17"/>
        <v>Good</v>
      </c>
      <c r="Q359">
        <v>4</v>
      </c>
    </row>
    <row r="360" spans="1:17" x14ac:dyDescent="0.3">
      <c r="A360">
        <v>358</v>
      </c>
      <c r="B360">
        <v>36</v>
      </c>
      <c r="C360">
        <v>71</v>
      </c>
      <c r="D360">
        <v>1983</v>
      </c>
      <c r="E360">
        <v>7</v>
      </c>
      <c r="F360" t="str">
        <f t="shared" si="16"/>
        <v>36-50</v>
      </c>
      <c r="G360" t="s">
        <v>14</v>
      </c>
      <c r="H360" t="s">
        <v>816</v>
      </c>
      <c r="I360">
        <v>34.17</v>
      </c>
      <c r="J360">
        <v>-82.37</v>
      </c>
      <c r="K360" t="s">
        <v>817</v>
      </c>
      <c r="L360" s="4">
        <v>31079</v>
      </c>
      <c r="M360" s="4">
        <v>91845</v>
      </c>
      <c r="N360" s="11">
        <f t="shared" si="15"/>
        <v>2.9552109141220759</v>
      </c>
      <c r="O360">
        <v>605</v>
      </c>
      <c r="P360" t="str">
        <f t="shared" si="17"/>
        <v>Fair</v>
      </c>
      <c r="Q360">
        <v>2</v>
      </c>
    </row>
    <row r="361" spans="1:17" x14ac:dyDescent="0.3">
      <c r="A361">
        <v>359</v>
      </c>
      <c r="B361">
        <v>66</v>
      </c>
      <c r="C361">
        <v>61</v>
      </c>
      <c r="D361">
        <v>1953</v>
      </c>
      <c r="E361">
        <v>7</v>
      </c>
      <c r="F361" t="str">
        <f t="shared" si="16"/>
        <v>65+</v>
      </c>
      <c r="G361" t="s">
        <v>19</v>
      </c>
      <c r="H361" t="s">
        <v>1294</v>
      </c>
      <c r="I361">
        <v>33.94</v>
      </c>
      <c r="J361">
        <v>-83.99</v>
      </c>
      <c r="K361" t="s">
        <v>196</v>
      </c>
      <c r="L361" s="4">
        <v>57383</v>
      </c>
      <c r="M361" s="4">
        <v>20725</v>
      </c>
      <c r="N361" s="11">
        <f t="shared" si="15"/>
        <v>0.36116968440130354</v>
      </c>
      <c r="O361">
        <v>799</v>
      </c>
      <c r="P361" t="str">
        <f t="shared" si="17"/>
        <v>Very Good</v>
      </c>
      <c r="Q361">
        <v>4</v>
      </c>
    </row>
    <row r="362" spans="1:17" x14ac:dyDescent="0.3">
      <c r="A362">
        <v>360</v>
      </c>
      <c r="B362">
        <v>43</v>
      </c>
      <c r="C362">
        <v>67</v>
      </c>
      <c r="D362">
        <v>1976</v>
      </c>
      <c r="E362">
        <v>4</v>
      </c>
      <c r="F362" t="str">
        <f t="shared" si="16"/>
        <v>36-50</v>
      </c>
      <c r="G362" t="s">
        <v>19</v>
      </c>
      <c r="H362" t="s">
        <v>1811</v>
      </c>
      <c r="I362">
        <v>39.22</v>
      </c>
      <c r="J362">
        <v>-74.8</v>
      </c>
      <c r="K362" t="s">
        <v>1812</v>
      </c>
      <c r="L362" s="4">
        <v>46278</v>
      </c>
      <c r="M362" s="4">
        <v>51243</v>
      </c>
      <c r="N362" s="11">
        <f t="shared" si="15"/>
        <v>1.1072863995851161</v>
      </c>
      <c r="O362">
        <v>791</v>
      </c>
      <c r="P362" t="str">
        <f t="shared" si="17"/>
        <v>Very Good</v>
      </c>
      <c r="Q362">
        <v>4</v>
      </c>
    </row>
    <row r="363" spans="1:17" x14ac:dyDescent="0.3">
      <c r="A363">
        <v>361</v>
      </c>
      <c r="B363">
        <v>43</v>
      </c>
      <c r="C363">
        <v>68</v>
      </c>
      <c r="D363">
        <v>1976</v>
      </c>
      <c r="E363">
        <v>6</v>
      </c>
      <c r="F363" t="str">
        <f t="shared" si="16"/>
        <v>36-50</v>
      </c>
      <c r="G363" t="s">
        <v>19</v>
      </c>
      <c r="H363" t="s">
        <v>1755</v>
      </c>
      <c r="I363">
        <v>33.909999999999997</v>
      </c>
      <c r="J363">
        <v>-118.34</v>
      </c>
      <c r="K363" t="s">
        <v>1756</v>
      </c>
      <c r="L363" s="4">
        <v>39052</v>
      </c>
      <c r="M363" s="4">
        <v>65861</v>
      </c>
      <c r="N363" s="11">
        <f t="shared" si="15"/>
        <v>1.6864949298371403</v>
      </c>
      <c r="O363">
        <v>804</v>
      </c>
      <c r="P363" t="str">
        <f t="shared" si="17"/>
        <v>Excellent</v>
      </c>
      <c r="Q363">
        <v>4</v>
      </c>
    </row>
    <row r="364" spans="1:17" x14ac:dyDescent="0.3">
      <c r="A364">
        <v>362</v>
      </c>
      <c r="B364">
        <v>37</v>
      </c>
      <c r="C364">
        <v>59</v>
      </c>
      <c r="D364">
        <v>1983</v>
      </c>
      <c r="E364">
        <v>1</v>
      </c>
      <c r="F364" t="str">
        <f t="shared" si="16"/>
        <v>36-50</v>
      </c>
      <c r="G364" t="s">
        <v>19</v>
      </c>
      <c r="H364" t="s">
        <v>1548</v>
      </c>
      <c r="I364">
        <v>36.07</v>
      </c>
      <c r="J364">
        <v>-115.21</v>
      </c>
      <c r="K364" t="s">
        <v>1549</v>
      </c>
      <c r="L364" s="4">
        <v>48710</v>
      </c>
      <c r="M364" s="4">
        <v>59824</v>
      </c>
      <c r="N364" s="11">
        <f t="shared" si="15"/>
        <v>1.2281667008827757</v>
      </c>
      <c r="O364">
        <v>792</v>
      </c>
      <c r="P364" t="str">
        <f t="shared" si="17"/>
        <v>Very Good</v>
      </c>
      <c r="Q364">
        <v>3</v>
      </c>
    </row>
    <row r="365" spans="1:17" x14ac:dyDescent="0.3">
      <c r="A365">
        <v>363</v>
      </c>
      <c r="B365">
        <v>52</v>
      </c>
      <c r="C365">
        <v>66</v>
      </c>
      <c r="D365">
        <v>1967</v>
      </c>
      <c r="E365">
        <v>9</v>
      </c>
      <c r="F365" t="str">
        <f t="shared" si="16"/>
        <v>51-60</v>
      </c>
      <c r="G365" t="s">
        <v>14</v>
      </c>
      <c r="H365" t="s">
        <v>1948</v>
      </c>
      <c r="I365">
        <v>27.9</v>
      </c>
      <c r="J365">
        <v>-82.78</v>
      </c>
      <c r="K365" t="s">
        <v>1949</v>
      </c>
      <c r="L365" s="4">
        <v>48686</v>
      </c>
      <c r="M365" s="4">
        <v>113137</v>
      </c>
      <c r="N365" s="11">
        <f t="shared" si="15"/>
        <v>2.3238097194265293</v>
      </c>
      <c r="O365">
        <v>701</v>
      </c>
      <c r="P365" t="str">
        <f t="shared" si="17"/>
        <v>Good</v>
      </c>
      <c r="Q365">
        <v>3</v>
      </c>
    </row>
    <row r="366" spans="1:17" x14ac:dyDescent="0.3">
      <c r="A366">
        <v>364</v>
      </c>
      <c r="B366">
        <v>65</v>
      </c>
      <c r="C366">
        <v>65</v>
      </c>
      <c r="D366">
        <v>1954</v>
      </c>
      <c r="E366">
        <v>5</v>
      </c>
      <c r="F366" t="str">
        <f t="shared" si="16"/>
        <v>51-60</v>
      </c>
      <c r="G366" t="s">
        <v>14</v>
      </c>
      <c r="H366" t="s">
        <v>1069</v>
      </c>
      <c r="I366">
        <v>35.79</v>
      </c>
      <c r="J366">
        <v>-83.97</v>
      </c>
      <c r="K366" t="s">
        <v>1070</v>
      </c>
      <c r="L366" s="4">
        <v>39809</v>
      </c>
      <c r="M366" s="4">
        <v>0</v>
      </c>
      <c r="N366" s="11">
        <f t="shared" si="15"/>
        <v>0</v>
      </c>
      <c r="O366">
        <v>775</v>
      </c>
      <c r="P366" t="str">
        <f t="shared" si="17"/>
        <v>Very Good</v>
      </c>
      <c r="Q366">
        <v>4</v>
      </c>
    </row>
    <row r="367" spans="1:17" x14ac:dyDescent="0.3">
      <c r="A367">
        <v>365</v>
      </c>
      <c r="B367">
        <v>55</v>
      </c>
      <c r="C367">
        <v>70</v>
      </c>
      <c r="D367">
        <v>1964</v>
      </c>
      <c r="E367">
        <v>9</v>
      </c>
      <c r="F367" t="str">
        <f t="shared" si="16"/>
        <v>51-60</v>
      </c>
      <c r="G367" t="s">
        <v>14</v>
      </c>
      <c r="H367" t="s">
        <v>954</v>
      </c>
      <c r="I367">
        <v>40.64</v>
      </c>
      <c r="J367">
        <v>-73.94</v>
      </c>
      <c r="K367" t="s">
        <v>955</v>
      </c>
      <c r="L367" s="4">
        <v>38165</v>
      </c>
      <c r="M367" s="4">
        <v>45891</v>
      </c>
      <c r="N367" s="11">
        <f t="shared" si="15"/>
        <v>1.2024367876326476</v>
      </c>
      <c r="O367">
        <v>719</v>
      </c>
      <c r="P367" t="str">
        <f t="shared" si="17"/>
        <v>Good</v>
      </c>
      <c r="Q367">
        <v>1</v>
      </c>
    </row>
    <row r="368" spans="1:17" x14ac:dyDescent="0.3">
      <c r="A368">
        <v>366</v>
      </c>
      <c r="B368">
        <v>50</v>
      </c>
      <c r="C368">
        <v>68</v>
      </c>
      <c r="D368">
        <v>1969</v>
      </c>
      <c r="E368">
        <v>12</v>
      </c>
      <c r="F368" t="str">
        <f t="shared" si="16"/>
        <v>36-50</v>
      </c>
      <c r="G368" t="s">
        <v>14</v>
      </c>
      <c r="H368" t="s">
        <v>1358</v>
      </c>
      <c r="I368">
        <v>44.01</v>
      </c>
      <c r="J368">
        <v>-88.55</v>
      </c>
      <c r="K368" t="s">
        <v>1359</v>
      </c>
      <c r="L368" s="4">
        <v>39911</v>
      </c>
      <c r="M368" s="4">
        <v>93823</v>
      </c>
      <c r="N368" s="11">
        <f t="shared" si="15"/>
        <v>2.3508055423316878</v>
      </c>
      <c r="O368">
        <v>625</v>
      </c>
      <c r="P368" t="str">
        <f t="shared" si="17"/>
        <v>Fair</v>
      </c>
      <c r="Q368">
        <v>7</v>
      </c>
    </row>
    <row r="369" spans="1:17" x14ac:dyDescent="0.3">
      <c r="A369">
        <v>367</v>
      </c>
      <c r="B369">
        <v>27</v>
      </c>
      <c r="C369">
        <v>67</v>
      </c>
      <c r="D369">
        <v>1992</v>
      </c>
      <c r="E369">
        <v>8</v>
      </c>
      <c r="F369" t="str">
        <f t="shared" si="16"/>
        <v>26-35</v>
      </c>
      <c r="G369" t="s">
        <v>14</v>
      </c>
      <c r="H369" t="s">
        <v>739</v>
      </c>
      <c r="I369">
        <v>41.52</v>
      </c>
      <c r="J369">
        <v>-87.42</v>
      </c>
      <c r="K369" t="s">
        <v>471</v>
      </c>
      <c r="L369" s="4">
        <v>44843</v>
      </c>
      <c r="M369" s="4">
        <v>67179</v>
      </c>
      <c r="N369" s="11">
        <f t="shared" si="15"/>
        <v>1.4980933479026828</v>
      </c>
      <c r="O369">
        <v>756</v>
      </c>
      <c r="P369" t="str">
        <f t="shared" si="17"/>
        <v>Very Good</v>
      </c>
      <c r="Q369">
        <v>2</v>
      </c>
    </row>
    <row r="370" spans="1:17" x14ac:dyDescent="0.3">
      <c r="A370">
        <v>368</v>
      </c>
      <c r="B370">
        <v>75</v>
      </c>
      <c r="C370">
        <v>73</v>
      </c>
      <c r="D370">
        <v>1945</v>
      </c>
      <c r="E370">
        <v>2</v>
      </c>
      <c r="F370" t="str">
        <f t="shared" si="16"/>
        <v>65+</v>
      </c>
      <c r="G370" t="s">
        <v>19</v>
      </c>
      <c r="H370" t="s">
        <v>1109</v>
      </c>
      <c r="I370">
        <v>28.5</v>
      </c>
      <c r="J370">
        <v>-81.37</v>
      </c>
      <c r="K370" t="s">
        <v>1110</v>
      </c>
      <c r="L370" s="4">
        <v>42806</v>
      </c>
      <c r="M370" s="4">
        <v>20432</v>
      </c>
      <c r="N370" s="11">
        <f t="shared" si="15"/>
        <v>0.47731626407512967</v>
      </c>
      <c r="O370">
        <v>726</v>
      </c>
      <c r="P370" t="str">
        <f t="shared" si="17"/>
        <v>Good</v>
      </c>
      <c r="Q370">
        <v>6</v>
      </c>
    </row>
    <row r="371" spans="1:17" x14ac:dyDescent="0.3">
      <c r="A371">
        <v>369</v>
      </c>
      <c r="B371">
        <v>39</v>
      </c>
      <c r="C371">
        <v>65</v>
      </c>
      <c r="D371">
        <v>1980</v>
      </c>
      <c r="E371">
        <v>9</v>
      </c>
      <c r="F371" t="str">
        <f t="shared" si="16"/>
        <v>36-50</v>
      </c>
      <c r="G371" t="s">
        <v>19</v>
      </c>
      <c r="H371" t="s">
        <v>660</v>
      </c>
      <c r="I371">
        <v>38.22</v>
      </c>
      <c r="J371">
        <v>-85.74</v>
      </c>
      <c r="K371" t="s">
        <v>23</v>
      </c>
      <c r="L371" s="4">
        <v>51499</v>
      </c>
      <c r="M371" s="4">
        <v>7226</v>
      </c>
      <c r="N371" s="11">
        <f t="shared" si="15"/>
        <v>0.14031340414376978</v>
      </c>
      <c r="O371">
        <v>788</v>
      </c>
      <c r="P371" t="str">
        <f t="shared" si="17"/>
        <v>Very Good</v>
      </c>
      <c r="Q371">
        <v>4</v>
      </c>
    </row>
    <row r="372" spans="1:17" x14ac:dyDescent="0.3">
      <c r="A372">
        <v>370</v>
      </c>
      <c r="B372">
        <v>61</v>
      </c>
      <c r="C372">
        <v>58</v>
      </c>
      <c r="D372">
        <v>1958</v>
      </c>
      <c r="E372">
        <v>11</v>
      </c>
      <c r="F372" t="str">
        <f t="shared" si="16"/>
        <v>51-60</v>
      </c>
      <c r="G372" t="s">
        <v>19</v>
      </c>
      <c r="H372" t="s">
        <v>106</v>
      </c>
      <c r="I372">
        <v>34.07</v>
      </c>
      <c r="J372">
        <v>-117.62</v>
      </c>
      <c r="K372" t="s">
        <v>107</v>
      </c>
      <c r="L372" s="4">
        <v>41904</v>
      </c>
      <c r="M372" s="4">
        <v>12545</v>
      </c>
      <c r="N372" s="11">
        <f t="shared" si="15"/>
        <v>0.29937476135929741</v>
      </c>
      <c r="O372">
        <v>655</v>
      </c>
      <c r="P372" t="str">
        <f t="shared" si="17"/>
        <v>Fair</v>
      </c>
      <c r="Q372">
        <v>4</v>
      </c>
    </row>
    <row r="373" spans="1:17" x14ac:dyDescent="0.3">
      <c r="A373">
        <v>371</v>
      </c>
      <c r="B373">
        <v>82</v>
      </c>
      <c r="C373">
        <v>63</v>
      </c>
      <c r="D373">
        <v>1937</v>
      </c>
      <c r="E373">
        <v>3</v>
      </c>
      <c r="F373" t="str">
        <f t="shared" si="16"/>
        <v>65+</v>
      </c>
      <c r="G373" t="s">
        <v>19</v>
      </c>
      <c r="H373" t="s">
        <v>1364</v>
      </c>
      <c r="I373">
        <v>37.549999999999997</v>
      </c>
      <c r="J373">
        <v>-77.459999999999994</v>
      </c>
      <c r="K373" t="s">
        <v>1365</v>
      </c>
      <c r="L373" s="4">
        <v>92368</v>
      </c>
      <c r="M373" s="4">
        <v>2689</v>
      </c>
      <c r="N373" s="11">
        <f t="shared" si="15"/>
        <v>2.9111813615104797E-2</v>
      </c>
      <c r="O373">
        <v>719</v>
      </c>
      <c r="P373" t="str">
        <f t="shared" si="17"/>
        <v>Good</v>
      </c>
      <c r="Q373">
        <v>4</v>
      </c>
    </row>
    <row r="374" spans="1:17" x14ac:dyDescent="0.3">
      <c r="A374">
        <v>372</v>
      </c>
      <c r="B374">
        <v>32</v>
      </c>
      <c r="C374">
        <v>71</v>
      </c>
      <c r="D374">
        <v>1988</v>
      </c>
      <c r="E374">
        <v>1</v>
      </c>
      <c r="F374" t="str">
        <f t="shared" si="16"/>
        <v>26-35</v>
      </c>
      <c r="G374" t="s">
        <v>19</v>
      </c>
      <c r="H374" t="s">
        <v>1486</v>
      </c>
      <c r="I374">
        <v>41.66</v>
      </c>
      <c r="J374">
        <v>-83.58</v>
      </c>
      <c r="K374" t="s">
        <v>1487</v>
      </c>
      <c r="L374" s="4">
        <v>24668</v>
      </c>
      <c r="M374" s="4">
        <v>22338</v>
      </c>
      <c r="N374" s="11">
        <f t="shared" si="15"/>
        <v>0.90554564618128752</v>
      </c>
      <c r="O374">
        <v>756</v>
      </c>
      <c r="P374" t="str">
        <f t="shared" si="17"/>
        <v>Very Good</v>
      </c>
      <c r="Q374">
        <v>1</v>
      </c>
    </row>
    <row r="375" spans="1:17" x14ac:dyDescent="0.3">
      <c r="A375">
        <v>373</v>
      </c>
      <c r="B375">
        <v>61</v>
      </c>
      <c r="C375">
        <v>63</v>
      </c>
      <c r="D375">
        <v>1959</v>
      </c>
      <c r="E375">
        <v>2</v>
      </c>
      <c r="F375" t="str">
        <f t="shared" si="16"/>
        <v>51-60</v>
      </c>
      <c r="G375" t="s">
        <v>19</v>
      </c>
      <c r="H375" t="s">
        <v>1791</v>
      </c>
      <c r="I375">
        <v>40.590000000000003</v>
      </c>
      <c r="J375">
        <v>-84.95</v>
      </c>
      <c r="K375" t="s">
        <v>1792</v>
      </c>
      <c r="L375" s="4">
        <v>21397</v>
      </c>
      <c r="M375" s="4">
        <v>54771</v>
      </c>
      <c r="N375" s="11">
        <f t="shared" si="15"/>
        <v>2.5597513670140675</v>
      </c>
      <c r="O375">
        <v>812</v>
      </c>
      <c r="P375" t="str">
        <f t="shared" si="17"/>
        <v>Excellent</v>
      </c>
      <c r="Q375">
        <v>4</v>
      </c>
    </row>
    <row r="376" spans="1:17" x14ac:dyDescent="0.3">
      <c r="A376">
        <v>374</v>
      </c>
      <c r="B376">
        <v>58</v>
      </c>
      <c r="C376">
        <v>66</v>
      </c>
      <c r="D376">
        <v>1961</v>
      </c>
      <c r="E376">
        <v>11</v>
      </c>
      <c r="F376" t="str">
        <f t="shared" si="16"/>
        <v>51-60</v>
      </c>
      <c r="G376" t="s">
        <v>19</v>
      </c>
      <c r="H376" t="s">
        <v>1236</v>
      </c>
      <c r="I376">
        <v>38.47</v>
      </c>
      <c r="J376">
        <v>-121.44</v>
      </c>
      <c r="K376" t="s">
        <v>1237</v>
      </c>
      <c r="L376" s="4">
        <v>31177</v>
      </c>
      <c r="M376" s="4">
        <v>18859</v>
      </c>
      <c r="N376" s="11">
        <f t="shared" si="15"/>
        <v>0.60490104885011386</v>
      </c>
      <c r="O376">
        <v>689</v>
      </c>
      <c r="P376" t="str">
        <f t="shared" si="17"/>
        <v>Good</v>
      </c>
      <c r="Q376">
        <v>5</v>
      </c>
    </row>
    <row r="377" spans="1:17" x14ac:dyDescent="0.3">
      <c r="A377">
        <v>375</v>
      </c>
      <c r="B377">
        <v>50</v>
      </c>
      <c r="C377">
        <v>66</v>
      </c>
      <c r="D377">
        <v>1970</v>
      </c>
      <c r="E377">
        <v>2</v>
      </c>
      <c r="F377" t="str">
        <f t="shared" si="16"/>
        <v>36-50</v>
      </c>
      <c r="G377" t="s">
        <v>14</v>
      </c>
      <c r="H377" t="s">
        <v>1554</v>
      </c>
      <c r="I377">
        <v>35.700000000000003</v>
      </c>
      <c r="J377">
        <v>-81.209999999999994</v>
      </c>
      <c r="K377" t="s">
        <v>1555</v>
      </c>
      <c r="L377" s="4">
        <v>37617</v>
      </c>
      <c r="M377" s="4">
        <v>57746</v>
      </c>
      <c r="N377" s="11">
        <f t="shared" si="15"/>
        <v>1.535103809447856</v>
      </c>
      <c r="O377">
        <v>695</v>
      </c>
      <c r="P377" t="str">
        <f t="shared" si="17"/>
        <v>Good</v>
      </c>
      <c r="Q377">
        <v>3</v>
      </c>
    </row>
    <row r="378" spans="1:17" x14ac:dyDescent="0.3">
      <c r="A378">
        <v>376</v>
      </c>
      <c r="B378">
        <v>50</v>
      </c>
      <c r="C378">
        <v>74</v>
      </c>
      <c r="D378">
        <v>1969</v>
      </c>
      <c r="E378">
        <v>4</v>
      </c>
      <c r="F378" t="str">
        <f t="shared" si="16"/>
        <v>36-50</v>
      </c>
      <c r="G378" t="s">
        <v>14</v>
      </c>
      <c r="H378" t="s">
        <v>1769</v>
      </c>
      <c r="I378">
        <v>39.799999999999997</v>
      </c>
      <c r="J378">
        <v>-74.62</v>
      </c>
      <c r="K378" t="s">
        <v>1770</v>
      </c>
      <c r="L378" s="4">
        <v>57975</v>
      </c>
      <c r="M378" s="4">
        <v>34570</v>
      </c>
      <c r="N378" s="11">
        <f t="shared" si="15"/>
        <v>0.59629150495903405</v>
      </c>
      <c r="O378">
        <v>773</v>
      </c>
      <c r="P378" t="str">
        <f t="shared" si="17"/>
        <v>Very Good</v>
      </c>
      <c r="Q378">
        <v>4</v>
      </c>
    </row>
    <row r="379" spans="1:17" x14ac:dyDescent="0.3">
      <c r="A379">
        <v>377</v>
      </c>
      <c r="B379">
        <v>80</v>
      </c>
      <c r="C379">
        <v>67</v>
      </c>
      <c r="D379">
        <v>1940</v>
      </c>
      <c r="E379">
        <v>1</v>
      </c>
      <c r="F379" t="str">
        <f t="shared" si="16"/>
        <v>65+</v>
      </c>
      <c r="G379" t="s">
        <v>14</v>
      </c>
      <c r="H379" t="s">
        <v>716</v>
      </c>
      <c r="I379">
        <v>47.39</v>
      </c>
      <c r="J379">
        <v>-122.26</v>
      </c>
      <c r="K379" t="s">
        <v>703</v>
      </c>
      <c r="L379" s="4">
        <v>39110</v>
      </c>
      <c r="M379" s="4">
        <v>363</v>
      </c>
      <c r="N379" s="11">
        <f t="shared" si="15"/>
        <v>9.2815136793658916E-3</v>
      </c>
      <c r="O379">
        <v>750</v>
      </c>
      <c r="P379" t="str">
        <f t="shared" si="17"/>
        <v>Very Good</v>
      </c>
      <c r="Q379">
        <v>5</v>
      </c>
    </row>
    <row r="380" spans="1:17" x14ac:dyDescent="0.3">
      <c r="A380">
        <v>378</v>
      </c>
      <c r="B380">
        <v>18</v>
      </c>
      <c r="C380">
        <v>60</v>
      </c>
      <c r="D380">
        <v>2001</v>
      </c>
      <c r="E380">
        <v>5</v>
      </c>
      <c r="F380" t="str">
        <f t="shared" si="16"/>
        <v>18-25</v>
      </c>
      <c r="G380" t="s">
        <v>14</v>
      </c>
      <c r="H380" t="s">
        <v>1977</v>
      </c>
      <c r="I380">
        <v>46.21</v>
      </c>
      <c r="J380">
        <v>-119.16</v>
      </c>
      <c r="K380" t="s">
        <v>1978</v>
      </c>
      <c r="L380" s="4">
        <v>38241</v>
      </c>
      <c r="M380" s="4">
        <v>81833</v>
      </c>
      <c r="N380" s="11">
        <f t="shared" si="15"/>
        <v>2.1399283491540495</v>
      </c>
      <c r="O380">
        <v>596</v>
      </c>
      <c r="P380" t="str">
        <f t="shared" si="17"/>
        <v>Fair</v>
      </c>
      <c r="Q380">
        <v>1</v>
      </c>
    </row>
    <row r="381" spans="1:17" x14ac:dyDescent="0.3">
      <c r="A381">
        <v>379</v>
      </c>
      <c r="B381">
        <v>47</v>
      </c>
      <c r="C381">
        <v>65</v>
      </c>
      <c r="D381">
        <v>1972</v>
      </c>
      <c r="E381">
        <v>11</v>
      </c>
      <c r="F381" t="str">
        <f t="shared" si="16"/>
        <v>36-50</v>
      </c>
      <c r="G381" t="s">
        <v>14</v>
      </c>
      <c r="H381" t="s">
        <v>54</v>
      </c>
      <c r="I381">
        <v>30.68</v>
      </c>
      <c r="J381">
        <v>-88.04</v>
      </c>
      <c r="K381" t="s">
        <v>55</v>
      </c>
      <c r="L381" s="4">
        <v>43496</v>
      </c>
      <c r="M381" s="4">
        <v>114563</v>
      </c>
      <c r="N381" s="11">
        <f t="shared" si="15"/>
        <v>2.6338743792532648</v>
      </c>
      <c r="O381">
        <v>765</v>
      </c>
      <c r="P381" t="str">
        <f t="shared" si="17"/>
        <v>Very Good</v>
      </c>
      <c r="Q381">
        <v>3</v>
      </c>
    </row>
    <row r="382" spans="1:17" x14ac:dyDescent="0.3">
      <c r="A382">
        <v>380</v>
      </c>
      <c r="B382">
        <v>46</v>
      </c>
      <c r="C382">
        <v>70</v>
      </c>
      <c r="D382">
        <v>1974</v>
      </c>
      <c r="E382">
        <v>1</v>
      </c>
      <c r="F382" t="str">
        <f t="shared" si="16"/>
        <v>36-50</v>
      </c>
      <c r="G382" t="s">
        <v>19</v>
      </c>
      <c r="H382" t="s">
        <v>1701</v>
      </c>
      <c r="I382">
        <v>41.57</v>
      </c>
      <c r="J382">
        <v>-93.61</v>
      </c>
      <c r="K382" t="s">
        <v>1580</v>
      </c>
      <c r="L382" s="4">
        <v>37857</v>
      </c>
      <c r="M382" s="4">
        <v>57727</v>
      </c>
      <c r="N382" s="11">
        <f t="shared" si="15"/>
        <v>1.5248699051694534</v>
      </c>
      <c r="O382">
        <v>800</v>
      </c>
      <c r="P382" t="str">
        <f t="shared" si="17"/>
        <v>Excellent</v>
      </c>
      <c r="Q382">
        <v>2</v>
      </c>
    </row>
    <row r="383" spans="1:17" x14ac:dyDescent="0.3">
      <c r="A383">
        <v>381</v>
      </c>
      <c r="B383">
        <v>26</v>
      </c>
      <c r="C383">
        <v>69</v>
      </c>
      <c r="D383">
        <v>1994</v>
      </c>
      <c r="E383">
        <v>2</v>
      </c>
      <c r="F383" t="str">
        <f t="shared" si="16"/>
        <v>26-35</v>
      </c>
      <c r="G383" t="s">
        <v>19</v>
      </c>
      <c r="H383" t="s">
        <v>64</v>
      </c>
      <c r="I383">
        <v>38.72</v>
      </c>
      <c r="J383">
        <v>-90.47</v>
      </c>
      <c r="K383" t="s">
        <v>65</v>
      </c>
      <c r="L383" s="4">
        <v>51306</v>
      </c>
      <c r="M383" s="4">
        <v>68198</v>
      </c>
      <c r="N383" s="11">
        <f t="shared" si="15"/>
        <v>1.3292402448056757</v>
      </c>
      <c r="O383">
        <v>675</v>
      </c>
      <c r="P383" t="str">
        <f t="shared" si="17"/>
        <v>Good</v>
      </c>
      <c r="Q383">
        <v>1</v>
      </c>
    </row>
    <row r="384" spans="1:17" x14ac:dyDescent="0.3">
      <c r="A384">
        <v>382</v>
      </c>
      <c r="B384">
        <v>55</v>
      </c>
      <c r="C384">
        <v>68</v>
      </c>
      <c r="D384">
        <v>1964</v>
      </c>
      <c r="E384">
        <v>11</v>
      </c>
      <c r="F384" t="str">
        <f t="shared" si="16"/>
        <v>51-60</v>
      </c>
      <c r="G384" t="s">
        <v>19</v>
      </c>
      <c r="H384" t="s">
        <v>476</v>
      </c>
      <c r="I384">
        <v>34</v>
      </c>
      <c r="J384">
        <v>-118.28</v>
      </c>
      <c r="K384" t="s">
        <v>477</v>
      </c>
      <c r="L384" s="4">
        <v>23103</v>
      </c>
      <c r="M384" s="4">
        <v>63635</v>
      </c>
      <c r="N384" s="11">
        <f t="shared" si="15"/>
        <v>2.7544041899320435</v>
      </c>
      <c r="O384">
        <v>681</v>
      </c>
      <c r="P384" t="str">
        <f t="shared" si="17"/>
        <v>Good</v>
      </c>
      <c r="Q384">
        <v>3</v>
      </c>
    </row>
    <row r="385" spans="1:17" x14ac:dyDescent="0.3">
      <c r="A385">
        <v>383</v>
      </c>
      <c r="B385">
        <v>48</v>
      </c>
      <c r="C385">
        <v>66</v>
      </c>
      <c r="D385">
        <v>1971</v>
      </c>
      <c r="E385">
        <v>9</v>
      </c>
      <c r="F385" t="str">
        <f t="shared" si="16"/>
        <v>36-50</v>
      </c>
      <c r="G385" t="s">
        <v>19</v>
      </c>
      <c r="H385" t="s">
        <v>1332</v>
      </c>
      <c r="I385">
        <v>30.81</v>
      </c>
      <c r="J385">
        <v>-92.65</v>
      </c>
      <c r="K385" t="s">
        <v>1333</v>
      </c>
      <c r="L385" s="4">
        <v>34287</v>
      </c>
      <c r="M385" s="4">
        <v>77180</v>
      </c>
      <c r="N385" s="11">
        <f t="shared" si="15"/>
        <v>2.2509989208738004</v>
      </c>
      <c r="O385">
        <v>760</v>
      </c>
      <c r="P385" t="str">
        <f t="shared" si="17"/>
        <v>Very Good</v>
      </c>
      <c r="Q385">
        <v>3</v>
      </c>
    </row>
    <row r="386" spans="1:17" x14ac:dyDescent="0.3">
      <c r="A386">
        <v>384</v>
      </c>
      <c r="B386">
        <v>20</v>
      </c>
      <c r="C386">
        <v>68</v>
      </c>
      <c r="D386">
        <v>1999</v>
      </c>
      <c r="E386">
        <v>11</v>
      </c>
      <c r="F386" t="str">
        <f t="shared" si="16"/>
        <v>18-25</v>
      </c>
      <c r="G386" t="s">
        <v>19</v>
      </c>
      <c r="H386" t="s">
        <v>1654</v>
      </c>
      <c r="I386">
        <v>42.58</v>
      </c>
      <c r="J386">
        <v>-83.03</v>
      </c>
      <c r="K386" t="s">
        <v>1655</v>
      </c>
      <c r="L386" s="4">
        <v>39144</v>
      </c>
      <c r="M386" s="4">
        <v>55347</v>
      </c>
      <c r="N386" s="11">
        <f t="shared" ref="N386:N449" si="18">(M386/L386)</f>
        <v>1.4139331698344575</v>
      </c>
      <c r="O386">
        <v>702</v>
      </c>
      <c r="P386" t="str">
        <f t="shared" si="17"/>
        <v>Good</v>
      </c>
      <c r="Q386">
        <v>1</v>
      </c>
    </row>
    <row r="387" spans="1:17" x14ac:dyDescent="0.3">
      <c r="A387">
        <v>385</v>
      </c>
      <c r="B387">
        <v>79</v>
      </c>
      <c r="C387">
        <v>65</v>
      </c>
      <c r="D387">
        <v>1941</v>
      </c>
      <c r="E387">
        <v>2</v>
      </c>
      <c r="F387" t="str">
        <f t="shared" ref="F387:F450" si="19">IF(B387&lt;26,"18-25",
   IF(B387&lt;36,"26-35",
   IF(B387&lt;51,"36-50",
   IF(B387&lt;66,"51-60","65+"))))</f>
        <v>65+</v>
      </c>
      <c r="G387" t="s">
        <v>19</v>
      </c>
      <c r="H387" t="s">
        <v>1346</v>
      </c>
      <c r="I387">
        <v>32.229999999999997</v>
      </c>
      <c r="J387">
        <v>-80.86</v>
      </c>
      <c r="K387" t="s">
        <v>1347</v>
      </c>
      <c r="L387" s="4">
        <v>30434</v>
      </c>
      <c r="M387" s="4">
        <v>23883</v>
      </c>
      <c r="N387" s="11">
        <f t="shared" si="18"/>
        <v>0.78474732207399622</v>
      </c>
      <c r="O387">
        <v>740</v>
      </c>
      <c r="P387" t="str">
        <f t="shared" ref="P387:P450" si="20">IF(O387&lt;580,"Poor",
   IF(O387&lt;670,"Fair",
   IF(O387&lt;740,"Good",
   IF(O387&lt;800,"Very Good","Excellent"))))</f>
        <v>Very Good</v>
      </c>
      <c r="Q387">
        <v>7</v>
      </c>
    </row>
    <row r="388" spans="1:17" x14ac:dyDescent="0.3">
      <c r="A388">
        <v>386</v>
      </c>
      <c r="B388">
        <v>48</v>
      </c>
      <c r="C388">
        <v>64</v>
      </c>
      <c r="D388">
        <v>1971</v>
      </c>
      <c r="E388">
        <v>11</v>
      </c>
      <c r="F388" t="str">
        <f t="shared" si="19"/>
        <v>36-50</v>
      </c>
      <c r="G388" t="s">
        <v>19</v>
      </c>
      <c r="H388" t="s">
        <v>580</v>
      </c>
      <c r="I388">
        <v>42.26</v>
      </c>
      <c r="J388">
        <v>-71.8</v>
      </c>
      <c r="K388" t="s">
        <v>581</v>
      </c>
      <c r="L388" s="4">
        <v>49967</v>
      </c>
      <c r="M388" s="4">
        <v>62509</v>
      </c>
      <c r="N388" s="11">
        <f t="shared" si="18"/>
        <v>1.2510056637380671</v>
      </c>
      <c r="O388">
        <v>655</v>
      </c>
      <c r="P388" t="str">
        <f t="shared" si="20"/>
        <v>Fair</v>
      </c>
      <c r="Q388">
        <v>1</v>
      </c>
    </row>
    <row r="389" spans="1:17" x14ac:dyDescent="0.3">
      <c r="A389">
        <v>387</v>
      </c>
      <c r="B389">
        <v>34</v>
      </c>
      <c r="C389">
        <v>65</v>
      </c>
      <c r="D389">
        <v>1985</v>
      </c>
      <c r="E389">
        <v>10</v>
      </c>
      <c r="F389" t="str">
        <f t="shared" si="19"/>
        <v>26-35</v>
      </c>
      <c r="G389" t="s">
        <v>19</v>
      </c>
      <c r="H389" t="s">
        <v>637</v>
      </c>
      <c r="I389">
        <v>41.4</v>
      </c>
      <c r="J389">
        <v>-82.23</v>
      </c>
      <c r="K389" t="s">
        <v>638</v>
      </c>
      <c r="L389" s="4">
        <v>45388</v>
      </c>
      <c r="M389" s="4">
        <v>64749</v>
      </c>
      <c r="N389" s="11">
        <f t="shared" si="18"/>
        <v>1.426566493346259</v>
      </c>
      <c r="O389">
        <v>723</v>
      </c>
      <c r="P389" t="str">
        <f t="shared" si="20"/>
        <v>Good</v>
      </c>
      <c r="Q389">
        <v>1</v>
      </c>
    </row>
    <row r="390" spans="1:17" x14ac:dyDescent="0.3">
      <c r="A390">
        <v>388</v>
      </c>
      <c r="B390">
        <v>25</v>
      </c>
      <c r="C390">
        <v>66</v>
      </c>
      <c r="D390">
        <v>1994</v>
      </c>
      <c r="E390">
        <v>10</v>
      </c>
      <c r="F390" t="str">
        <f t="shared" si="19"/>
        <v>18-25</v>
      </c>
      <c r="G390" t="s">
        <v>14</v>
      </c>
      <c r="H390" t="s">
        <v>1258</v>
      </c>
      <c r="I390">
        <v>28.92</v>
      </c>
      <c r="J390">
        <v>-81.92</v>
      </c>
      <c r="K390" t="s">
        <v>605</v>
      </c>
      <c r="L390" s="4">
        <v>17310</v>
      </c>
      <c r="M390" s="4">
        <v>21853</v>
      </c>
      <c r="N390" s="11">
        <f t="shared" si="18"/>
        <v>1.2624494511842865</v>
      </c>
      <c r="O390">
        <v>749</v>
      </c>
      <c r="P390" t="str">
        <f t="shared" si="20"/>
        <v>Very Good</v>
      </c>
      <c r="Q390">
        <v>2</v>
      </c>
    </row>
    <row r="391" spans="1:17" x14ac:dyDescent="0.3">
      <c r="A391">
        <v>389</v>
      </c>
      <c r="B391">
        <v>27</v>
      </c>
      <c r="C391">
        <v>67</v>
      </c>
      <c r="D391">
        <v>1992</v>
      </c>
      <c r="E391">
        <v>7</v>
      </c>
      <c r="F391" t="str">
        <f t="shared" si="19"/>
        <v>26-35</v>
      </c>
      <c r="G391" t="s">
        <v>19</v>
      </c>
      <c r="H391" t="s">
        <v>1495</v>
      </c>
      <c r="I391">
        <v>44.53</v>
      </c>
      <c r="J391">
        <v>-73.150000000000006</v>
      </c>
      <c r="K391" t="s">
        <v>1496</v>
      </c>
      <c r="L391" s="4">
        <v>53082</v>
      </c>
      <c r="M391" s="4">
        <v>106945</v>
      </c>
      <c r="N391" s="11">
        <f t="shared" si="18"/>
        <v>2.0147130854150181</v>
      </c>
      <c r="O391">
        <v>689</v>
      </c>
      <c r="P391" t="str">
        <f t="shared" si="20"/>
        <v>Good</v>
      </c>
      <c r="Q391">
        <v>3</v>
      </c>
    </row>
    <row r="392" spans="1:17" x14ac:dyDescent="0.3">
      <c r="A392">
        <v>390</v>
      </c>
      <c r="B392">
        <v>30</v>
      </c>
      <c r="C392">
        <v>70</v>
      </c>
      <c r="D392">
        <v>1989</v>
      </c>
      <c r="E392">
        <v>4</v>
      </c>
      <c r="F392" t="str">
        <f t="shared" si="19"/>
        <v>26-35</v>
      </c>
      <c r="G392" t="s">
        <v>19</v>
      </c>
      <c r="H392" t="s">
        <v>1746</v>
      </c>
      <c r="I392">
        <v>26.14</v>
      </c>
      <c r="J392">
        <v>-80.13</v>
      </c>
      <c r="K392" t="s">
        <v>1747</v>
      </c>
      <c r="L392" s="4">
        <v>92046</v>
      </c>
      <c r="M392" s="4">
        <v>6658</v>
      </c>
      <c r="N392" s="11">
        <f t="shared" si="18"/>
        <v>7.2333398518132239E-2</v>
      </c>
      <c r="O392">
        <v>681</v>
      </c>
      <c r="P392" t="str">
        <f t="shared" si="20"/>
        <v>Good</v>
      </c>
      <c r="Q392">
        <v>2</v>
      </c>
    </row>
    <row r="393" spans="1:17" x14ac:dyDescent="0.3">
      <c r="A393">
        <v>391</v>
      </c>
      <c r="B393">
        <v>85</v>
      </c>
      <c r="C393">
        <v>66</v>
      </c>
      <c r="D393">
        <v>1934</v>
      </c>
      <c r="E393">
        <v>7</v>
      </c>
      <c r="F393" t="str">
        <f t="shared" si="19"/>
        <v>65+</v>
      </c>
      <c r="G393" t="s">
        <v>14</v>
      </c>
      <c r="H393" t="s">
        <v>1980</v>
      </c>
      <c r="I393">
        <v>33.69</v>
      </c>
      <c r="J393">
        <v>-78.89</v>
      </c>
      <c r="K393" t="s">
        <v>791</v>
      </c>
      <c r="L393" s="4">
        <v>35270</v>
      </c>
      <c r="M393" s="4">
        <v>1769</v>
      </c>
      <c r="N393" s="11">
        <f t="shared" si="18"/>
        <v>5.0155939892259714E-2</v>
      </c>
      <c r="O393">
        <v>731</v>
      </c>
      <c r="P393" t="str">
        <f t="shared" si="20"/>
        <v>Good</v>
      </c>
      <c r="Q393">
        <v>6</v>
      </c>
    </row>
    <row r="394" spans="1:17" x14ac:dyDescent="0.3">
      <c r="A394">
        <v>392</v>
      </c>
      <c r="B394">
        <v>50</v>
      </c>
      <c r="C394">
        <v>65</v>
      </c>
      <c r="D394">
        <v>1969</v>
      </c>
      <c r="E394">
        <v>11</v>
      </c>
      <c r="F394" t="str">
        <f t="shared" si="19"/>
        <v>36-50</v>
      </c>
      <c r="G394" t="s">
        <v>14</v>
      </c>
      <c r="H394" t="s">
        <v>945</v>
      </c>
      <c r="I394">
        <v>27.64</v>
      </c>
      <c r="J394">
        <v>-80.39</v>
      </c>
      <c r="K394" t="s">
        <v>946</v>
      </c>
      <c r="L394" s="4">
        <v>33098</v>
      </c>
      <c r="M394" s="4">
        <v>59605</v>
      </c>
      <c r="N394" s="11">
        <f t="shared" si="18"/>
        <v>1.8008641005498822</v>
      </c>
      <c r="O394">
        <v>775</v>
      </c>
      <c r="P394" t="str">
        <f t="shared" si="20"/>
        <v>Very Good</v>
      </c>
      <c r="Q394">
        <v>3</v>
      </c>
    </row>
    <row r="395" spans="1:17" x14ac:dyDescent="0.3">
      <c r="A395">
        <v>393</v>
      </c>
      <c r="B395">
        <v>41</v>
      </c>
      <c r="C395">
        <v>64</v>
      </c>
      <c r="D395">
        <v>1978</v>
      </c>
      <c r="E395">
        <v>12</v>
      </c>
      <c r="F395" t="str">
        <f t="shared" si="19"/>
        <v>36-50</v>
      </c>
      <c r="G395" t="s">
        <v>19</v>
      </c>
      <c r="H395" t="s">
        <v>1601</v>
      </c>
      <c r="I395">
        <v>33.44</v>
      </c>
      <c r="J395">
        <v>-94.07</v>
      </c>
      <c r="K395" t="s">
        <v>1602</v>
      </c>
      <c r="L395" s="4">
        <v>32387</v>
      </c>
      <c r="M395" s="4">
        <v>65171</v>
      </c>
      <c r="N395" s="11">
        <f t="shared" si="18"/>
        <v>2.0122580047549943</v>
      </c>
      <c r="O395">
        <v>765</v>
      </c>
      <c r="P395" t="str">
        <f t="shared" si="20"/>
        <v>Very Good</v>
      </c>
      <c r="Q395">
        <v>1</v>
      </c>
    </row>
    <row r="396" spans="1:17" x14ac:dyDescent="0.3">
      <c r="A396">
        <v>394</v>
      </c>
      <c r="B396">
        <v>52</v>
      </c>
      <c r="C396">
        <v>71</v>
      </c>
      <c r="D396">
        <v>1967</v>
      </c>
      <c r="E396">
        <v>4</v>
      </c>
      <c r="F396" t="str">
        <f t="shared" si="19"/>
        <v>51-60</v>
      </c>
      <c r="G396" t="s">
        <v>19</v>
      </c>
      <c r="H396" t="s">
        <v>809</v>
      </c>
      <c r="I396">
        <v>41.09</v>
      </c>
      <c r="J396">
        <v>-73.55</v>
      </c>
      <c r="K396" t="s">
        <v>810</v>
      </c>
      <c r="L396" s="4">
        <v>69604</v>
      </c>
      <c r="M396" s="4">
        <v>47193</v>
      </c>
      <c r="N396" s="11">
        <f t="shared" si="18"/>
        <v>0.67802137808171947</v>
      </c>
      <c r="O396">
        <v>684</v>
      </c>
      <c r="P396" t="str">
        <f t="shared" si="20"/>
        <v>Good</v>
      </c>
      <c r="Q396">
        <v>4</v>
      </c>
    </row>
    <row r="397" spans="1:17" x14ac:dyDescent="0.3">
      <c r="A397">
        <v>395</v>
      </c>
      <c r="B397">
        <v>39</v>
      </c>
      <c r="C397">
        <v>72</v>
      </c>
      <c r="D397">
        <v>1981</v>
      </c>
      <c r="E397">
        <v>2</v>
      </c>
      <c r="F397" t="str">
        <f t="shared" si="19"/>
        <v>36-50</v>
      </c>
      <c r="G397" t="s">
        <v>19</v>
      </c>
      <c r="H397" t="s">
        <v>708</v>
      </c>
      <c r="I397">
        <v>32.69</v>
      </c>
      <c r="J397">
        <v>-97.12</v>
      </c>
      <c r="K397" t="s">
        <v>709</v>
      </c>
      <c r="L397" s="4">
        <v>49611</v>
      </c>
      <c r="M397" s="4">
        <v>110543</v>
      </c>
      <c r="N397" s="11">
        <f t="shared" si="18"/>
        <v>2.2281953599000222</v>
      </c>
      <c r="O397">
        <v>739</v>
      </c>
      <c r="P397" t="str">
        <f t="shared" si="20"/>
        <v>Good</v>
      </c>
      <c r="Q397">
        <v>4</v>
      </c>
    </row>
    <row r="398" spans="1:17" x14ac:dyDescent="0.3">
      <c r="A398">
        <v>396</v>
      </c>
      <c r="B398">
        <v>89</v>
      </c>
      <c r="C398">
        <v>72</v>
      </c>
      <c r="D398">
        <v>1930</v>
      </c>
      <c r="E398">
        <v>10</v>
      </c>
      <c r="F398" t="str">
        <f t="shared" si="19"/>
        <v>65+</v>
      </c>
      <c r="G398" t="s">
        <v>14</v>
      </c>
      <c r="H398" t="s">
        <v>929</v>
      </c>
      <c r="I398">
        <v>42.07</v>
      </c>
      <c r="J398">
        <v>-87.81</v>
      </c>
      <c r="K398" t="s">
        <v>930</v>
      </c>
      <c r="L398" s="4">
        <v>50341</v>
      </c>
      <c r="M398" s="4">
        <v>3270</v>
      </c>
      <c r="N398" s="11">
        <f t="shared" si="18"/>
        <v>6.4956993305655436E-2</v>
      </c>
      <c r="O398">
        <v>735</v>
      </c>
      <c r="P398" t="str">
        <f t="shared" si="20"/>
        <v>Good</v>
      </c>
      <c r="Q398">
        <v>5</v>
      </c>
    </row>
    <row r="399" spans="1:17" x14ac:dyDescent="0.3">
      <c r="A399">
        <v>397</v>
      </c>
      <c r="B399">
        <v>30</v>
      </c>
      <c r="C399">
        <v>65</v>
      </c>
      <c r="D399">
        <v>1989</v>
      </c>
      <c r="E399">
        <v>4</v>
      </c>
      <c r="F399" t="str">
        <f t="shared" si="19"/>
        <v>26-35</v>
      </c>
      <c r="G399" t="s">
        <v>14</v>
      </c>
      <c r="H399" t="s">
        <v>1777</v>
      </c>
      <c r="I399">
        <v>39.950000000000003</v>
      </c>
      <c r="J399">
        <v>-75.16</v>
      </c>
      <c r="K399" t="s">
        <v>1778</v>
      </c>
      <c r="L399" s="4">
        <v>20424</v>
      </c>
      <c r="M399" s="4">
        <v>14743</v>
      </c>
      <c r="N399" s="11">
        <f t="shared" si="18"/>
        <v>0.72184684684684686</v>
      </c>
      <c r="O399">
        <v>770</v>
      </c>
      <c r="P399" t="str">
        <f t="shared" si="20"/>
        <v>Very Good</v>
      </c>
      <c r="Q399">
        <v>3</v>
      </c>
    </row>
    <row r="400" spans="1:17" x14ac:dyDescent="0.3">
      <c r="A400">
        <v>398</v>
      </c>
      <c r="B400">
        <v>49</v>
      </c>
      <c r="C400">
        <v>69</v>
      </c>
      <c r="D400">
        <v>1970</v>
      </c>
      <c r="E400">
        <v>11</v>
      </c>
      <c r="F400" t="str">
        <f t="shared" si="19"/>
        <v>36-50</v>
      </c>
      <c r="G400" t="s">
        <v>14</v>
      </c>
      <c r="H400" t="s">
        <v>1643</v>
      </c>
      <c r="I400">
        <v>38.51</v>
      </c>
      <c r="J400">
        <v>-121.49</v>
      </c>
      <c r="K400" t="s">
        <v>1644</v>
      </c>
      <c r="L400" s="4">
        <v>37401</v>
      </c>
      <c r="M400" s="4">
        <v>76201</v>
      </c>
      <c r="N400" s="11">
        <f t="shared" si="18"/>
        <v>2.0374054169674607</v>
      </c>
      <c r="O400">
        <v>737</v>
      </c>
      <c r="P400" t="str">
        <f t="shared" si="20"/>
        <v>Good</v>
      </c>
      <c r="Q400">
        <v>4</v>
      </c>
    </row>
    <row r="401" spans="1:17" x14ac:dyDescent="0.3">
      <c r="A401">
        <v>399</v>
      </c>
      <c r="B401">
        <v>37</v>
      </c>
      <c r="C401">
        <v>68</v>
      </c>
      <c r="D401">
        <v>1982</v>
      </c>
      <c r="E401">
        <v>5</v>
      </c>
      <c r="F401" t="str">
        <f t="shared" si="19"/>
        <v>36-50</v>
      </c>
      <c r="G401" t="s">
        <v>14</v>
      </c>
      <c r="H401" t="s">
        <v>1465</v>
      </c>
      <c r="I401">
        <v>42.35</v>
      </c>
      <c r="J401">
        <v>-71.849999999999994</v>
      </c>
      <c r="K401" t="s">
        <v>1466</v>
      </c>
      <c r="L401" s="4">
        <v>64252</v>
      </c>
      <c r="M401" s="4">
        <v>92973</v>
      </c>
      <c r="N401" s="11">
        <f t="shared" si="18"/>
        <v>1.4470055406835585</v>
      </c>
      <c r="O401">
        <v>802</v>
      </c>
      <c r="P401" t="str">
        <f t="shared" si="20"/>
        <v>Excellent</v>
      </c>
      <c r="Q401">
        <v>2</v>
      </c>
    </row>
    <row r="402" spans="1:17" x14ac:dyDescent="0.3">
      <c r="A402">
        <v>400</v>
      </c>
      <c r="B402">
        <v>46</v>
      </c>
      <c r="C402">
        <v>68</v>
      </c>
      <c r="D402">
        <v>1973</v>
      </c>
      <c r="E402">
        <v>5</v>
      </c>
      <c r="F402" t="str">
        <f t="shared" si="19"/>
        <v>36-50</v>
      </c>
      <c r="G402" t="s">
        <v>14</v>
      </c>
      <c r="H402" t="s">
        <v>1191</v>
      </c>
      <c r="I402">
        <v>30.17</v>
      </c>
      <c r="J402">
        <v>-85.67</v>
      </c>
      <c r="K402" t="s">
        <v>867</v>
      </c>
      <c r="L402" s="4">
        <v>39770</v>
      </c>
      <c r="M402" s="4">
        <v>72827</v>
      </c>
      <c r="N402" s="11">
        <f t="shared" si="18"/>
        <v>1.8312044254463162</v>
      </c>
      <c r="O402">
        <v>711</v>
      </c>
      <c r="P402" t="str">
        <f t="shared" si="20"/>
        <v>Good</v>
      </c>
      <c r="Q402">
        <v>4</v>
      </c>
    </row>
    <row r="403" spans="1:17" x14ac:dyDescent="0.3">
      <c r="A403">
        <v>401</v>
      </c>
      <c r="B403">
        <v>81</v>
      </c>
      <c r="C403">
        <v>71</v>
      </c>
      <c r="D403">
        <v>1938</v>
      </c>
      <c r="E403">
        <v>9</v>
      </c>
      <c r="F403" t="str">
        <f t="shared" si="19"/>
        <v>65+</v>
      </c>
      <c r="G403" t="s">
        <v>19</v>
      </c>
      <c r="H403" t="s">
        <v>824</v>
      </c>
      <c r="I403">
        <v>34.200000000000003</v>
      </c>
      <c r="J403">
        <v>-118.39</v>
      </c>
      <c r="K403" t="s">
        <v>825</v>
      </c>
      <c r="L403" s="4">
        <v>28644</v>
      </c>
      <c r="M403" s="4">
        <v>879</v>
      </c>
      <c r="N403" s="11">
        <f t="shared" si="18"/>
        <v>3.0687054880603269E-2</v>
      </c>
      <c r="O403">
        <v>806</v>
      </c>
      <c r="P403" t="str">
        <f t="shared" si="20"/>
        <v>Excellent</v>
      </c>
      <c r="Q403">
        <v>7</v>
      </c>
    </row>
    <row r="404" spans="1:17" x14ac:dyDescent="0.3">
      <c r="A404">
        <v>402</v>
      </c>
      <c r="B404">
        <v>47</v>
      </c>
      <c r="C404">
        <v>72</v>
      </c>
      <c r="D404">
        <v>1972</v>
      </c>
      <c r="E404">
        <v>6</v>
      </c>
      <c r="F404" t="str">
        <f t="shared" si="19"/>
        <v>36-50</v>
      </c>
      <c r="G404" t="s">
        <v>19</v>
      </c>
      <c r="H404" t="s">
        <v>1280</v>
      </c>
      <c r="I404">
        <v>33.83</v>
      </c>
      <c r="J404">
        <v>-83.89</v>
      </c>
      <c r="K404" t="s">
        <v>859</v>
      </c>
      <c r="L404" s="4">
        <v>43954</v>
      </c>
      <c r="M404" s="4">
        <v>60913</v>
      </c>
      <c r="N404" s="11">
        <f t="shared" si="18"/>
        <v>1.3858351913363971</v>
      </c>
      <c r="O404">
        <v>744</v>
      </c>
      <c r="P404" t="str">
        <f t="shared" si="20"/>
        <v>Very Good</v>
      </c>
      <c r="Q404">
        <v>3</v>
      </c>
    </row>
    <row r="405" spans="1:17" x14ac:dyDescent="0.3">
      <c r="A405">
        <v>403</v>
      </c>
      <c r="B405">
        <v>33</v>
      </c>
      <c r="C405">
        <v>72</v>
      </c>
      <c r="D405">
        <v>1986</v>
      </c>
      <c r="E405">
        <v>7</v>
      </c>
      <c r="F405" t="str">
        <f t="shared" si="19"/>
        <v>26-35</v>
      </c>
      <c r="G405" t="s">
        <v>19</v>
      </c>
      <c r="H405" t="s">
        <v>1556</v>
      </c>
      <c r="I405">
        <v>32.15</v>
      </c>
      <c r="J405">
        <v>-94.79</v>
      </c>
      <c r="K405" t="s">
        <v>29</v>
      </c>
      <c r="L405" s="4">
        <v>36496</v>
      </c>
      <c r="M405" s="4">
        <v>119670</v>
      </c>
      <c r="N405" s="11">
        <f t="shared" si="18"/>
        <v>3.2789894782989917</v>
      </c>
      <c r="O405">
        <v>759</v>
      </c>
      <c r="P405" t="str">
        <f t="shared" si="20"/>
        <v>Very Good</v>
      </c>
      <c r="Q405">
        <v>1</v>
      </c>
    </row>
    <row r="406" spans="1:17" x14ac:dyDescent="0.3">
      <c r="A406">
        <v>404</v>
      </c>
      <c r="B406">
        <v>44</v>
      </c>
      <c r="C406">
        <v>61</v>
      </c>
      <c r="D406">
        <v>1975</v>
      </c>
      <c r="E406">
        <v>9</v>
      </c>
      <c r="F406" t="str">
        <f t="shared" si="19"/>
        <v>36-50</v>
      </c>
      <c r="G406" t="s">
        <v>19</v>
      </c>
      <c r="H406" t="s">
        <v>1200</v>
      </c>
      <c r="I406">
        <v>29.77</v>
      </c>
      <c r="J406">
        <v>-82.48</v>
      </c>
      <c r="K406" t="s">
        <v>1201</v>
      </c>
      <c r="L406" s="4">
        <v>44816</v>
      </c>
      <c r="M406" s="4">
        <v>63043</v>
      </c>
      <c r="N406" s="11">
        <f t="shared" si="18"/>
        <v>1.4067074259193146</v>
      </c>
      <c r="O406">
        <v>625</v>
      </c>
      <c r="P406" t="str">
        <f t="shared" si="20"/>
        <v>Fair</v>
      </c>
      <c r="Q406">
        <v>1</v>
      </c>
    </row>
    <row r="407" spans="1:17" x14ac:dyDescent="0.3">
      <c r="A407">
        <v>405</v>
      </c>
      <c r="B407">
        <v>30</v>
      </c>
      <c r="C407">
        <v>67</v>
      </c>
      <c r="D407">
        <v>1989</v>
      </c>
      <c r="E407">
        <v>3</v>
      </c>
      <c r="F407" t="str">
        <f t="shared" si="19"/>
        <v>26-35</v>
      </c>
      <c r="G407" t="s">
        <v>19</v>
      </c>
      <c r="H407" t="s">
        <v>1378</v>
      </c>
      <c r="I407">
        <v>33.42</v>
      </c>
      <c r="J407">
        <v>-112.2</v>
      </c>
      <c r="K407" t="s">
        <v>1379</v>
      </c>
      <c r="L407" s="4">
        <v>34998</v>
      </c>
      <c r="M407" s="4">
        <v>60749</v>
      </c>
      <c r="N407" s="11">
        <f t="shared" si="18"/>
        <v>1.7357849019943996</v>
      </c>
      <c r="O407">
        <v>627</v>
      </c>
      <c r="P407" t="str">
        <f t="shared" si="20"/>
        <v>Fair</v>
      </c>
      <c r="Q407">
        <v>1</v>
      </c>
    </row>
    <row r="408" spans="1:17" x14ac:dyDescent="0.3">
      <c r="A408">
        <v>406</v>
      </c>
      <c r="B408">
        <v>23</v>
      </c>
      <c r="C408">
        <v>64</v>
      </c>
      <c r="D408">
        <v>1996</v>
      </c>
      <c r="E408">
        <v>5</v>
      </c>
      <c r="F408" t="str">
        <f t="shared" si="19"/>
        <v>18-25</v>
      </c>
      <c r="G408" t="s">
        <v>14</v>
      </c>
      <c r="H408" t="s">
        <v>122</v>
      </c>
      <c r="I408">
        <v>37.299999999999997</v>
      </c>
      <c r="J408">
        <v>-122</v>
      </c>
      <c r="K408" t="s">
        <v>123</v>
      </c>
      <c r="L408" s="4">
        <v>85128</v>
      </c>
      <c r="M408" s="4">
        <v>108678</v>
      </c>
      <c r="N408" s="11">
        <f t="shared" si="18"/>
        <v>1.2766422328728504</v>
      </c>
      <c r="O408">
        <v>641</v>
      </c>
      <c r="P408" t="str">
        <f t="shared" si="20"/>
        <v>Fair</v>
      </c>
      <c r="Q408">
        <v>1</v>
      </c>
    </row>
    <row r="409" spans="1:17" x14ac:dyDescent="0.3">
      <c r="A409">
        <v>407</v>
      </c>
      <c r="B409">
        <v>23</v>
      </c>
      <c r="C409">
        <v>66</v>
      </c>
      <c r="D409">
        <v>1996</v>
      </c>
      <c r="E409">
        <v>8</v>
      </c>
      <c r="F409" t="str">
        <f t="shared" si="19"/>
        <v>18-25</v>
      </c>
      <c r="G409" t="s">
        <v>14</v>
      </c>
      <c r="H409" t="s">
        <v>750</v>
      </c>
      <c r="I409">
        <v>41.83</v>
      </c>
      <c r="J409">
        <v>-87.68</v>
      </c>
      <c r="K409" t="s">
        <v>751</v>
      </c>
      <c r="L409" s="4">
        <v>42454</v>
      </c>
      <c r="M409" s="4">
        <v>63754</v>
      </c>
      <c r="N409" s="11">
        <f t="shared" si="18"/>
        <v>1.5017195081735526</v>
      </c>
      <c r="O409">
        <v>750</v>
      </c>
      <c r="P409" t="str">
        <f t="shared" si="20"/>
        <v>Very Good</v>
      </c>
      <c r="Q409">
        <v>4</v>
      </c>
    </row>
    <row r="410" spans="1:17" x14ac:dyDescent="0.3">
      <c r="A410">
        <v>408</v>
      </c>
      <c r="B410">
        <v>58</v>
      </c>
      <c r="C410">
        <v>62</v>
      </c>
      <c r="D410">
        <v>1961</v>
      </c>
      <c r="E410">
        <v>4</v>
      </c>
      <c r="F410" t="str">
        <f t="shared" si="19"/>
        <v>51-60</v>
      </c>
      <c r="G410" t="s">
        <v>14</v>
      </c>
      <c r="H410" t="s">
        <v>1565</v>
      </c>
      <c r="I410">
        <v>45.4</v>
      </c>
      <c r="J410">
        <v>-91.84</v>
      </c>
      <c r="K410" t="s">
        <v>1566</v>
      </c>
      <c r="L410" s="4">
        <v>31343</v>
      </c>
      <c r="M410" s="4">
        <v>49537</v>
      </c>
      <c r="N410" s="11">
        <f t="shared" si="18"/>
        <v>1.5804804900615768</v>
      </c>
      <c r="O410">
        <v>741</v>
      </c>
      <c r="P410" t="str">
        <f t="shared" si="20"/>
        <v>Very Good</v>
      </c>
      <c r="Q410">
        <v>3</v>
      </c>
    </row>
    <row r="411" spans="1:17" x14ac:dyDescent="0.3">
      <c r="A411">
        <v>409</v>
      </c>
      <c r="B411">
        <v>54</v>
      </c>
      <c r="C411">
        <v>65</v>
      </c>
      <c r="D411">
        <v>1965</v>
      </c>
      <c r="E411">
        <v>8</v>
      </c>
      <c r="F411" t="str">
        <f t="shared" si="19"/>
        <v>51-60</v>
      </c>
      <c r="G411" t="s">
        <v>14</v>
      </c>
      <c r="H411" t="s">
        <v>472</v>
      </c>
      <c r="I411">
        <v>42.49</v>
      </c>
      <c r="J411">
        <v>-92.35</v>
      </c>
      <c r="K411" t="s">
        <v>473</v>
      </c>
      <c r="L411" s="4">
        <v>29699</v>
      </c>
      <c r="M411" s="4">
        <v>6569</v>
      </c>
      <c r="N411" s="11">
        <f t="shared" si="18"/>
        <v>0.22118589851510151</v>
      </c>
      <c r="O411">
        <v>711</v>
      </c>
      <c r="P411" t="str">
        <f t="shared" si="20"/>
        <v>Good</v>
      </c>
      <c r="Q411">
        <v>3</v>
      </c>
    </row>
    <row r="412" spans="1:17" x14ac:dyDescent="0.3">
      <c r="A412">
        <v>410</v>
      </c>
      <c r="B412">
        <v>54</v>
      </c>
      <c r="C412">
        <v>60</v>
      </c>
      <c r="D412">
        <v>1966</v>
      </c>
      <c r="E412">
        <v>2</v>
      </c>
      <c r="F412" t="str">
        <f t="shared" si="19"/>
        <v>51-60</v>
      </c>
      <c r="G412" t="s">
        <v>14</v>
      </c>
      <c r="H412" t="s">
        <v>1140</v>
      </c>
      <c r="I412">
        <v>40.619999999999997</v>
      </c>
      <c r="J412">
        <v>-96.63</v>
      </c>
      <c r="K412" t="s">
        <v>828</v>
      </c>
      <c r="L412" s="4">
        <v>46956</v>
      </c>
      <c r="M412" s="4">
        <v>94340</v>
      </c>
      <c r="N412" s="11">
        <f t="shared" si="18"/>
        <v>2.0091149160916602</v>
      </c>
      <c r="O412">
        <v>610</v>
      </c>
      <c r="P412" t="str">
        <f t="shared" si="20"/>
        <v>Fair</v>
      </c>
      <c r="Q412">
        <v>2</v>
      </c>
    </row>
    <row r="413" spans="1:17" x14ac:dyDescent="0.3">
      <c r="A413">
        <v>411</v>
      </c>
      <c r="B413">
        <v>30</v>
      </c>
      <c r="C413">
        <v>67</v>
      </c>
      <c r="D413">
        <v>1990</v>
      </c>
      <c r="E413">
        <v>1</v>
      </c>
      <c r="F413" t="str">
        <f t="shared" si="19"/>
        <v>26-35</v>
      </c>
      <c r="G413" t="s">
        <v>19</v>
      </c>
      <c r="H413" t="s">
        <v>291</v>
      </c>
      <c r="I413">
        <v>43.97</v>
      </c>
      <c r="J413">
        <v>-75.91</v>
      </c>
      <c r="K413" t="s">
        <v>292</v>
      </c>
      <c r="L413" s="4">
        <v>37521</v>
      </c>
      <c r="M413" s="4">
        <v>65701</v>
      </c>
      <c r="N413" s="11">
        <f t="shared" si="18"/>
        <v>1.7510460808613844</v>
      </c>
      <c r="O413">
        <v>775</v>
      </c>
      <c r="P413" t="str">
        <f t="shared" si="20"/>
        <v>Very Good</v>
      </c>
      <c r="Q413">
        <v>2</v>
      </c>
    </row>
    <row r="414" spans="1:17" x14ac:dyDescent="0.3">
      <c r="A414">
        <v>412</v>
      </c>
      <c r="B414">
        <v>25</v>
      </c>
      <c r="C414">
        <v>65</v>
      </c>
      <c r="D414">
        <v>1994</v>
      </c>
      <c r="E414">
        <v>10</v>
      </c>
      <c r="F414" t="str">
        <f t="shared" si="19"/>
        <v>18-25</v>
      </c>
      <c r="G414" t="s">
        <v>19</v>
      </c>
      <c r="H414" t="s">
        <v>982</v>
      </c>
      <c r="I414">
        <v>36.07</v>
      </c>
      <c r="J414">
        <v>-94.15</v>
      </c>
      <c r="K414" t="s">
        <v>983</v>
      </c>
      <c r="L414" s="4">
        <v>46822</v>
      </c>
      <c r="M414" s="4">
        <v>0</v>
      </c>
      <c r="N414" s="11">
        <f t="shared" si="18"/>
        <v>0</v>
      </c>
      <c r="O414">
        <v>810</v>
      </c>
      <c r="P414" t="str">
        <f t="shared" si="20"/>
        <v>Excellent</v>
      </c>
      <c r="Q414">
        <v>4</v>
      </c>
    </row>
    <row r="415" spans="1:17" x14ac:dyDescent="0.3">
      <c r="A415">
        <v>413</v>
      </c>
      <c r="B415">
        <v>21</v>
      </c>
      <c r="C415">
        <v>70</v>
      </c>
      <c r="D415">
        <v>1998</v>
      </c>
      <c r="E415">
        <v>3</v>
      </c>
      <c r="F415" t="str">
        <f t="shared" si="19"/>
        <v>18-25</v>
      </c>
      <c r="G415" t="s">
        <v>19</v>
      </c>
      <c r="H415" t="s">
        <v>1525</v>
      </c>
      <c r="I415">
        <v>33.86</v>
      </c>
      <c r="J415">
        <v>-84.68</v>
      </c>
      <c r="K415" t="s">
        <v>267</v>
      </c>
      <c r="L415" s="4">
        <v>51028</v>
      </c>
      <c r="M415" s="4">
        <v>105239</v>
      </c>
      <c r="N415" s="11">
        <f t="shared" si="18"/>
        <v>2.0623775182252881</v>
      </c>
      <c r="O415">
        <v>660</v>
      </c>
      <c r="P415" t="str">
        <f t="shared" si="20"/>
        <v>Fair</v>
      </c>
      <c r="Q415">
        <v>2</v>
      </c>
    </row>
    <row r="416" spans="1:17" x14ac:dyDescent="0.3">
      <c r="A416">
        <v>414</v>
      </c>
      <c r="B416">
        <v>45</v>
      </c>
      <c r="C416">
        <v>66</v>
      </c>
      <c r="D416">
        <v>1975</v>
      </c>
      <c r="E416">
        <v>1</v>
      </c>
      <c r="F416" t="str">
        <f t="shared" si="19"/>
        <v>36-50</v>
      </c>
      <c r="G416" t="s">
        <v>14</v>
      </c>
      <c r="H416" t="s">
        <v>1635</v>
      </c>
      <c r="I416">
        <v>40.79</v>
      </c>
      <c r="J416">
        <v>-74.47</v>
      </c>
      <c r="K416" t="s">
        <v>1636</v>
      </c>
      <c r="L416" s="4">
        <v>112875</v>
      </c>
      <c r="M416" s="4">
        <v>44432</v>
      </c>
      <c r="N416" s="11">
        <f t="shared" si="18"/>
        <v>0.39363898117386492</v>
      </c>
      <c r="O416">
        <v>709</v>
      </c>
      <c r="P416" t="str">
        <f t="shared" si="20"/>
        <v>Good</v>
      </c>
      <c r="Q416">
        <v>2</v>
      </c>
    </row>
    <row r="417" spans="1:17" x14ac:dyDescent="0.3">
      <c r="A417">
        <v>415</v>
      </c>
      <c r="B417">
        <v>53</v>
      </c>
      <c r="C417">
        <v>65</v>
      </c>
      <c r="D417">
        <v>1966</v>
      </c>
      <c r="E417">
        <v>5</v>
      </c>
      <c r="F417" t="str">
        <f t="shared" si="19"/>
        <v>51-60</v>
      </c>
      <c r="G417" t="s">
        <v>19</v>
      </c>
      <c r="H417" t="s">
        <v>1169</v>
      </c>
      <c r="I417">
        <v>39.53</v>
      </c>
      <c r="J417">
        <v>-83.43</v>
      </c>
      <c r="K417" t="s">
        <v>1170</v>
      </c>
      <c r="L417" s="4">
        <v>33729</v>
      </c>
      <c r="M417" s="4">
        <v>0</v>
      </c>
      <c r="N417" s="11">
        <f t="shared" si="18"/>
        <v>0</v>
      </c>
      <c r="O417">
        <v>763</v>
      </c>
      <c r="P417" t="str">
        <f t="shared" si="20"/>
        <v>Very Good</v>
      </c>
      <c r="Q417">
        <v>4</v>
      </c>
    </row>
    <row r="418" spans="1:17" x14ac:dyDescent="0.3">
      <c r="A418">
        <v>416</v>
      </c>
      <c r="B418">
        <v>86</v>
      </c>
      <c r="C418">
        <v>65</v>
      </c>
      <c r="D418">
        <v>1933</v>
      </c>
      <c r="E418">
        <v>8</v>
      </c>
      <c r="F418" t="str">
        <f t="shared" si="19"/>
        <v>65+</v>
      </c>
      <c r="G418" t="s">
        <v>14</v>
      </c>
      <c r="H418" t="s">
        <v>1111</v>
      </c>
      <c r="I418">
        <v>36.17</v>
      </c>
      <c r="J418">
        <v>-86.78</v>
      </c>
      <c r="K418" t="s">
        <v>1112</v>
      </c>
      <c r="L418" s="4">
        <v>38273</v>
      </c>
      <c r="M418" s="4">
        <v>1658</v>
      </c>
      <c r="N418" s="11">
        <f t="shared" si="18"/>
        <v>4.3320356387009117E-2</v>
      </c>
      <c r="O418">
        <v>765</v>
      </c>
      <c r="P418" t="str">
        <f t="shared" si="20"/>
        <v>Very Good</v>
      </c>
      <c r="Q418">
        <v>6</v>
      </c>
    </row>
    <row r="419" spans="1:17" x14ac:dyDescent="0.3">
      <c r="A419">
        <v>417</v>
      </c>
      <c r="B419">
        <v>21</v>
      </c>
      <c r="C419">
        <v>65</v>
      </c>
      <c r="D419">
        <v>1998</v>
      </c>
      <c r="E419">
        <v>3</v>
      </c>
      <c r="F419" t="str">
        <f t="shared" si="19"/>
        <v>18-25</v>
      </c>
      <c r="G419" t="s">
        <v>19</v>
      </c>
      <c r="H419" t="s">
        <v>170</v>
      </c>
      <c r="I419">
        <v>35.1</v>
      </c>
      <c r="J419">
        <v>-90</v>
      </c>
      <c r="K419" t="s">
        <v>171</v>
      </c>
      <c r="L419" s="4">
        <v>21879</v>
      </c>
      <c r="M419" s="4">
        <v>69638</v>
      </c>
      <c r="N419" s="11">
        <f t="shared" si="18"/>
        <v>3.182869418163536</v>
      </c>
      <c r="O419">
        <v>762</v>
      </c>
      <c r="P419" t="str">
        <f t="shared" si="20"/>
        <v>Very Good</v>
      </c>
      <c r="Q419">
        <v>1</v>
      </c>
    </row>
    <row r="420" spans="1:17" x14ac:dyDescent="0.3">
      <c r="A420">
        <v>418</v>
      </c>
      <c r="B420">
        <v>29</v>
      </c>
      <c r="C420">
        <v>66</v>
      </c>
      <c r="D420">
        <v>1990</v>
      </c>
      <c r="E420">
        <v>7</v>
      </c>
      <c r="F420" t="str">
        <f t="shared" si="19"/>
        <v>26-35</v>
      </c>
      <c r="G420" t="s">
        <v>19</v>
      </c>
      <c r="H420" t="s">
        <v>1438</v>
      </c>
      <c r="I420">
        <v>33.56</v>
      </c>
      <c r="J420">
        <v>-112.57</v>
      </c>
      <c r="K420" t="s">
        <v>1439</v>
      </c>
      <c r="L420" s="4">
        <v>51891</v>
      </c>
      <c r="M420" s="4">
        <v>83166</v>
      </c>
      <c r="N420" s="11">
        <f t="shared" si="18"/>
        <v>1.6027056715037289</v>
      </c>
      <c r="O420">
        <v>693</v>
      </c>
      <c r="P420" t="str">
        <f t="shared" si="20"/>
        <v>Good</v>
      </c>
      <c r="Q420">
        <v>4</v>
      </c>
    </row>
    <row r="421" spans="1:17" x14ac:dyDescent="0.3">
      <c r="A421">
        <v>419</v>
      </c>
      <c r="B421">
        <v>60</v>
      </c>
      <c r="C421">
        <v>66</v>
      </c>
      <c r="D421">
        <v>1959</v>
      </c>
      <c r="E421">
        <v>11</v>
      </c>
      <c r="F421" t="str">
        <f t="shared" si="19"/>
        <v>51-60</v>
      </c>
      <c r="G421" t="s">
        <v>19</v>
      </c>
      <c r="H421" t="s">
        <v>1328</v>
      </c>
      <c r="I421">
        <v>38.14</v>
      </c>
      <c r="J421">
        <v>-120.45</v>
      </c>
      <c r="K421" t="s">
        <v>1329</v>
      </c>
      <c r="L421" s="4">
        <v>33540</v>
      </c>
      <c r="M421" s="4">
        <v>74530</v>
      </c>
      <c r="N421" s="11">
        <f t="shared" si="18"/>
        <v>2.2221228384019081</v>
      </c>
      <c r="O421">
        <v>734</v>
      </c>
      <c r="P421" t="str">
        <f t="shared" si="20"/>
        <v>Good</v>
      </c>
      <c r="Q421">
        <v>5</v>
      </c>
    </row>
    <row r="422" spans="1:17" x14ac:dyDescent="0.3">
      <c r="A422">
        <v>420</v>
      </c>
      <c r="B422">
        <v>22</v>
      </c>
      <c r="C422">
        <v>62</v>
      </c>
      <c r="D422">
        <v>1998</v>
      </c>
      <c r="E422">
        <v>2</v>
      </c>
      <c r="F422" t="str">
        <f t="shared" si="19"/>
        <v>18-25</v>
      </c>
      <c r="G422" t="s">
        <v>19</v>
      </c>
      <c r="H422" t="s">
        <v>1962</v>
      </c>
      <c r="I422">
        <v>33.82</v>
      </c>
      <c r="J422">
        <v>-117.91</v>
      </c>
      <c r="K422" t="s">
        <v>1494</v>
      </c>
      <c r="L422" s="4">
        <v>33140</v>
      </c>
      <c r="M422" s="4">
        <v>51305</v>
      </c>
      <c r="N422" s="11">
        <f t="shared" si="18"/>
        <v>1.5481291490645746</v>
      </c>
      <c r="O422">
        <v>744</v>
      </c>
      <c r="P422" t="str">
        <f t="shared" si="20"/>
        <v>Very Good</v>
      </c>
      <c r="Q422">
        <v>1</v>
      </c>
    </row>
    <row r="423" spans="1:17" x14ac:dyDescent="0.3">
      <c r="A423">
        <v>421</v>
      </c>
      <c r="B423">
        <v>53</v>
      </c>
      <c r="C423">
        <v>67</v>
      </c>
      <c r="D423">
        <v>1967</v>
      </c>
      <c r="E423">
        <v>1</v>
      </c>
      <c r="F423" t="str">
        <f t="shared" si="19"/>
        <v>51-60</v>
      </c>
      <c r="G423" t="s">
        <v>14</v>
      </c>
      <c r="H423" t="s">
        <v>297</v>
      </c>
      <c r="I423">
        <v>41.97</v>
      </c>
      <c r="J423">
        <v>-91.66</v>
      </c>
      <c r="K423" t="s">
        <v>298</v>
      </c>
      <c r="L423" s="4">
        <v>45876</v>
      </c>
      <c r="M423" s="4">
        <v>58252</v>
      </c>
      <c r="N423" s="11">
        <f t="shared" si="18"/>
        <v>1.2697706861975762</v>
      </c>
      <c r="O423">
        <v>790</v>
      </c>
      <c r="P423" t="str">
        <f t="shared" si="20"/>
        <v>Very Good</v>
      </c>
      <c r="Q423">
        <v>7</v>
      </c>
    </row>
    <row r="424" spans="1:17" x14ac:dyDescent="0.3">
      <c r="A424">
        <v>422</v>
      </c>
      <c r="B424">
        <v>19</v>
      </c>
      <c r="C424">
        <v>62</v>
      </c>
      <c r="D424">
        <v>2000</v>
      </c>
      <c r="E424">
        <v>11</v>
      </c>
      <c r="F424" t="str">
        <f t="shared" si="19"/>
        <v>18-25</v>
      </c>
      <c r="G424" t="s">
        <v>14</v>
      </c>
      <c r="H424" t="s">
        <v>386</v>
      </c>
      <c r="I424">
        <v>39.979999999999997</v>
      </c>
      <c r="J424">
        <v>-82.98</v>
      </c>
      <c r="K424" t="s">
        <v>387</v>
      </c>
      <c r="L424" s="4">
        <v>31683</v>
      </c>
      <c r="M424" s="4">
        <v>46987</v>
      </c>
      <c r="N424" s="11">
        <f t="shared" si="18"/>
        <v>1.4830350661237888</v>
      </c>
      <c r="O424">
        <v>817</v>
      </c>
      <c r="P424" t="str">
        <f t="shared" si="20"/>
        <v>Excellent</v>
      </c>
      <c r="Q424">
        <v>4</v>
      </c>
    </row>
    <row r="425" spans="1:17" x14ac:dyDescent="0.3">
      <c r="A425">
        <v>423</v>
      </c>
      <c r="B425">
        <v>28</v>
      </c>
      <c r="C425">
        <v>70</v>
      </c>
      <c r="D425">
        <v>1991</v>
      </c>
      <c r="E425">
        <v>3</v>
      </c>
      <c r="F425" t="str">
        <f t="shared" si="19"/>
        <v>26-35</v>
      </c>
      <c r="G425" t="s">
        <v>14</v>
      </c>
      <c r="H425" t="s">
        <v>460</v>
      </c>
      <c r="I425">
        <v>33.619999999999997</v>
      </c>
      <c r="J425">
        <v>-112.05</v>
      </c>
      <c r="K425" t="s">
        <v>461</v>
      </c>
      <c r="L425" s="4">
        <v>53053</v>
      </c>
      <c r="M425" s="4">
        <v>42396</v>
      </c>
      <c r="N425" s="11">
        <f t="shared" si="18"/>
        <v>0.79912540289898781</v>
      </c>
      <c r="O425">
        <v>696</v>
      </c>
      <c r="P425" t="str">
        <f t="shared" si="20"/>
        <v>Good</v>
      </c>
      <c r="Q425">
        <v>2</v>
      </c>
    </row>
    <row r="426" spans="1:17" x14ac:dyDescent="0.3">
      <c r="A426">
        <v>424</v>
      </c>
      <c r="B426">
        <v>24</v>
      </c>
      <c r="C426">
        <v>69</v>
      </c>
      <c r="D426">
        <v>1995</v>
      </c>
      <c r="E426">
        <v>4</v>
      </c>
      <c r="F426" t="str">
        <f t="shared" si="19"/>
        <v>18-25</v>
      </c>
      <c r="G426" t="s">
        <v>14</v>
      </c>
      <c r="H426" t="s">
        <v>1158</v>
      </c>
      <c r="I426">
        <v>40.29</v>
      </c>
      <c r="J426">
        <v>-79.989999999999995</v>
      </c>
      <c r="K426" t="s">
        <v>1159</v>
      </c>
      <c r="L426" s="4">
        <v>51045</v>
      </c>
      <c r="M426" s="4">
        <v>127864</v>
      </c>
      <c r="N426" s="11">
        <f t="shared" si="18"/>
        <v>2.504927025173866</v>
      </c>
      <c r="O426">
        <v>772</v>
      </c>
      <c r="P426" t="str">
        <f t="shared" si="20"/>
        <v>Very Good</v>
      </c>
      <c r="Q426">
        <v>2</v>
      </c>
    </row>
    <row r="427" spans="1:17" x14ac:dyDescent="0.3">
      <c r="A427">
        <v>425</v>
      </c>
      <c r="B427">
        <v>38</v>
      </c>
      <c r="C427">
        <v>67</v>
      </c>
      <c r="D427">
        <v>1981</v>
      </c>
      <c r="E427">
        <v>11</v>
      </c>
      <c r="F427" t="str">
        <f t="shared" si="19"/>
        <v>36-50</v>
      </c>
      <c r="G427" t="s">
        <v>19</v>
      </c>
      <c r="H427" t="s">
        <v>667</v>
      </c>
      <c r="I427">
        <v>36.46</v>
      </c>
      <c r="J427">
        <v>-121.82</v>
      </c>
      <c r="K427" t="s">
        <v>668</v>
      </c>
      <c r="L427" s="4">
        <v>59482</v>
      </c>
      <c r="M427" s="4">
        <v>130605</v>
      </c>
      <c r="N427" s="11">
        <f t="shared" si="18"/>
        <v>2.1957062640798899</v>
      </c>
      <c r="O427">
        <v>688</v>
      </c>
      <c r="P427" t="str">
        <f t="shared" si="20"/>
        <v>Good</v>
      </c>
      <c r="Q427">
        <v>4</v>
      </c>
    </row>
    <row r="428" spans="1:17" x14ac:dyDescent="0.3">
      <c r="A428">
        <v>426</v>
      </c>
      <c r="B428">
        <v>26</v>
      </c>
      <c r="C428">
        <v>65</v>
      </c>
      <c r="D428">
        <v>1993</v>
      </c>
      <c r="E428">
        <v>4</v>
      </c>
      <c r="F428" t="str">
        <f t="shared" si="19"/>
        <v>26-35</v>
      </c>
      <c r="G428" t="s">
        <v>14</v>
      </c>
      <c r="H428" t="s">
        <v>1282</v>
      </c>
      <c r="I428">
        <v>42.9</v>
      </c>
      <c r="J428">
        <v>-85.82</v>
      </c>
      <c r="K428" t="s">
        <v>1283</v>
      </c>
      <c r="L428" s="4">
        <v>42348</v>
      </c>
      <c r="M428" s="4">
        <v>6204</v>
      </c>
      <c r="N428" s="11">
        <f t="shared" si="18"/>
        <v>0.14650042504958913</v>
      </c>
      <c r="O428">
        <v>754</v>
      </c>
      <c r="P428" t="str">
        <f t="shared" si="20"/>
        <v>Very Good</v>
      </c>
      <c r="Q428">
        <v>4</v>
      </c>
    </row>
    <row r="429" spans="1:17" x14ac:dyDescent="0.3">
      <c r="A429">
        <v>427</v>
      </c>
      <c r="B429">
        <v>44</v>
      </c>
      <c r="C429">
        <v>66</v>
      </c>
      <c r="D429">
        <v>1975</v>
      </c>
      <c r="E429">
        <v>11</v>
      </c>
      <c r="F429" t="str">
        <f t="shared" si="19"/>
        <v>36-50</v>
      </c>
      <c r="G429" t="s">
        <v>14</v>
      </c>
      <c r="H429" t="s">
        <v>329</v>
      </c>
      <c r="I429">
        <v>36.15</v>
      </c>
      <c r="J429">
        <v>-85.5</v>
      </c>
      <c r="K429" t="s">
        <v>49</v>
      </c>
      <c r="L429" s="4">
        <v>32527</v>
      </c>
      <c r="M429" s="4">
        <v>74331</v>
      </c>
      <c r="N429" s="11">
        <f t="shared" si="18"/>
        <v>2.2852092108094815</v>
      </c>
      <c r="O429">
        <v>705</v>
      </c>
      <c r="P429" t="str">
        <f t="shared" si="20"/>
        <v>Good</v>
      </c>
      <c r="Q429">
        <v>3</v>
      </c>
    </row>
    <row r="430" spans="1:17" x14ac:dyDescent="0.3">
      <c r="A430">
        <v>428</v>
      </c>
      <c r="B430">
        <v>39</v>
      </c>
      <c r="C430">
        <v>69</v>
      </c>
      <c r="D430">
        <v>1980</v>
      </c>
      <c r="E430">
        <v>11</v>
      </c>
      <c r="F430" t="str">
        <f t="shared" si="19"/>
        <v>36-50</v>
      </c>
      <c r="G430" t="s">
        <v>19</v>
      </c>
      <c r="H430" t="s">
        <v>568</v>
      </c>
      <c r="I430">
        <v>42.99</v>
      </c>
      <c r="J430">
        <v>-71.45</v>
      </c>
      <c r="K430" t="s">
        <v>569</v>
      </c>
      <c r="L430" s="4">
        <v>56486</v>
      </c>
      <c r="M430" s="4">
        <v>116394</v>
      </c>
      <c r="N430" s="11">
        <f t="shared" si="18"/>
        <v>2.0605813829975568</v>
      </c>
      <c r="O430">
        <v>689</v>
      </c>
      <c r="P430" t="str">
        <f t="shared" si="20"/>
        <v>Good</v>
      </c>
      <c r="Q430">
        <v>2</v>
      </c>
    </row>
    <row r="431" spans="1:17" x14ac:dyDescent="0.3">
      <c r="A431">
        <v>429</v>
      </c>
      <c r="B431">
        <v>22</v>
      </c>
      <c r="C431">
        <v>68</v>
      </c>
      <c r="D431">
        <v>1997</v>
      </c>
      <c r="E431">
        <v>11</v>
      </c>
      <c r="F431" t="str">
        <f t="shared" si="19"/>
        <v>18-25</v>
      </c>
      <c r="G431" t="s">
        <v>19</v>
      </c>
      <c r="H431" t="s">
        <v>32</v>
      </c>
      <c r="I431">
        <v>35.19</v>
      </c>
      <c r="J431">
        <v>-80.83</v>
      </c>
      <c r="K431" t="s">
        <v>33</v>
      </c>
      <c r="L431" s="4">
        <v>53995</v>
      </c>
      <c r="M431" s="4">
        <v>89056</v>
      </c>
      <c r="N431" s="11">
        <f t="shared" si="18"/>
        <v>1.6493379016575609</v>
      </c>
      <c r="O431">
        <v>683</v>
      </c>
      <c r="P431" t="str">
        <f t="shared" si="20"/>
        <v>Good</v>
      </c>
      <c r="Q431">
        <v>3</v>
      </c>
    </row>
    <row r="432" spans="1:17" x14ac:dyDescent="0.3">
      <c r="A432">
        <v>430</v>
      </c>
      <c r="B432">
        <v>52</v>
      </c>
      <c r="C432">
        <v>67</v>
      </c>
      <c r="D432">
        <v>1967</v>
      </c>
      <c r="E432">
        <v>5</v>
      </c>
      <c r="F432" t="str">
        <f t="shared" si="19"/>
        <v>51-60</v>
      </c>
      <c r="G432" t="s">
        <v>14</v>
      </c>
      <c r="H432" t="s">
        <v>1521</v>
      </c>
      <c r="I432">
        <v>41.42</v>
      </c>
      <c r="J432">
        <v>-87.35</v>
      </c>
      <c r="K432" t="s">
        <v>1522</v>
      </c>
      <c r="L432" s="4">
        <v>53350</v>
      </c>
      <c r="M432" s="4">
        <v>128676</v>
      </c>
      <c r="N432" s="11">
        <f t="shared" si="18"/>
        <v>2.4119212746016871</v>
      </c>
      <c r="O432">
        <v>685</v>
      </c>
      <c r="P432" t="str">
        <f t="shared" si="20"/>
        <v>Good</v>
      </c>
      <c r="Q432">
        <v>5</v>
      </c>
    </row>
    <row r="433" spans="1:17" x14ac:dyDescent="0.3">
      <c r="A433">
        <v>431</v>
      </c>
      <c r="B433">
        <v>19</v>
      </c>
      <c r="C433">
        <v>72</v>
      </c>
      <c r="D433">
        <v>2000</v>
      </c>
      <c r="E433">
        <v>3</v>
      </c>
      <c r="F433" t="str">
        <f t="shared" si="19"/>
        <v>18-25</v>
      </c>
      <c r="G433" t="s">
        <v>14</v>
      </c>
      <c r="H433" t="s">
        <v>143</v>
      </c>
      <c r="I433">
        <v>30.62</v>
      </c>
      <c r="J433">
        <v>-87.89</v>
      </c>
      <c r="K433" t="s">
        <v>144</v>
      </c>
      <c r="L433" s="4">
        <v>51984</v>
      </c>
      <c r="M433" s="4">
        <v>79152</v>
      </c>
      <c r="N433" s="11">
        <f t="shared" si="18"/>
        <v>1.5226223453370267</v>
      </c>
      <c r="O433">
        <v>691</v>
      </c>
      <c r="P433" t="str">
        <f t="shared" si="20"/>
        <v>Good</v>
      </c>
      <c r="Q433">
        <v>3</v>
      </c>
    </row>
    <row r="434" spans="1:17" x14ac:dyDescent="0.3">
      <c r="A434">
        <v>432</v>
      </c>
      <c r="B434">
        <v>55</v>
      </c>
      <c r="C434">
        <v>64</v>
      </c>
      <c r="D434">
        <v>1964</v>
      </c>
      <c r="E434">
        <v>11</v>
      </c>
      <c r="F434" t="str">
        <f t="shared" si="19"/>
        <v>51-60</v>
      </c>
      <c r="G434" t="s">
        <v>14</v>
      </c>
      <c r="H434" t="s">
        <v>998</v>
      </c>
      <c r="I434">
        <v>36.08</v>
      </c>
      <c r="J434">
        <v>-81.92</v>
      </c>
      <c r="K434" t="s">
        <v>999</v>
      </c>
      <c r="L434" s="4">
        <v>26546</v>
      </c>
      <c r="M434" s="4">
        <v>32087</v>
      </c>
      <c r="N434" s="11">
        <f t="shared" si="18"/>
        <v>1.2087320123559104</v>
      </c>
      <c r="O434">
        <v>686</v>
      </c>
      <c r="P434" t="str">
        <f t="shared" si="20"/>
        <v>Good</v>
      </c>
      <c r="Q434">
        <v>5</v>
      </c>
    </row>
    <row r="435" spans="1:17" x14ac:dyDescent="0.3">
      <c r="A435">
        <v>433</v>
      </c>
      <c r="B435">
        <v>49</v>
      </c>
      <c r="C435">
        <v>65</v>
      </c>
      <c r="D435">
        <v>1970</v>
      </c>
      <c r="E435">
        <v>4</v>
      </c>
      <c r="F435" t="str">
        <f t="shared" si="19"/>
        <v>36-50</v>
      </c>
      <c r="G435" t="s">
        <v>19</v>
      </c>
      <c r="H435" t="s">
        <v>907</v>
      </c>
      <c r="I435">
        <v>39.380000000000003</v>
      </c>
      <c r="J435">
        <v>-89.07</v>
      </c>
      <c r="K435" t="s">
        <v>908</v>
      </c>
      <c r="L435" s="4">
        <v>31957</v>
      </c>
      <c r="M435" s="4">
        <v>12347</v>
      </c>
      <c r="N435" s="11">
        <f t="shared" si="18"/>
        <v>0.38636292518071158</v>
      </c>
      <c r="O435">
        <v>771</v>
      </c>
      <c r="P435" t="str">
        <f t="shared" si="20"/>
        <v>Very Good</v>
      </c>
      <c r="Q435">
        <v>6</v>
      </c>
    </row>
    <row r="436" spans="1:17" x14ac:dyDescent="0.3">
      <c r="A436">
        <v>434</v>
      </c>
      <c r="B436">
        <v>31</v>
      </c>
      <c r="C436">
        <v>74</v>
      </c>
      <c r="D436">
        <v>1988</v>
      </c>
      <c r="E436">
        <v>10</v>
      </c>
      <c r="F436" t="str">
        <f t="shared" si="19"/>
        <v>26-35</v>
      </c>
      <c r="G436" t="s">
        <v>14</v>
      </c>
      <c r="H436" t="s">
        <v>1450</v>
      </c>
      <c r="I436">
        <v>42.02</v>
      </c>
      <c r="J436">
        <v>-93.62</v>
      </c>
      <c r="K436" t="s">
        <v>1451</v>
      </c>
      <c r="L436" s="4">
        <v>53395</v>
      </c>
      <c r="M436" s="4">
        <v>73370</v>
      </c>
      <c r="N436" s="11">
        <f t="shared" si="18"/>
        <v>1.3740986983799981</v>
      </c>
      <c r="O436">
        <v>785</v>
      </c>
      <c r="P436" t="str">
        <f t="shared" si="20"/>
        <v>Very Good</v>
      </c>
      <c r="Q436">
        <v>3</v>
      </c>
    </row>
    <row r="437" spans="1:17" x14ac:dyDescent="0.3">
      <c r="A437">
        <v>435</v>
      </c>
      <c r="B437">
        <v>71</v>
      </c>
      <c r="C437">
        <v>66</v>
      </c>
      <c r="D437">
        <v>1948</v>
      </c>
      <c r="E437">
        <v>8</v>
      </c>
      <c r="F437" t="str">
        <f t="shared" si="19"/>
        <v>65+</v>
      </c>
      <c r="G437" t="s">
        <v>14</v>
      </c>
      <c r="H437" t="s">
        <v>1558</v>
      </c>
      <c r="I437">
        <v>37.06</v>
      </c>
      <c r="J437">
        <v>-113.57</v>
      </c>
      <c r="K437" t="s">
        <v>1559</v>
      </c>
      <c r="L437" s="4">
        <v>23350</v>
      </c>
      <c r="M437" s="4">
        <v>19515</v>
      </c>
      <c r="N437" s="11">
        <f t="shared" si="18"/>
        <v>0.83576017130620983</v>
      </c>
      <c r="O437">
        <v>679</v>
      </c>
      <c r="P437" t="str">
        <f t="shared" si="20"/>
        <v>Good</v>
      </c>
      <c r="Q437">
        <v>2</v>
      </c>
    </row>
    <row r="438" spans="1:17" x14ac:dyDescent="0.3">
      <c r="A438">
        <v>436</v>
      </c>
      <c r="B438">
        <v>20</v>
      </c>
      <c r="C438">
        <v>65</v>
      </c>
      <c r="D438">
        <v>2000</v>
      </c>
      <c r="E438">
        <v>1</v>
      </c>
      <c r="F438" t="str">
        <f t="shared" si="19"/>
        <v>18-25</v>
      </c>
      <c r="G438" t="s">
        <v>14</v>
      </c>
      <c r="H438" t="s">
        <v>1228</v>
      </c>
      <c r="I438">
        <v>40.32</v>
      </c>
      <c r="J438">
        <v>-75.319999999999993</v>
      </c>
      <c r="K438" t="s">
        <v>24</v>
      </c>
      <c r="L438" s="4">
        <v>53569</v>
      </c>
      <c r="M438" s="4">
        <v>79540</v>
      </c>
      <c r="N438" s="11">
        <f t="shared" si="18"/>
        <v>1.48481397823368</v>
      </c>
      <c r="O438">
        <v>623</v>
      </c>
      <c r="P438" t="str">
        <f t="shared" si="20"/>
        <v>Fair</v>
      </c>
      <c r="Q438">
        <v>1</v>
      </c>
    </row>
    <row r="439" spans="1:17" x14ac:dyDescent="0.3">
      <c r="A439">
        <v>437</v>
      </c>
      <c r="B439">
        <v>46</v>
      </c>
      <c r="C439">
        <v>66</v>
      </c>
      <c r="D439">
        <v>1973</v>
      </c>
      <c r="E439">
        <v>6</v>
      </c>
      <c r="F439" t="str">
        <f t="shared" si="19"/>
        <v>36-50</v>
      </c>
      <c r="G439" t="s">
        <v>14</v>
      </c>
      <c r="H439" t="s">
        <v>227</v>
      </c>
      <c r="I439">
        <v>39.04</v>
      </c>
      <c r="J439">
        <v>-76.489999999999995</v>
      </c>
      <c r="K439" t="s">
        <v>228</v>
      </c>
      <c r="L439" s="4">
        <v>72670</v>
      </c>
      <c r="M439" s="4">
        <v>28915</v>
      </c>
      <c r="N439" s="11">
        <f t="shared" si="18"/>
        <v>0.39789459199119309</v>
      </c>
      <c r="O439">
        <v>718</v>
      </c>
      <c r="P439" t="str">
        <f t="shared" si="20"/>
        <v>Good</v>
      </c>
      <c r="Q439">
        <v>3</v>
      </c>
    </row>
    <row r="440" spans="1:17" x14ac:dyDescent="0.3">
      <c r="A440">
        <v>438</v>
      </c>
      <c r="B440">
        <v>32</v>
      </c>
      <c r="C440">
        <v>66</v>
      </c>
      <c r="D440">
        <v>1987</v>
      </c>
      <c r="E440">
        <v>10</v>
      </c>
      <c r="F440" t="str">
        <f t="shared" si="19"/>
        <v>26-35</v>
      </c>
      <c r="G440" t="s">
        <v>14</v>
      </c>
      <c r="H440" t="s">
        <v>1569</v>
      </c>
      <c r="I440">
        <v>40.72</v>
      </c>
      <c r="J440">
        <v>-74.17</v>
      </c>
      <c r="K440" t="s">
        <v>1570</v>
      </c>
      <c r="L440" s="4">
        <v>34034</v>
      </c>
      <c r="M440" s="4">
        <v>55846</v>
      </c>
      <c r="N440" s="11">
        <f t="shared" si="18"/>
        <v>1.6408885232414645</v>
      </c>
      <c r="O440">
        <v>633</v>
      </c>
      <c r="P440" t="str">
        <f t="shared" si="20"/>
        <v>Fair</v>
      </c>
      <c r="Q440">
        <v>2</v>
      </c>
    </row>
    <row r="441" spans="1:17" x14ac:dyDescent="0.3">
      <c r="A441">
        <v>439</v>
      </c>
      <c r="B441">
        <v>33</v>
      </c>
      <c r="C441">
        <v>59</v>
      </c>
      <c r="D441">
        <v>1986</v>
      </c>
      <c r="E441">
        <v>8</v>
      </c>
      <c r="F441" t="str">
        <f t="shared" si="19"/>
        <v>26-35</v>
      </c>
      <c r="G441" t="s">
        <v>14</v>
      </c>
      <c r="H441" t="s">
        <v>669</v>
      </c>
      <c r="I441">
        <v>41.47</v>
      </c>
      <c r="J441">
        <v>-87.05</v>
      </c>
      <c r="K441" t="s">
        <v>670</v>
      </c>
      <c r="L441" s="4">
        <v>51938</v>
      </c>
      <c r="M441" s="4">
        <v>97252</v>
      </c>
      <c r="N441" s="11">
        <f t="shared" si="18"/>
        <v>1.8724633216527398</v>
      </c>
      <c r="O441">
        <v>697</v>
      </c>
      <c r="P441" t="str">
        <f t="shared" si="20"/>
        <v>Good</v>
      </c>
      <c r="Q441">
        <v>2</v>
      </c>
    </row>
    <row r="442" spans="1:17" x14ac:dyDescent="0.3">
      <c r="A442">
        <v>440</v>
      </c>
      <c r="B442">
        <v>43</v>
      </c>
      <c r="C442">
        <v>50</v>
      </c>
      <c r="D442">
        <v>1976</v>
      </c>
      <c r="E442">
        <v>11</v>
      </c>
      <c r="F442" t="str">
        <f t="shared" si="19"/>
        <v>36-50</v>
      </c>
      <c r="G442" t="s">
        <v>14</v>
      </c>
      <c r="H442" t="s">
        <v>1050</v>
      </c>
      <c r="I442">
        <v>42.67</v>
      </c>
      <c r="J442">
        <v>-70.98</v>
      </c>
      <c r="K442" t="s">
        <v>1051</v>
      </c>
      <c r="L442" s="4">
        <v>106159</v>
      </c>
      <c r="M442" s="4">
        <v>144773</v>
      </c>
      <c r="N442" s="11">
        <f t="shared" si="18"/>
        <v>1.3637374127488013</v>
      </c>
      <c r="O442">
        <v>703</v>
      </c>
      <c r="P442" t="str">
        <f t="shared" si="20"/>
        <v>Good</v>
      </c>
      <c r="Q442">
        <v>5</v>
      </c>
    </row>
    <row r="443" spans="1:17" x14ac:dyDescent="0.3">
      <c r="A443">
        <v>441</v>
      </c>
      <c r="B443">
        <v>41</v>
      </c>
      <c r="C443">
        <v>64</v>
      </c>
      <c r="D443">
        <v>1978</v>
      </c>
      <c r="E443">
        <v>6</v>
      </c>
      <c r="F443" t="str">
        <f t="shared" si="19"/>
        <v>36-50</v>
      </c>
      <c r="G443" t="s">
        <v>14</v>
      </c>
      <c r="H443" t="s">
        <v>1502</v>
      </c>
      <c r="I443">
        <v>33.65</v>
      </c>
      <c r="J443">
        <v>-84.86</v>
      </c>
      <c r="K443" t="s">
        <v>1503</v>
      </c>
      <c r="L443" s="4">
        <v>46108</v>
      </c>
      <c r="M443" s="4">
        <v>64994</v>
      </c>
      <c r="N443" s="11">
        <f t="shared" si="18"/>
        <v>1.4096035395159192</v>
      </c>
      <c r="O443">
        <v>635</v>
      </c>
      <c r="P443" t="str">
        <f t="shared" si="20"/>
        <v>Fair</v>
      </c>
      <c r="Q443">
        <v>1</v>
      </c>
    </row>
    <row r="444" spans="1:17" x14ac:dyDescent="0.3">
      <c r="A444">
        <v>442</v>
      </c>
      <c r="B444">
        <v>47</v>
      </c>
      <c r="C444">
        <v>66</v>
      </c>
      <c r="D444">
        <v>1972</v>
      </c>
      <c r="E444">
        <v>8</v>
      </c>
      <c r="F444" t="str">
        <f t="shared" si="19"/>
        <v>36-50</v>
      </c>
      <c r="G444" t="s">
        <v>19</v>
      </c>
      <c r="H444" t="s">
        <v>842</v>
      </c>
      <c r="I444">
        <v>38.33</v>
      </c>
      <c r="J444">
        <v>-90.4</v>
      </c>
      <c r="K444" t="s">
        <v>843</v>
      </c>
      <c r="L444" s="4">
        <v>48600</v>
      </c>
      <c r="M444" s="4">
        <v>23992</v>
      </c>
      <c r="N444" s="11">
        <f t="shared" si="18"/>
        <v>0.49366255144032922</v>
      </c>
      <c r="O444">
        <v>791</v>
      </c>
      <c r="P444" t="str">
        <f t="shared" si="20"/>
        <v>Very Good</v>
      </c>
      <c r="Q444">
        <v>5</v>
      </c>
    </row>
    <row r="445" spans="1:17" x14ac:dyDescent="0.3">
      <c r="A445">
        <v>443</v>
      </c>
      <c r="B445">
        <v>31</v>
      </c>
      <c r="C445">
        <v>71</v>
      </c>
      <c r="D445">
        <v>1988</v>
      </c>
      <c r="E445">
        <v>5</v>
      </c>
      <c r="F445" t="str">
        <f t="shared" si="19"/>
        <v>26-35</v>
      </c>
      <c r="G445" t="s">
        <v>19</v>
      </c>
      <c r="H445" t="s">
        <v>1669</v>
      </c>
      <c r="I445">
        <v>43.15</v>
      </c>
      <c r="J445">
        <v>-72.36</v>
      </c>
      <c r="K445" t="s">
        <v>1670</v>
      </c>
      <c r="L445" s="4">
        <v>41986</v>
      </c>
      <c r="M445" s="4">
        <v>134162</v>
      </c>
      <c r="N445" s="11">
        <f t="shared" si="18"/>
        <v>3.1953984661553849</v>
      </c>
      <c r="O445">
        <v>697</v>
      </c>
      <c r="P445" t="str">
        <f t="shared" si="20"/>
        <v>Good</v>
      </c>
      <c r="Q445">
        <v>1</v>
      </c>
    </row>
    <row r="446" spans="1:17" x14ac:dyDescent="0.3">
      <c r="A446">
        <v>444</v>
      </c>
      <c r="B446">
        <v>24</v>
      </c>
      <c r="C446">
        <v>68</v>
      </c>
      <c r="D446">
        <v>1995</v>
      </c>
      <c r="E446">
        <v>9</v>
      </c>
      <c r="F446" t="str">
        <f t="shared" si="19"/>
        <v>18-25</v>
      </c>
      <c r="G446" t="s">
        <v>14</v>
      </c>
      <c r="H446" t="s">
        <v>1436</v>
      </c>
      <c r="I446">
        <v>40.840000000000003</v>
      </c>
      <c r="J446">
        <v>-73.87</v>
      </c>
      <c r="K446" t="s">
        <v>1437</v>
      </c>
      <c r="L446" s="4">
        <v>26382</v>
      </c>
      <c r="M446" s="4">
        <v>13161</v>
      </c>
      <c r="N446" s="11">
        <f t="shared" si="18"/>
        <v>0.49886286104161931</v>
      </c>
      <c r="O446">
        <v>748</v>
      </c>
      <c r="P446" t="str">
        <f t="shared" si="20"/>
        <v>Very Good</v>
      </c>
      <c r="Q446">
        <v>2</v>
      </c>
    </row>
    <row r="447" spans="1:17" x14ac:dyDescent="0.3">
      <c r="A447">
        <v>445</v>
      </c>
      <c r="B447">
        <v>42</v>
      </c>
      <c r="C447">
        <v>59</v>
      </c>
      <c r="D447">
        <v>1977</v>
      </c>
      <c r="E447">
        <v>12</v>
      </c>
      <c r="F447" t="str">
        <f t="shared" si="19"/>
        <v>36-50</v>
      </c>
      <c r="G447" t="s">
        <v>14</v>
      </c>
      <c r="H447" t="s">
        <v>381</v>
      </c>
      <c r="I447">
        <v>43.88</v>
      </c>
      <c r="J447">
        <v>-85.8</v>
      </c>
      <c r="K447" t="s">
        <v>382</v>
      </c>
      <c r="L447" s="4">
        <v>12643</v>
      </c>
      <c r="M447" s="4">
        <v>19299</v>
      </c>
      <c r="N447" s="11">
        <f t="shared" si="18"/>
        <v>1.5264573281657834</v>
      </c>
      <c r="O447">
        <v>645</v>
      </c>
      <c r="P447" t="str">
        <f t="shared" si="20"/>
        <v>Fair</v>
      </c>
      <c r="Q447">
        <v>1</v>
      </c>
    </row>
    <row r="448" spans="1:17" x14ac:dyDescent="0.3">
      <c r="A448">
        <v>446</v>
      </c>
      <c r="B448">
        <v>23</v>
      </c>
      <c r="C448">
        <v>68</v>
      </c>
      <c r="D448">
        <v>1997</v>
      </c>
      <c r="E448">
        <v>1</v>
      </c>
      <c r="F448" t="str">
        <f t="shared" si="19"/>
        <v>18-25</v>
      </c>
      <c r="G448" t="s">
        <v>19</v>
      </c>
      <c r="H448" t="s">
        <v>937</v>
      </c>
      <c r="I448">
        <v>40.69</v>
      </c>
      <c r="J448">
        <v>-73.73</v>
      </c>
      <c r="K448" t="s">
        <v>938</v>
      </c>
      <c r="L448" s="4">
        <v>49342</v>
      </c>
      <c r="M448" s="4">
        <v>56137</v>
      </c>
      <c r="N448" s="11">
        <f t="shared" si="18"/>
        <v>1.1377122937862267</v>
      </c>
      <c r="O448">
        <v>703</v>
      </c>
      <c r="P448" t="str">
        <f t="shared" si="20"/>
        <v>Good</v>
      </c>
      <c r="Q448">
        <v>1</v>
      </c>
    </row>
    <row r="449" spans="1:17" x14ac:dyDescent="0.3">
      <c r="A449">
        <v>447</v>
      </c>
      <c r="B449">
        <v>79</v>
      </c>
      <c r="C449">
        <v>68</v>
      </c>
      <c r="D449">
        <v>1940</v>
      </c>
      <c r="E449">
        <v>3</v>
      </c>
      <c r="F449" t="str">
        <f t="shared" si="19"/>
        <v>65+</v>
      </c>
      <c r="G449" t="s">
        <v>19</v>
      </c>
      <c r="H449" t="s">
        <v>623</v>
      </c>
      <c r="I449">
        <v>43.22</v>
      </c>
      <c r="J449">
        <v>-86.25</v>
      </c>
      <c r="K449" t="s">
        <v>624</v>
      </c>
      <c r="L449" s="4">
        <v>30977</v>
      </c>
      <c r="M449" s="4">
        <v>21507</v>
      </c>
      <c r="N449" s="11">
        <f t="shared" si="18"/>
        <v>0.69428931142460537</v>
      </c>
      <c r="O449">
        <v>796</v>
      </c>
      <c r="P449" t="str">
        <f t="shared" si="20"/>
        <v>Very Good</v>
      </c>
      <c r="Q449">
        <v>5</v>
      </c>
    </row>
    <row r="450" spans="1:17" x14ac:dyDescent="0.3">
      <c r="A450">
        <v>448</v>
      </c>
      <c r="B450">
        <v>41</v>
      </c>
      <c r="C450">
        <v>63</v>
      </c>
      <c r="D450">
        <v>1978</v>
      </c>
      <c r="E450">
        <v>8</v>
      </c>
      <c r="F450" t="str">
        <f t="shared" si="19"/>
        <v>36-50</v>
      </c>
      <c r="G450" t="s">
        <v>19</v>
      </c>
      <c r="H450" t="s">
        <v>671</v>
      </c>
      <c r="I450">
        <v>41.48</v>
      </c>
      <c r="J450">
        <v>-87.68</v>
      </c>
      <c r="K450" t="s">
        <v>672</v>
      </c>
      <c r="L450" s="4">
        <v>39472</v>
      </c>
      <c r="M450" s="4">
        <v>82626</v>
      </c>
      <c r="N450" s="11">
        <f t="shared" ref="N450:N513" si="21">(M450/L450)</f>
        <v>2.0932813133360355</v>
      </c>
      <c r="O450">
        <v>698</v>
      </c>
      <c r="P450" t="str">
        <f t="shared" si="20"/>
        <v>Good</v>
      </c>
      <c r="Q450">
        <v>1</v>
      </c>
    </row>
    <row r="451" spans="1:17" x14ac:dyDescent="0.3">
      <c r="A451">
        <v>449</v>
      </c>
      <c r="B451">
        <v>58</v>
      </c>
      <c r="C451">
        <v>70</v>
      </c>
      <c r="D451">
        <v>1962</v>
      </c>
      <c r="E451">
        <v>2</v>
      </c>
      <c r="F451" t="str">
        <f t="shared" ref="F451:F514" si="22">IF(B451&lt;26,"18-25",
   IF(B451&lt;36,"26-35",
   IF(B451&lt;51,"36-50",
   IF(B451&lt;66,"51-60","65+"))))</f>
        <v>51-60</v>
      </c>
      <c r="G451" t="s">
        <v>14</v>
      </c>
      <c r="H451" t="s">
        <v>1097</v>
      </c>
      <c r="I451">
        <v>40.56</v>
      </c>
      <c r="J451">
        <v>-79.75</v>
      </c>
      <c r="K451" t="s">
        <v>1098</v>
      </c>
      <c r="L451" s="4">
        <v>39796</v>
      </c>
      <c r="M451" s="4">
        <v>9452</v>
      </c>
      <c r="N451" s="11">
        <f t="shared" si="21"/>
        <v>0.23751130766911246</v>
      </c>
      <c r="O451">
        <v>729</v>
      </c>
      <c r="P451" t="str">
        <f t="shared" ref="P451:P514" si="23">IF(O451&lt;580,"Poor",
   IF(O451&lt;670,"Fair",
   IF(O451&lt;740,"Good",
   IF(O451&lt;800,"Very Good","Excellent"))))</f>
        <v>Good</v>
      </c>
      <c r="Q451">
        <v>5</v>
      </c>
    </row>
    <row r="452" spans="1:17" x14ac:dyDescent="0.3">
      <c r="A452">
        <v>450</v>
      </c>
      <c r="B452">
        <v>39</v>
      </c>
      <c r="C452">
        <v>66</v>
      </c>
      <c r="D452">
        <v>1980</v>
      </c>
      <c r="E452">
        <v>9</v>
      </c>
      <c r="F452" t="str">
        <f t="shared" si="22"/>
        <v>36-50</v>
      </c>
      <c r="G452" t="s">
        <v>19</v>
      </c>
      <c r="H452" t="s">
        <v>1211</v>
      </c>
      <c r="I452">
        <v>37.07</v>
      </c>
      <c r="J452">
        <v>-76.510000000000005</v>
      </c>
      <c r="K452" t="s">
        <v>1212</v>
      </c>
      <c r="L452" s="4">
        <v>43192</v>
      </c>
      <c r="M452" s="4">
        <v>33517</v>
      </c>
      <c r="N452" s="11">
        <f t="shared" si="21"/>
        <v>0.77600018521948511</v>
      </c>
      <c r="O452">
        <v>739</v>
      </c>
      <c r="P452" t="str">
        <f t="shared" si="23"/>
        <v>Good</v>
      </c>
      <c r="Q452">
        <v>3</v>
      </c>
    </row>
    <row r="453" spans="1:17" x14ac:dyDescent="0.3">
      <c r="A453">
        <v>451</v>
      </c>
      <c r="B453">
        <v>65</v>
      </c>
      <c r="C453">
        <v>67</v>
      </c>
      <c r="D453">
        <v>1954</v>
      </c>
      <c r="E453">
        <v>12</v>
      </c>
      <c r="F453" t="str">
        <f t="shared" si="22"/>
        <v>51-60</v>
      </c>
      <c r="G453" t="s">
        <v>19</v>
      </c>
      <c r="H453" t="s">
        <v>618</v>
      </c>
      <c r="I453">
        <v>41.26</v>
      </c>
      <c r="J453">
        <v>-96.01</v>
      </c>
      <c r="K453" t="s">
        <v>619</v>
      </c>
      <c r="L453" s="4">
        <v>28951</v>
      </c>
      <c r="M453" s="4">
        <v>56777</v>
      </c>
      <c r="N453" s="11">
        <f t="shared" si="21"/>
        <v>1.9611412386446063</v>
      </c>
      <c r="O453">
        <v>711</v>
      </c>
      <c r="P453" t="str">
        <f t="shared" si="23"/>
        <v>Good</v>
      </c>
      <c r="Q453">
        <v>2</v>
      </c>
    </row>
    <row r="454" spans="1:17" x14ac:dyDescent="0.3">
      <c r="A454">
        <v>452</v>
      </c>
      <c r="B454">
        <v>31</v>
      </c>
      <c r="C454">
        <v>74</v>
      </c>
      <c r="D454">
        <v>1988</v>
      </c>
      <c r="E454">
        <v>3</v>
      </c>
      <c r="F454" t="str">
        <f t="shared" si="22"/>
        <v>26-35</v>
      </c>
      <c r="G454" t="s">
        <v>19</v>
      </c>
      <c r="H454" t="s">
        <v>799</v>
      </c>
      <c r="I454">
        <v>29.76</v>
      </c>
      <c r="J454">
        <v>-95.38</v>
      </c>
      <c r="K454" t="s">
        <v>800</v>
      </c>
      <c r="L454" s="4">
        <v>63356</v>
      </c>
      <c r="M454" s="4">
        <v>140107</v>
      </c>
      <c r="N454" s="11">
        <f t="shared" si="21"/>
        <v>2.2114243323442135</v>
      </c>
      <c r="O454">
        <v>704</v>
      </c>
      <c r="P454" t="str">
        <f t="shared" si="23"/>
        <v>Good</v>
      </c>
      <c r="Q454">
        <v>5</v>
      </c>
    </row>
    <row r="455" spans="1:17" x14ac:dyDescent="0.3">
      <c r="A455">
        <v>453</v>
      </c>
      <c r="B455">
        <v>26</v>
      </c>
      <c r="C455">
        <v>67</v>
      </c>
      <c r="D455">
        <v>1994</v>
      </c>
      <c r="E455">
        <v>2</v>
      </c>
      <c r="F455" t="str">
        <f t="shared" si="22"/>
        <v>26-35</v>
      </c>
      <c r="G455" t="s">
        <v>14</v>
      </c>
      <c r="H455" t="s">
        <v>1040</v>
      </c>
      <c r="I455">
        <v>32.79</v>
      </c>
      <c r="J455">
        <v>-96.76</v>
      </c>
      <c r="K455" t="s">
        <v>1041</v>
      </c>
      <c r="L455" s="4">
        <v>128775</v>
      </c>
      <c r="M455" s="4">
        <v>232506</v>
      </c>
      <c r="N455" s="11">
        <f t="shared" si="21"/>
        <v>1.8055212580081537</v>
      </c>
      <c r="O455">
        <v>655</v>
      </c>
      <c r="P455" t="str">
        <f t="shared" si="23"/>
        <v>Fair</v>
      </c>
      <c r="Q455">
        <v>1</v>
      </c>
    </row>
    <row r="456" spans="1:17" x14ac:dyDescent="0.3">
      <c r="A456">
        <v>454</v>
      </c>
      <c r="B456">
        <v>88</v>
      </c>
      <c r="C456">
        <v>65</v>
      </c>
      <c r="D456">
        <v>1931</v>
      </c>
      <c r="E456">
        <v>4</v>
      </c>
      <c r="F456" t="str">
        <f t="shared" si="22"/>
        <v>65+</v>
      </c>
      <c r="G456" t="s">
        <v>14</v>
      </c>
      <c r="H456" t="s">
        <v>352</v>
      </c>
      <c r="I456">
        <v>46.87</v>
      </c>
      <c r="J456">
        <v>-96.81</v>
      </c>
      <c r="K456" t="s">
        <v>353</v>
      </c>
      <c r="L456" s="4">
        <v>38523</v>
      </c>
      <c r="M456" s="4">
        <v>49</v>
      </c>
      <c r="N456" s="11">
        <f t="shared" si="21"/>
        <v>1.2719673961010306E-3</v>
      </c>
      <c r="O456">
        <v>751</v>
      </c>
      <c r="P456" t="str">
        <f t="shared" si="23"/>
        <v>Very Good</v>
      </c>
      <c r="Q456">
        <v>5</v>
      </c>
    </row>
    <row r="457" spans="1:17" x14ac:dyDescent="0.3">
      <c r="A457">
        <v>455</v>
      </c>
      <c r="B457">
        <v>41</v>
      </c>
      <c r="C457">
        <v>69</v>
      </c>
      <c r="D457">
        <v>1979</v>
      </c>
      <c r="E457">
        <v>1</v>
      </c>
      <c r="F457" t="str">
        <f t="shared" si="22"/>
        <v>36-50</v>
      </c>
      <c r="G457" t="s">
        <v>14</v>
      </c>
      <c r="H457" t="s">
        <v>1798</v>
      </c>
      <c r="I457">
        <v>40.659999999999997</v>
      </c>
      <c r="J457">
        <v>-73.73</v>
      </c>
      <c r="K457" t="s">
        <v>1799</v>
      </c>
      <c r="L457" s="4">
        <v>49776</v>
      </c>
      <c r="M457" s="4">
        <v>17352</v>
      </c>
      <c r="N457" s="11">
        <f t="shared" si="21"/>
        <v>0.34860173577627773</v>
      </c>
      <c r="O457">
        <v>684</v>
      </c>
      <c r="P457" t="str">
        <f t="shared" si="23"/>
        <v>Good</v>
      </c>
      <c r="Q457">
        <v>3</v>
      </c>
    </row>
    <row r="458" spans="1:17" x14ac:dyDescent="0.3">
      <c r="A458">
        <v>456</v>
      </c>
      <c r="B458">
        <v>54</v>
      </c>
      <c r="C458">
        <v>63</v>
      </c>
      <c r="D458">
        <v>1965</v>
      </c>
      <c r="E458">
        <v>10</v>
      </c>
      <c r="F458" t="str">
        <f t="shared" si="22"/>
        <v>51-60</v>
      </c>
      <c r="G458" t="s">
        <v>19</v>
      </c>
      <c r="H458" t="s">
        <v>868</v>
      </c>
      <c r="I458">
        <v>26.63</v>
      </c>
      <c r="J458">
        <v>-81.99</v>
      </c>
      <c r="K458" t="s">
        <v>869</v>
      </c>
      <c r="L458" s="4">
        <v>34947</v>
      </c>
      <c r="M458" s="4">
        <v>49024</v>
      </c>
      <c r="N458" s="11">
        <f t="shared" si="21"/>
        <v>1.4028099693822074</v>
      </c>
      <c r="O458">
        <v>751</v>
      </c>
      <c r="P458" t="str">
        <f t="shared" si="23"/>
        <v>Very Good</v>
      </c>
      <c r="Q458">
        <v>3</v>
      </c>
    </row>
    <row r="459" spans="1:17" x14ac:dyDescent="0.3">
      <c r="A459">
        <v>457</v>
      </c>
      <c r="B459">
        <v>34</v>
      </c>
      <c r="C459">
        <v>65</v>
      </c>
      <c r="D459">
        <v>1985</v>
      </c>
      <c r="E459">
        <v>10</v>
      </c>
      <c r="F459" t="str">
        <f t="shared" si="22"/>
        <v>26-35</v>
      </c>
      <c r="G459" t="s">
        <v>14</v>
      </c>
      <c r="H459" t="s">
        <v>1913</v>
      </c>
      <c r="I459">
        <v>35.19</v>
      </c>
      <c r="J459">
        <v>-80.83</v>
      </c>
      <c r="K459" t="s">
        <v>1805</v>
      </c>
      <c r="L459" s="4">
        <v>36324</v>
      </c>
      <c r="M459" s="4">
        <v>56689</v>
      </c>
      <c r="N459" s="11">
        <f t="shared" si="21"/>
        <v>1.5606486069816099</v>
      </c>
      <c r="O459">
        <v>705</v>
      </c>
      <c r="P459" t="str">
        <f t="shared" si="23"/>
        <v>Good</v>
      </c>
      <c r="Q459">
        <v>4</v>
      </c>
    </row>
    <row r="460" spans="1:17" x14ac:dyDescent="0.3">
      <c r="A460">
        <v>458</v>
      </c>
      <c r="B460">
        <v>46</v>
      </c>
      <c r="C460">
        <v>62</v>
      </c>
      <c r="D460">
        <v>1973</v>
      </c>
      <c r="E460">
        <v>11</v>
      </c>
      <c r="F460" t="str">
        <f t="shared" si="22"/>
        <v>36-50</v>
      </c>
      <c r="G460" t="s">
        <v>19</v>
      </c>
      <c r="H460" t="s">
        <v>977</v>
      </c>
      <c r="I460">
        <v>33.630000000000003</v>
      </c>
      <c r="J460">
        <v>-112.09</v>
      </c>
      <c r="K460" t="s">
        <v>978</v>
      </c>
      <c r="L460" s="4">
        <v>49068</v>
      </c>
      <c r="M460" s="4">
        <v>123937</v>
      </c>
      <c r="N460" s="11">
        <f t="shared" si="21"/>
        <v>2.5258213092035544</v>
      </c>
      <c r="O460">
        <v>530</v>
      </c>
      <c r="P460" t="str">
        <f t="shared" si="23"/>
        <v>Poor</v>
      </c>
      <c r="Q460">
        <v>2</v>
      </c>
    </row>
    <row r="461" spans="1:17" x14ac:dyDescent="0.3">
      <c r="A461">
        <v>459</v>
      </c>
      <c r="B461">
        <v>65</v>
      </c>
      <c r="C461">
        <v>70</v>
      </c>
      <c r="D461">
        <v>1954</v>
      </c>
      <c r="E461">
        <v>5</v>
      </c>
      <c r="F461" t="str">
        <f t="shared" si="22"/>
        <v>51-60</v>
      </c>
      <c r="G461" t="s">
        <v>19</v>
      </c>
      <c r="H461" t="s">
        <v>1903</v>
      </c>
      <c r="I461">
        <v>33.36</v>
      </c>
      <c r="J461">
        <v>-81.28</v>
      </c>
      <c r="K461" t="s">
        <v>1904</v>
      </c>
      <c r="L461" s="4">
        <v>25257</v>
      </c>
      <c r="M461" s="4">
        <v>83995</v>
      </c>
      <c r="N461" s="11">
        <f t="shared" si="21"/>
        <v>3.3256127014293067</v>
      </c>
      <c r="O461">
        <v>734</v>
      </c>
      <c r="P461" t="str">
        <f t="shared" si="23"/>
        <v>Good</v>
      </c>
      <c r="Q461">
        <v>6</v>
      </c>
    </row>
    <row r="462" spans="1:17" x14ac:dyDescent="0.3">
      <c r="A462">
        <v>460</v>
      </c>
      <c r="B462">
        <v>65</v>
      </c>
      <c r="C462">
        <v>65</v>
      </c>
      <c r="D462">
        <v>1954</v>
      </c>
      <c r="E462">
        <v>12</v>
      </c>
      <c r="F462" t="str">
        <f t="shared" si="22"/>
        <v>51-60</v>
      </c>
      <c r="G462" t="s">
        <v>19</v>
      </c>
      <c r="H462" t="s">
        <v>950</v>
      </c>
      <c r="I462">
        <v>41.02</v>
      </c>
      <c r="J462">
        <v>-73.8</v>
      </c>
      <c r="K462" t="s">
        <v>951</v>
      </c>
      <c r="L462" s="4">
        <v>40957</v>
      </c>
      <c r="M462" s="4">
        <v>64144</v>
      </c>
      <c r="N462" s="11">
        <f t="shared" si="21"/>
        <v>1.5661303318114119</v>
      </c>
      <c r="O462">
        <v>608</v>
      </c>
      <c r="P462" t="str">
        <f t="shared" si="23"/>
        <v>Fair</v>
      </c>
      <c r="Q462">
        <v>4</v>
      </c>
    </row>
    <row r="463" spans="1:17" x14ac:dyDescent="0.3">
      <c r="A463">
        <v>461</v>
      </c>
      <c r="B463">
        <v>42</v>
      </c>
      <c r="C463">
        <v>68</v>
      </c>
      <c r="D463">
        <v>1977</v>
      </c>
      <c r="E463">
        <v>12</v>
      </c>
      <c r="F463" t="str">
        <f t="shared" si="22"/>
        <v>36-50</v>
      </c>
      <c r="G463" t="s">
        <v>14</v>
      </c>
      <c r="H463" t="s">
        <v>70</v>
      </c>
      <c r="I463">
        <v>42.3</v>
      </c>
      <c r="J463">
        <v>-83.48</v>
      </c>
      <c r="K463" t="s">
        <v>71</v>
      </c>
      <c r="L463" s="4">
        <v>65403</v>
      </c>
      <c r="M463" s="4">
        <v>80057</v>
      </c>
      <c r="N463" s="11">
        <f t="shared" si="21"/>
        <v>1.2240570004434048</v>
      </c>
      <c r="O463">
        <v>784</v>
      </c>
      <c r="P463" t="str">
        <f t="shared" si="23"/>
        <v>Very Good</v>
      </c>
      <c r="Q463">
        <v>4</v>
      </c>
    </row>
    <row r="464" spans="1:17" x14ac:dyDescent="0.3">
      <c r="A464">
        <v>462</v>
      </c>
      <c r="B464">
        <v>63</v>
      </c>
      <c r="C464">
        <v>57</v>
      </c>
      <c r="D464">
        <v>1956</v>
      </c>
      <c r="E464">
        <v>9</v>
      </c>
      <c r="F464" t="str">
        <f t="shared" si="22"/>
        <v>51-60</v>
      </c>
      <c r="G464" t="s">
        <v>14</v>
      </c>
      <c r="H464" t="s">
        <v>1478</v>
      </c>
      <c r="I464">
        <v>40.619999999999997</v>
      </c>
      <c r="J464">
        <v>-75.36</v>
      </c>
      <c r="K464" t="s">
        <v>1479</v>
      </c>
      <c r="L464" s="4">
        <v>50696</v>
      </c>
      <c r="M464" s="4">
        <v>32793</v>
      </c>
      <c r="N464" s="11">
        <f t="shared" si="21"/>
        <v>0.64685576771342912</v>
      </c>
      <c r="O464">
        <v>767</v>
      </c>
      <c r="P464" t="str">
        <f t="shared" si="23"/>
        <v>Very Good</v>
      </c>
      <c r="Q464">
        <v>5</v>
      </c>
    </row>
    <row r="465" spans="1:17" x14ac:dyDescent="0.3">
      <c r="A465">
        <v>463</v>
      </c>
      <c r="B465">
        <v>32</v>
      </c>
      <c r="C465">
        <v>74</v>
      </c>
      <c r="D465">
        <v>1987</v>
      </c>
      <c r="E465">
        <v>5</v>
      </c>
      <c r="F465" t="str">
        <f t="shared" si="22"/>
        <v>26-35</v>
      </c>
      <c r="G465" t="s">
        <v>14</v>
      </c>
      <c r="H465" t="s">
        <v>1843</v>
      </c>
      <c r="I465">
        <v>40.71</v>
      </c>
      <c r="J465">
        <v>-73.989999999999995</v>
      </c>
      <c r="K465" t="s">
        <v>1844</v>
      </c>
      <c r="L465" s="4">
        <v>40256</v>
      </c>
      <c r="M465" s="4">
        <v>0</v>
      </c>
      <c r="N465" s="11">
        <f t="shared" si="21"/>
        <v>0</v>
      </c>
      <c r="O465">
        <v>719</v>
      </c>
      <c r="P465" t="str">
        <f t="shared" si="23"/>
        <v>Good</v>
      </c>
      <c r="Q465">
        <v>2</v>
      </c>
    </row>
    <row r="466" spans="1:17" x14ac:dyDescent="0.3">
      <c r="A466">
        <v>464</v>
      </c>
      <c r="B466">
        <v>36</v>
      </c>
      <c r="C466">
        <v>64</v>
      </c>
      <c r="D466">
        <v>1983</v>
      </c>
      <c r="E466">
        <v>11</v>
      </c>
      <c r="F466" t="str">
        <f t="shared" si="22"/>
        <v>36-50</v>
      </c>
      <c r="G466" t="s">
        <v>19</v>
      </c>
      <c r="H466" t="s">
        <v>1690</v>
      </c>
      <c r="I466">
        <v>28.5</v>
      </c>
      <c r="J466">
        <v>-81.37</v>
      </c>
      <c r="K466" t="s">
        <v>1691</v>
      </c>
      <c r="L466" s="4">
        <v>67444</v>
      </c>
      <c r="M466" s="4">
        <v>93513</v>
      </c>
      <c r="N466" s="11">
        <f t="shared" si="21"/>
        <v>1.3865280825573809</v>
      </c>
      <c r="O466">
        <v>850</v>
      </c>
      <c r="P466" t="str">
        <f t="shared" si="23"/>
        <v>Excellent</v>
      </c>
      <c r="Q466">
        <v>1</v>
      </c>
    </row>
    <row r="467" spans="1:17" x14ac:dyDescent="0.3">
      <c r="A467">
        <v>465</v>
      </c>
      <c r="B467">
        <v>47</v>
      </c>
      <c r="C467">
        <v>72</v>
      </c>
      <c r="D467">
        <v>1972</v>
      </c>
      <c r="E467">
        <v>5</v>
      </c>
      <c r="F467" t="str">
        <f t="shared" si="22"/>
        <v>36-50</v>
      </c>
      <c r="G467" t="s">
        <v>19</v>
      </c>
      <c r="H467" t="s">
        <v>1694</v>
      </c>
      <c r="I467">
        <v>34.42</v>
      </c>
      <c r="J467">
        <v>-84.11</v>
      </c>
      <c r="K467" t="s">
        <v>213</v>
      </c>
      <c r="L467" s="4">
        <v>41965</v>
      </c>
      <c r="M467" s="4">
        <v>55700</v>
      </c>
      <c r="N467" s="11">
        <f t="shared" si="21"/>
        <v>1.3272965566543549</v>
      </c>
      <c r="O467">
        <v>724</v>
      </c>
      <c r="P467" t="str">
        <f t="shared" si="23"/>
        <v>Good</v>
      </c>
      <c r="Q467">
        <v>2</v>
      </c>
    </row>
    <row r="468" spans="1:17" x14ac:dyDescent="0.3">
      <c r="A468">
        <v>466</v>
      </c>
      <c r="B468">
        <v>58</v>
      </c>
      <c r="C468">
        <v>64</v>
      </c>
      <c r="D468">
        <v>1961</v>
      </c>
      <c r="E468">
        <v>8</v>
      </c>
      <c r="F468" t="str">
        <f t="shared" si="22"/>
        <v>51-60</v>
      </c>
      <c r="G468" t="s">
        <v>14</v>
      </c>
      <c r="H468" t="s">
        <v>506</v>
      </c>
      <c r="I468">
        <v>40.4</v>
      </c>
      <c r="J468">
        <v>-81.349999999999994</v>
      </c>
      <c r="K468" t="s">
        <v>507</v>
      </c>
      <c r="L468" s="4">
        <v>29519</v>
      </c>
      <c r="M468" s="4">
        <v>45597</v>
      </c>
      <c r="N468" s="11">
        <f t="shared" si="21"/>
        <v>1.5446661472272096</v>
      </c>
      <c r="O468">
        <v>643</v>
      </c>
      <c r="P468" t="str">
        <f t="shared" si="23"/>
        <v>Fair</v>
      </c>
      <c r="Q468">
        <v>3</v>
      </c>
    </row>
    <row r="469" spans="1:17" x14ac:dyDescent="0.3">
      <c r="A469">
        <v>467</v>
      </c>
      <c r="B469">
        <v>38</v>
      </c>
      <c r="C469">
        <v>65</v>
      </c>
      <c r="D469">
        <v>1981</v>
      </c>
      <c r="E469">
        <v>9</v>
      </c>
      <c r="F469" t="str">
        <f t="shared" si="22"/>
        <v>36-50</v>
      </c>
      <c r="G469" t="s">
        <v>19</v>
      </c>
      <c r="H469" t="s">
        <v>1480</v>
      </c>
      <c r="I469">
        <v>35.06</v>
      </c>
      <c r="J469">
        <v>-85.25</v>
      </c>
      <c r="K469" t="s">
        <v>1481</v>
      </c>
      <c r="L469" s="4">
        <v>44831</v>
      </c>
      <c r="M469" s="4">
        <v>20906</v>
      </c>
      <c r="N469" s="11">
        <f t="shared" si="21"/>
        <v>0.46632910262987665</v>
      </c>
      <c r="O469">
        <v>705</v>
      </c>
      <c r="P469" t="str">
        <f t="shared" si="23"/>
        <v>Good</v>
      </c>
      <c r="Q469">
        <v>3</v>
      </c>
    </row>
    <row r="470" spans="1:17" x14ac:dyDescent="0.3">
      <c r="A470">
        <v>468</v>
      </c>
      <c r="B470">
        <v>48</v>
      </c>
      <c r="C470">
        <v>65</v>
      </c>
      <c r="D470">
        <v>1971</v>
      </c>
      <c r="E470">
        <v>9</v>
      </c>
      <c r="F470" t="str">
        <f t="shared" si="22"/>
        <v>36-50</v>
      </c>
      <c r="G470" t="s">
        <v>14</v>
      </c>
      <c r="H470" t="s">
        <v>1301</v>
      </c>
      <c r="I470">
        <v>41.65</v>
      </c>
      <c r="J470">
        <v>-91.53</v>
      </c>
      <c r="K470" t="s">
        <v>1302</v>
      </c>
      <c r="L470" s="4">
        <v>47374</v>
      </c>
      <c r="M470" s="4">
        <v>35312</v>
      </c>
      <c r="N470" s="11">
        <f t="shared" si="21"/>
        <v>0.74538776544095919</v>
      </c>
      <c r="O470">
        <v>714</v>
      </c>
      <c r="P470" t="str">
        <f t="shared" si="23"/>
        <v>Good</v>
      </c>
      <c r="Q470">
        <v>2</v>
      </c>
    </row>
    <row r="471" spans="1:17" x14ac:dyDescent="0.3">
      <c r="A471">
        <v>469</v>
      </c>
      <c r="B471">
        <v>67</v>
      </c>
      <c r="C471">
        <v>67</v>
      </c>
      <c r="D471">
        <v>1952</v>
      </c>
      <c r="E471">
        <v>3</v>
      </c>
      <c r="F471" t="str">
        <f t="shared" si="22"/>
        <v>65+</v>
      </c>
      <c r="G471" t="s">
        <v>14</v>
      </c>
      <c r="H471" t="s">
        <v>992</v>
      </c>
      <c r="I471">
        <v>33.880000000000003</v>
      </c>
      <c r="J471">
        <v>-117.85</v>
      </c>
      <c r="K471" t="s">
        <v>993</v>
      </c>
      <c r="L471" s="4">
        <v>46945</v>
      </c>
      <c r="M471" s="4">
        <v>17835</v>
      </c>
      <c r="N471" s="11">
        <f t="shared" si="21"/>
        <v>0.37991266375545851</v>
      </c>
      <c r="O471">
        <v>682</v>
      </c>
      <c r="P471" t="str">
        <f t="shared" si="23"/>
        <v>Good</v>
      </c>
      <c r="Q471">
        <v>4</v>
      </c>
    </row>
    <row r="472" spans="1:17" x14ac:dyDescent="0.3">
      <c r="A472">
        <v>470</v>
      </c>
      <c r="B472">
        <v>56</v>
      </c>
      <c r="C472">
        <v>65</v>
      </c>
      <c r="D472">
        <v>1964</v>
      </c>
      <c r="E472">
        <v>2</v>
      </c>
      <c r="F472" t="str">
        <f t="shared" si="22"/>
        <v>51-60</v>
      </c>
      <c r="G472" t="s">
        <v>19</v>
      </c>
      <c r="H472" t="s">
        <v>252</v>
      </c>
      <c r="I472">
        <v>35.14</v>
      </c>
      <c r="J472">
        <v>-96.49</v>
      </c>
      <c r="K472" t="s">
        <v>253</v>
      </c>
      <c r="L472" s="4">
        <v>28553</v>
      </c>
      <c r="M472" s="4">
        <v>94214</v>
      </c>
      <c r="N472" s="11">
        <f t="shared" si="21"/>
        <v>3.299618253773684</v>
      </c>
      <c r="O472">
        <v>747</v>
      </c>
      <c r="P472" t="str">
        <f t="shared" si="23"/>
        <v>Very Good</v>
      </c>
      <c r="Q472">
        <v>3</v>
      </c>
    </row>
    <row r="473" spans="1:17" x14ac:dyDescent="0.3">
      <c r="A473">
        <v>471</v>
      </c>
      <c r="B473">
        <v>52</v>
      </c>
      <c r="C473">
        <v>65</v>
      </c>
      <c r="D473">
        <v>1967</v>
      </c>
      <c r="E473">
        <v>9</v>
      </c>
      <c r="F473" t="str">
        <f t="shared" si="22"/>
        <v>51-60</v>
      </c>
      <c r="G473" t="s">
        <v>19</v>
      </c>
      <c r="H473" t="s">
        <v>446</v>
      </c>
      <c r="I473">
        <v>38.57</v>
      </c>
      <c r="J473">
        <v>-121.17</v>
      </c>
      <c r="K473" t="s">
        <v>447</v>
      </c>
      <c r="L473" s="4">
        <v>71645</v>
      </c>
      <c r="M473" s="4">
        <v>155006</v>
      </c>
      <c r="N473" s="11">
        <f t="shared" si="21"/>
        <v>2.1635285086188847</v>
      </c>
      <c r="O473">
        <v>629</v>
      </c>
      <c r="P473" t="str">
        <f t="shared" si="23"/>
        <v>Fair</v>
      </c>
      <c r="Q473">
        <v>3</v>
      </c>
    </row>
    <row r="474" spans="1:17" x14ac:dyDescent="0.3">
      <c r="A474">
        <v>472</v>
      </c>
      <c r="B474">
        <v>50</v>
      </c>
      <c r="C474">
        <v>64</v>
      </c>
      <c r="D474">
        <v>1969</v>
      </c>
      <c r="E474">
        <v>4</v>
      </c>
      <c r="F474" t="str">
        <f t="shared" si="22"/>
        <v>36-50</v>
      </c>
      <c r="G474" t="s">
        <v>19</v>
      </c>
      <c r="H474" t="s">
        <v>1356</v>
      </c>
      <c r="I474">
        <v>42.34</v>
      </c>
      <c r="J474">
        <v>-88.11</v>
      </c>
      <c r="K474" t="s">
        <v>1357</v>
      </c>
      <c r="L474" s="4">
        <v>46039</v>
      </c>
      <c r="M474" s="4">
        <v>79738</v>
      </c>
      <c r="N474" s="11">
        <f t="shared" si="21"/>
        <v>1.7319663763331088</v>
      </c>
      <c r="O474">
        <v>672</v>
      </c>
      <c r="P474" t="str">
        <f t="shared" si="23"/>
        <v>Good</v>
      </c>
      <c r="Q474">
        <v>4</v>
      </c>
    </row>
    <row r="475" spans="1:17" x14ac:dyDescent="0.3">
      <c r="A475">
        <v>473</v>
      </c>
      <c r="B475">
        <v>33</v>
      </c>
      <c r="C475">
        <v>66</v>
      </c>
      <c r="D475">
        <v>1986</v>
      </c>
      <c r="E475">
        <v>10</v>
      </c>
      <c r="F475" t="str">
        <f t="shared" si="22"/>
        <v>26-35</v>
      </c>
      <c r="G475" t="s">
        <v>14</v>
      </c>
      <c r="H475" t="s">
        <v>1104</v>
      </c>
      <c r="I475">
        <v>42.38</v>
      </c>
      <c r="J475">
        <v>-83.1</v>
      </c>
      <c r="K475" t="s">
        <v>156</v>
      </c>
      <c r="L475" s="4">
        <v>28181</v>
      </c>
      <c r="M475" s="4">
        <v>37929</v>
      </c>
      <c r="N475" s="11">
        <f t="shared" si="21"/>
        <v>1.3459068166495156</v>
      </c>
      <c r="O475">
        <v>682</v>
      </c>
      <c r="P475" t="str">
        <f t="shared" si="23"/>
        <v>Good</v>
      </c>
      <c r="Q475">
        <v>2</v>
      </c>
    </row>
    <row r="476" spans="1:17" x14ac:dyDescent="0.3">
      <c r="A476">
        <v>474</v>
      </c>
      <c r="B476">
        <v>55</v>
      </c>
      <c r="C476">
        <v>66</v>
      </c>
      <c r="D476">
        <v>1964</v>
      </c>
      <c r="E476">
        <v>4</v>
      </c>
      <c r="F476" t="str">
        <f t="shared" si="22"/>
        <v>51-60</v>
      </c>
      <c r="G476" t="s">
        <v>19</v>
      </c>
      <c r="H476" t="s">
        <v>729</v>
      </c>
      <c r="I476">
        <v>40.75</v>
      </c>
      <c r="J476">
        <v>-73.64</v>
      </c>
      <c r="K476" t="s">
        <v>730</v>
      </c>
      <c r="L476" s="4">
        <v>80957</v>
      </c>
      <c r="M476" s="4">
        <v>161166</v>
      </c>
      <c r="N476" s="11">
        <f t="shared" si="21"/>
        <v>1.9907605271934483</v>
      </c>
      <c r="O476">
        <v>683</v>
      </c>
      <c r="P476" t="str">
        <f t="shared" si="23"/>
        <v>Good</v>
      </c>
      <c r="Q476">
        <v>6</v>
      </c>
    </row>
    <row r="477" spans="1:17" x14ac:dyDescent="0.3">
      <c r="A477">
        <v>475</v>
      </c>
      <c r="B477">
        <v>20</v>
      </c>
      <c r="C477">
        <v>66</v>
      </c>
      <c r="D477">
        <v>1999</v>
      </c>
      <c r="E477">
        <v>11</v>
      </c>
      <c r="F477" t="str">
        <f t="shared" si="22"/>
        <v>18-25</v>
      </c>
      <c r="G477" t="s">
        <v>19</v>
      </c>
      <c r="H477" t="s">
        <v>725</v>
      </c>
      <c r="I477">
        <v>41.02</v>
      </c>
      <c r="J477">
        <v>-84.04</v>
      </c>
      <c r="K477" t="s">
        <v>726</v>
      </c>
      <c r="L477" s="4">
        <v>40426</v>
      </c>
      <c r="M477" s="4">
        <v>76199</v>
      </c>
      <c r="N477" s="11">
        <f t="shared" si="21"/>
        <v>1.8849008064117152</v>
      </c>
      <c r="O477">
        <v>727</v>
      </c>
      <c r="P477" t="str">
        <f t="shared" si="23"/>
        <v>Good</v>
      </c>
      <c r="Q477">
        <v>1</v>
      </c>
    </row>
    <row r="478" spans="1:17" x14ac:dyDescent="0.3">
      <c r="A478">
        <v>476</v>
      </c>
      <c r="B478">
        <v>68</v>
      </c>
      <c r="C478">
        <v>71</v>
      </c>
      <c r="D478">
        <v>1951</v>
      </c>
      <c r="E478">
        <v>9</v>
      </c>
      <c r="F478" t="str">
        <f t="shared" si="22"/>
        <v>65+</v>
      </c>
      <c r="G478" t="s">
        <v>19</v>
      </c>
      <c r="H478" t="s">
        <v>1307</v>
      </c>
      <c r="I478">
        <v>40.93</v>
      </c>
      <c r="J478">
        <v>-76.25</v>
      </c>
      <c r="K478" t="s">
        <v>1308</v>
      </c>
      <c r="L478" s="4">
        <v>41473</v>
      </c>
      <c r="M478" s="4">
        <v>98151</v>
      </c>
      <c r="N478" s="11">
        <f t="shared" si="21"/>
        <v>2.3666240686711837</v>
      </c>
      <c r="O478">
        <v>724</v>
      </c>
      <c r="P478" t="str">
        <f t="shared" si="23"/>
        <v>Good</v>
      </c>
      <c r="Q478">
        <v>3</v>
      </c>
    </row>
    <row r="479" spans="1:17" x14ac:dyDescent="0.3">
      <c r="A479">
        <v>477</v>
      </c>
      <c r="B479">
        <v>57</v>
      </c>
      <c r="C479">
        <v>67</v>
      </c>
      <c r="D479">
        <v>1962</v>
      </c>
      <c r="E479">
        <v>3</v>
      </c>
      <c r="F479" t="str">
        <f t="shared" si="22"/>
        <v>51-60</v>
      </c>
      <c r="G479" t="s">
        <v>19</v>
      </c>
      <c r="H479" t="s">
        <v>606</v>
      </c>
      <c r="I479">
        <v>44.75</v>
      </c>
      <c r="J479">
        <v>-68.67</v>
      </c>
      <c r="K479" t="s">
        <v>607</v>
      </c>
      <c r="L479" s="4">
        <v>49467</v>
      </c>
      <c r="M479" s="4">
        <v>77465</v>
      </c>
      <c r="N479" s="11">
        <f t="shared" si="21"/>
        <v>1.5659934906099016</v>
      </c>
      <c r="O479">
        <v>697</v>
      </c>
      <c r="P479" t="str">
        <f t="shared" si="23"/>
        <v>Good</v>
      </c>
      <c r="Q479">
        <v>5</v>
      </c>
    </row>
    <row r="480" spans="1:17" x14ac:dyDescent="0.3">
      <c r="A480">
        <v>478</v>
      </c>
      <c r="B480">
        <v>54</v>
      </c>
      <c r="C480">
        <v>71</v>
      </c>
      <c r="D480">
        <v>1965</v>
      </c>
      <c r="E480">
        <v>9</v>
      </c>
      <c r="F480" t="str">
        <f t="shared" si="22"/>
        <v>51-60</v>
      </c>
      <c r="G480" t="s">
        <v>19</v>
      </c>
      <c r="H480" t="s">
        <v>1588</v>
      </c>
      <c r="I480">
        <v>34.049999999999997</v>
      </c>
      <c r="J480">
        <v>-84.07</v>
      </c>
      <c r="K480" t="s">
        <v>1589</v>
      </c>
      <c r="L480" s="4">
        <v>72807</v>
      </c>
      <c r="M480" s="4">
        <v>0</v>
      </c>
      <c r="N480" s="11">
        <f t="shared" si="21"/>
        <v>0</v>
      </c>
      <c r="O480">
        <v>803</v>
      </c>
      <c r="P480" t="str">
        <f t="shared" si="23"/>
        <v>Excellent</v>
      </c>
      <c r="Q480">
        <v>3</v>
      </c>
    </row>
    <row r="481" spans="1:17" x14ac:dyDescent="0.3">
      <c r="A481">
        <v>479</v>
      </c>
      <c r="B481">
        <v>57</v>
      </c>
      <c r="C481">
        <v>69</v>
      </c>
      <c r="D481">
        <v>1962</v>
      </c>
      <c r="E481">
        <v>10</v>
      </c>
      <c r="F481" t="str">
        <f t="shared" si="22"/>
        <v>51-60</v>
      </c>
      <c r="G481" t="s">
        <v>19</v>
      </c>
      <c r="H481" t="s">
        <v>1132</v>
      </c>
      <c r="I481">
        <v>39.11</v>
      </c>
      <c r="J481">
        <v>-76.55</v>
      </c>
      <c r="K481" t="s">
        <v>1133</v>
      </c>
      <c r="L481" s="4">
        <v>61173</v>
      </c>
      <c r="M481" s="4">
        <v>71422</v>
      </c>
      <c r="N481" s="11">
        <f t="shared" si="21"/>
        <v>1.1675412355123993</v>
      </c>
      <c r="O481">
        <v>692</v>
      </c>
      <c r="P481" t="str">
        <f t="shared" si="23"/>
        <v>Good</v>
      </c>
      <c r="Q481">
        <v>3</v>
      </c>
    </row>
    <row r="482" spans="1:17" x14ac:dyDescent="0.3">
      <c r="A482">
        <v>480</v>
      </c>
      <c r="B482">
        <v>50</v>
      </c>
      <c r="C482">
        <v>68</v>
      </c>
      <c r="D482">
        <v>1969</v>
      </c>
      <c r="E482">
        <v>11</v>
      </c>
      <c r="F482" t="str">
        <f t="shared" si="22"/>
        <v>36-50</v>
      </c>
      <c r="G482" t="s">
        <v>19</v>
      </c>
      <c r="H482" t="s">
        <v>924</v>
      </c>
      <c r="I482">
        <v>37.909999999999997</v>
      </c>
      <c r="J482">
        <v>-122.01</v>
      </c>
      <c r="K482" t="s">
        <v>209</v>
      </c>
      <c r="L482" s="4">
        <v>86113</v>
      </c>
      <c r="M482" s="4">
        <v>177353</v>
      </c>
      <c r="N482" s="11">
        <f t="shared" si="21"/>
        <v>2.0595380488427995</v>
      </c>
      <c r="O482">
        <v>713</v>
      </c>
      <c r="P482" t="str">
        <f t="shared" si="23"/>
        <v>Good</v>
      </c>
      <c r="Q482">
        <v>6</v>
      </c>
    </row>
    <row r="483" spans="1:17" x14ac:dyDescent="0.3">
      <c r="A483">
        <v>481</v>
      </c>
      <c r="B483">
        <v>18</v>
      </c>
      <c r="C483">
        <v>67</v>
      </c>
      <c r="D483">
        <v>2002</v>
      </c>
      <c r="E483">
        <v>2</v>
      </c>
      <c r="F483" t="str">
        <f t="shared" si="22"/>
        <v>18-25</v>
      </c>
      <c r="G483" t="s">
        <v>19</v>
      </c>
      <c r="H483" t="s">
        <v>1715</v>
      </c>
      <c r="I483">
        <v>42.41</v>
      </c>
      <c r="J483">
        <v>-71.16</v>
      </c>
      <c r="K483" t="s">
        <v>220</v>
      </c>
      <c r="L483" s="4">
        <v>82972</v>
      </c>
      <c r="M483" s="4">
        <v>173295</v>
      </c>
      <c r="N483" s="11">
        <f t="shared" si="21"/>
        <v>2.0885961529190569</v>
      </c>
      <c r="O483">
        <v>653</v>
      </c>
      <c r="P483" t="str">
        <f t="shared" si="23"/>
        <v>Fair</v>
      </c>
      <c r="Q483">
        <v>1</v>
      </c>
    </row>
    <row r="484" spans="1:17" x14ac:dyDescent="0.3">
      <c r="A484">
        <v>482</v>
      </c>
      <c r="B484">
        <v>45</v>
      </c>
      <c r="C484">
        <v>65</v>
      </c>
      <c r="D484">
        <v>1975</v>
      </c>
      <c r="E484">
        <v>1</v>
      </c>
      <c r="F484" t="str">
        <f t="shared" si="22"/>
        <v>36-50</v>
      </c>
      <c r="G484" t="s">
        <v>19</v>
      </c>
      <c r="H484" t="s">
        <v>40</v>
      </c>
      <c r="I484">
        <v>42.39</v>
      </c>
      <c r="J484">
        <v>-122.93</v>
      </c>
      <c r="K484" t="s">
        <v>41</v>
      </c>
      <c r="L484" s="4">
        <v>34929</v>
      </c>
      <c r="M484" s="4">
        <v>63849</v>
      </c>
      <c r="N484" s="11">
        <f t="shared" si="21"/>
        <v>1.8279653010392511</v>
      </c>
      <c r="O484">
        <v>714</v>
      </c>
      <c r="P484" t="str">
        <f t="shared" si="23"/>
        <v>Good</v>
      </c>
      <c r="Q484">
        <v>1</v>
      </c>
    </row>
    <row r="485" spans="1:17" x14ac:dyDescent="0.3">
      <c r="A485">
        <v>483</v>
      </c>
      <c r="B485">
        <v>49</v>
      </c>
      <c r="C485">
        <v>68</v>
      </c>
      <c r="D485">
        <v>1971</v>
      </c>
      <c r="E485">
        <v>2</v>
      </c>
      <c r="F485" t="str">
        <f t="shared" si="22"/>
        <v>36-50</v>
      </c>
      <c r="G485" t="s">
        <v>14</v>
      </c>
      <c r="H485" t="s">
        <v>1198</v>
      </c>
      <c r="I485">
        <v>48.53</v>
      </c>
      <c r="J485">
        <v>-122.31</v>
      </c>
      <c r="K485" t="s">
        <v>1199</v>
      </c>
      <c r="L485" s="4">
        <v>39969</v>
      </c>
      <c r="M485" s="4">
        <v>68456</v>
      </c>
      <c r="N485" s="11">
        <f t="shared" si="21"/>
        <v>1.7127273637068727</v>
      </c>
      <c r="O485">
        <v>713</v>
      </c>
      <c r="P485" t="str">
        <f t="shared" si="23"/>
        <v>Good</v>
      </c>
      <c r="Q485">
        <v>3</v>
      </c>
    </row>
    <row r="486" spans="1:17" x14ac:dyDescent="0.3">
      <c r="A486">
        <v>484</v>
      </c>
      <c r="B486">
        <v>84</v>
      </c>
      <c r="C486">
        <v>64</v>
      </c>
      <c r="D486">
        <v>1936</v>
      </c>
      <c r="E486">
        <v>1</v>
      </c>
      <c r="F486" t="str">
        <f t="shared" si="22"/>
        <v>65+</v>
      </c>
      <c r="G486" t="s">
        <v>14</v>
      </c>
      <c r="H486" t="s">
        <v>1787</v>
      </c>
      <c r="I486">
        <v>42.7</v>
      </c>
      <c r="J486">
        <v>-71.11</v>
      </c>
      <c r="K486" t="s">
        <v>1788</v>
      </c>
      <c r="L486" s="4">
        <v>66745</v>
      </c>
      <c r="M486" s="4">
        <v>682</v>
      </c>
      <c r="N486" s="11">
        <f t="shared" si="21"/>
        <v>1.0217993857217769E-2</v>
      </c>
      <c r="O486">
        <v>718</v>
      </c>
      <c r="P486" t="str">
        <f t="shared" si="23"/>
        <v>Good</v>
      </c>
      <c r="Q486">
        <v>3</v>
      </c>
    </row>
    <row r="487" spans="1:17" x14ac:dyDescent="0.3">
      <c r="A487">
        <v>485</v>
      </c>
      <c r="B487">
        <v>39</v>
      </c>
      <c r="C487">
        <v>64</v>
      </c>
      <c r="D487">
        <v>1980</v>
      </c>
      <c r="E487">
        <v>10</v>
      </c>
      <c r="F487" t="str">
        <f t="shared" si="22"/>
        <v>36-50</v>
      </c>
      <c r="G487" t="s">
        <v>19</v>
      </c>
      <c r="H487" t="s">
        <v>322</v>
      </c>
      <c r="I487">
        <v>35.479999999999997</v>
      </c>
      <c r="J487">
        <v>-120.92</v>
      </c>
      <c r="K487" t="s">
        <v>323</v>
      </c>
      <c r="L487" s="4">
        <v>38211</v>
      </c>
      <c r="M487" s="4">
        <v>84427</v>
      </c>
      <c r="N487" s="11">
        <f t="shared" si="21"/>
        <v>2.2094946481379707</v>
      </c>
      <c r="O487">
        <v>665</v>
      </c>
      <c r="P487" t="str">
        <f t="shared" si="23"/>
        <v>Fair</v>
      </c>
      <c r="Q487">
        <v>2</v>
      </c>
    </row>
    <row r="488" spans="1:17" x14ac:dyDescent="0.3">
      <c r="A488">
        <v>486</v>
      </c>
      <c r="B488">
        <v>23</v>
      </c>
      <c r="C488">
        <v>71</v>
      </c>
      <c r="D488">
        <v>1996</v>
      </c>
      <c r="E488">
        <v>4</v>
      </c>
      <c r="F488" t="str">
        <f t="shared" si="22"/>
        <v>18-25</v>
      </c>
      <c r="G488" t="s">
        <v>19</v>
      </c>
      <c r="H488" t="s">
        <v>693</v>
      </c>
      <c r="I488">
        <v>36.25</v>
      </c>
      <c r="J488">
        <v>-115.08</v>
      </c>
      <c r="K488" t="s">
        <v>694</v>
      </c>
      <c r="L488" s="4">
        <v>46704</v>
      </c>
      <c r="M488" s="4">
        <v>91946</v>
      </c>
      <c r="N488" s="11">
        <f t="shared" si="21"/>
        <v>1.9686964713943131</v>
      </c>
      <c r="O488">
        <v>810</v>
      </c>
      <c r="P488" t="str">
        <f t="shared" si="23"/>
        <v>Excellent</v>
      </c>
      <c r="Q488">
        <v>1</v>
      </c>
    </row>
    <row r="489" spans="1:17" x14ac:dyDescent="0.3">
      <c r="A489">
        <v>487</v>
      </c>
      <c r="B489">
        <v>52</v>
      </c>
      <c r="C489">
        <v>68</v>
      </c>
      <c r="D489">
        <v>1967</v>
      </c>
      <c r="E489">
        <v>7</v>
      </c>
      <c r="F489" t="str">
        <f t="shared" si="22"/>
        <v>51-60</v>
      </c>
      <c r="G489" t="s">
        <v>19</v>
      </c>
      <c r="H489" t="s">
        <v>1244</v>
      </c>
      <c r="I489">
        <v>42.66</v>
      </c>
      <c r="J489">
        <v>-73.790000000000006</v>
      </c>
      <c r="K489" t="s">
        <v>1245</v>
      </c>
      <c r="L489" s="4">
        <v>55059</v>
      </c>
      <c r="M489" s="4">
        <v>162462</v>
      </c>
      <c r="N489" s="11">
        <f t="shared" si="21"/>
        <v>2.9506892606113442</v>
      </c>
      <c r="O489">
        <v>735</v>
      </c>
      <c r="P489" t="str">
        <f t="shared" si="23"/>
        <v>Good</v>
      </c>
      <c r="Q489">
        <v>3</v>
      </c>
    </row>
    <row r="490" spans="1:17" x14ac:dyDescent="0.3">
      <c r="A490">
        <v>488</v>
      </c>
      <c r="B490">
        <v>34</v>
      </c>
      <c r="C490">
        <v>69</v>
      </c>
      <c r="D490">
        <v>1985</v>
      </c>
      <c r="E490">
        <v>6</v>
      </c>
      <c r="F490" t="str">
        <f t="shared" si="22"/>
        <v>26-35</v>
      </c>
      <c r="G490" t="s">
        <v>19</v>
      </c>
      <c r="H490" t="s">
        <v>1963</v>
      </c>
      <c r="I490">
        <v>27.92</v>
      </c>
      <c r="J490">
        <v>-97.29</v>
      </c>
      <c r="K490" t="s">
        <v>1964</v>
      </c>
      <c r="L490" s="4">
        <v>32126</v>
      </c>
      <c r="M490" s="4">
        <v>54351</v>
      </c>
      <c r="N490" s="11">
        <f t="shared" si="21"/>
        <v>1.6918072589180104</v>
      </c>
      <c r="O490">
        <v>745</v>
      </c>
      <c r="P490" t="str">
        <f t="shared" si="23"/>
        <v>Very Good</v>
      </c>
      <c r="Q490">
        <v>2</v>
      </c>
    </row>
    <row r="491" spans="1:17" x14ac:dyDescent="0.3">
      <c r="A491">
        <v>489</v>
      </c>
      <c r="B491">
        <v>36</v>
      </c>
      <c r="C491">
        <v>66</v>
      </c>
      <c r="D491">
        <v>1983</v>
      </c>
      <c r="E491">
        <v>8</v>
      </c>
      <c r="F491" t="str">
        <f t="shared" si="22"/>
        <v>36-50</v>
      </c>
      <c r="G491" t="s">
        <v>19</v>
      </c>
      <c r="H491" t="s">
        <v>1764</v>
      </c>
      <c r="I491">
        <v>40.869999999999997</v>
      </c>
      <c r="J491">
        <v>-97.59</v>
      </c>
      <c r="K491" t="s">
        <v>1765</v>
      </c>
      <c r="L491" s="4">
        <v>36753</v>
      </c>
      <c r="M491" s="4">
        <v>33657</v>
      </c>
      <c r="N491" s="11">
        <f t="shared" si="21"/>
        <v>0.91576197861399067</v>
      </c>
      <c r="O491">
        <v>684</v>
      </c>
      <c r="P491" t="str">
        <f t="shared" si="23"/>
        <v>Good</v>
      </c>
      <c r="Q491">
        <v>4</v>
      </c>
    </row>
    <row r="492" spans="1:17" x14ac:dyDescent="0.3">
      <c r="A492">
        <v>490</v>
      </c>
      <c r="B492">
        <v>86</v>
      </c>
      <c r="C492">
        <v>68</v>
      </c>
      <c r="D492">
        <v>1933</v>
      </c>
      <c r="E492">
        <v>9</v>
      </c>
      <c r="F492" t="str">
        <f t="shared" si="22"/>
        <v>65+</v>
      </c>
      <c r="G492" t="s">
        <v>19</v>
      </c>
      <c r="H492" t="s">
        <v>635</v>
      </c>
      <c r="I492">
        <v>29.45</v>
      </c>
      <c r="J492">
        <v>-98.5</v>
      </c>
      <c r="K492" t="s">
        <v>636</v>
      </c>
      <c r="L492" s="4">
        <v>33426</v>
      </c>
      <c r="M492" s="4">
        <v>1852</v>
      </c>
      <c r="N492" s="11">
        <f t="shared" si="21"/>
        <v>5.5405971399509361E-2</v>
      </c>
      <c r="O492">
        <v>699</v>
      </c>
      <c r="P492" t="str">
        <f t="shared" si="23"/>
        <v>Good</v>
      </c>
      <c r="Q492">
        <v>4</v>
      </c>
    </row>
    <row r="493" spans="1:17" x14ac:dyDescent="0.3">
      <c r="A493">
        <v>491</v>
      </c>
      <c r="B493">
        <v>40</v>
      </c>
      <c r="C493">
        <v>69</v>
      </c>
      <c r="D493">
        <v>1979</v>
      </c>
      <c r="E493">
        <v>6</v>
      </c>
      <c r="F493" t="str">
        <f t="shared" si="22"/>
        <v>36-50</v>
      </c>
      <c r="G493" t="s">
        <v>19</v>
      </c>
      <c r="H493" t="s">
        <v>714</v>
      </c>
      <c r="I493">
        <v>34.83</v>
      </c>
      <c r="J493">
        <v>-82.37</v>
      </c>
      <c r="K493" t="s">
        <v>715</v>
      </c>
      <c r="L493" s="4">
        <v>27013</v>
      </c>
      <c r="M493" s="4">
        <v>58806</v>
      </c>
      <c r="N493" s="11">
        <f t="shared" si="21"/>
        <v>2.1769518380039239</v>
      </c>
      <c r="O493">
        <v>651</v>
      </c>
      <c r="P493" t="str">
        <f t="shared" si="23"/>
        <v>Fair</v>
      </c>
      <c r="Q493">
        <v>3</v>
      </c>
    </row>
    <row r="494" spans="1:17" x14ac:dyDescent="0.3">
      <c r="A494">
        <v>492</v>
      </c>
      <c r="B494">
        <v>41</v>
      </c>
      <c r="C494">
        <v>70</v>
      </c>
      <c r="D494">
        <v>1978</v>
      </c>
      <c r="E494">
        <v>9</v>
      </c>
      <c r="F494" t="str">
        <f t="shared" si="22"/>
        <v>36-50</v>
      </c>
      <c r="G494" t="s">
        <v>19</v>
      </c>
      <c r="H494" t="s">
        <v>1739</v>
      </c>
      <c r="I494">
        <v>34.950000000000003</v>
      </c>
      <c r="J494">
        <v>-82.12</v>
      </c>
      <c r="K494" t="s">
        <v>1740</v>
      </c>
      <c r="L494" s="4">
        <v>38450</v>
      </c>
      <c r="M494" s="4">
        <v>51430</v>
      </c>
      <c r="N494" s="11">
        <f t="shared" si="21"/>
        <v>1.3375812743823148</v>
      </c>
      <c r="O494">
        <v>850</v>
      </c>
      <c r="P494" t="str">
        <f t="shared" si="23"/>
        <v>Excellent</v>
      </c>
      <c r="Q494">
        <v>1</v>
      </c>
    </row>
    <row r="495" spans="1:17" x14ac:dyDescent="0.3">
      <c r="A495">
        <v>493</v>
      </c>
      <c r="B495">
        <v>18</v>
      </c>
      <c r="C495">
        <v>65</v>
      </c>
      <c r="D495">
        <v>2002</v>
      </c>
      <c r="E495">
        <v>1</v>
      </c>
      <c r="F495" t="str">
        <f t="shared" si="22"/>
        <v>18-25</v>
      </c>
      <c r="G495" t="s">
        <v>19</v>
      </c>
      <c r="H495" t="s">
        <v>1753</v>
      </c>
      <c r="I495">
        <v>32.76</v>
      </c>
      <c r="J495">
        <v>-96.59</v>
      </c>
      <c r="K495" t="s">
        <v>1754</v>
      </c>
      <c r="L495" s="4">
        <v>29047</v>
      </c>
      <c r="M495" s="4">
        <v>36835</v>
      </c>
      <c r="N495" s="11">
        <f t="shared" si="21"/>
        <v>1.2681171893827246</v>
      </c>
      <c r="O495">
        <v>786</v>
      </c>
      <c r="P495" t="str">
        <f t="shared" si="23"/>
        <v>Very Good</v>
      </c>
      <c r="Q495">
        <v>1</v>
      </c>
    </row>
    <row r="496" spans="1:17" x14ac:dyDescent="0.3">
      <c r="A496">
        <v>494</v>
      </c>
      <c r="B496">
        <v>39</v>
      </c>
      <c r="C496">
        <v>68</v>
      </c>
      <c r="D496">
        <v>1980</v>
      </c>
      <c r="E496">
        <v>5</v>
      </c>
      <c r="F496" t="str">
        <f t="shared" si="22"/>
        <v>36-50</v>
      </c>
      <c r="G496" t="s">
        <v>19</v>
      </c>
      <c r="H496" t="s">
        <v>663</v>
      </c>
      <c r="I496">
        <v>39.090000000000003</v>
      </c>
      <c r="J496">
        <v>-76.849999999999994</v>
      </c>
      <c r="K496" t="s">
        <v>664</v>
      </c>
      <c r="L496" s="4">
        <v>56347</v>
      </c>
      <c r="M496" s="4">
        <v>32530</v>
      </c>
      <c r="N496" s="11">
        <f t="shared" si="21"/>
        <v>0.57731556249667237</v>
      </c>
      <c r="O496">
        <v>779</v>
      </c>
      <c r="P496" t="str">
        <f t="shared" si="23"/>
        <v>Very Good</v>
      </c>
      <c r="Q496">
        <v>3</v>
      </c>
    </row>
    <row r="497" spans="1:17" x14ac:dyDescent="0.3">
      <c r="A497">
        <v>495</v>
      </c>
      <c r="B497">
        <v>49</v>
      </c>
      <c r="C497">
        <v>63</v>
      </c>
      <c r="D497">
        <v>1970</v>
      </c>
      <c r="E497">
        <v>8</v>
      </c>
      <c r="F497" t="str">
        <f t="shared" si="22"/>
        <v>36-50</v>
      </c>
      <c r="G497" t="s">
        <v>19</v>
      </c>
      <c r="H497" t="s">
        <v>1861</v>
      </c>
      <c r="I497">
        <v>43.04</v>
      </c>
      <c r="J497">
        <v>-76.14</v>
      </c>
      <c r="K497" t="s">
        <v>1862</v>
      </c>
      <c r="L497" s="4">
        <v>38028</v>
      </c>
      <c r="M497" s="4">
        <v>79101</v>
      </c>
      <c r="N497" s="11">
        <f t="shared" si="21"/>
        <v>2.0800725781003471</v>
      </c>
      <c r="O497">
        <v>831</v>
      </c>
      <c r="P497" t="str">
        <f t="shared" si="23"/>
        <v>Excellent</v>
      </c>
      <c r="Q497">
        <v>4</v>
      </c>
    </row>
    <row r="498" spans="1:17" x14ac:dyDescent="0.3">
      <c r="A498">
        <v>496</v>
      </c>
      <c r="B498">
        <v>47</v>
      </c>
      <c r="C498">
        <v>63</v>
      </c>
      <c r="D498">
        <v>1972</v>
      </c>
      <c r="E498">
        <v>8</v>
      </c>
      <c r="F498" t="str">
        <f t="shared" si="22"/>
        <v>36-50</v>
      </c>
      <c r="G498" t="s">
        <v>19</v>
      </c>
      <c r="H498" t="s">
        <v>1209</v>
      </c>
      <c r="I498">
        <v>32.76</v>
      </c>
      <c r="J498">
        <v>-96.59</v>
      </c>
      <c r="K498" t="s">
        <v>1210</v>
      </c>
      <c r="L498" s="4">
        <v>36319</v>
      </c>
      <c r="M498" s="4">
        <v>44737</v>
      </c>
      <c r="N498" s="11">
        <f t="shared" si="21"/>
        <v>1.2317795093477244</v>
      </c>
      <c r="O498">
        <v>730</v>
      </c>
      <c r="P498" t="str">
        <f t="shared" si="23"/>
        <v>Good</v>
      </c>
      <c r="Q498">
        <v>4</v>
      </c>
    </row>
    <row r="499" spans="1:17" x14ac:dyDescent="0.3">
      <c r="A499">
        <v>497</v>
      </c>
      <c r="B499">
        <v>63</v>
      </c>
      <c r="C499">
        <v>65</v>
      </c>
      <c r="D499">
        <v>1956</v>
      </c>
      <c r="E499">
        <v>11</v>
      </c>
      <c r="F499" t="str">
        <f t="shared" si="22"/>
        <v>51-60</v>
      </c>
      <c r="G499" t="s">
        <v>19</v>
      </c>
      <c r="H499" t="s">
        <v>1334</v>
      </c>
      <c r="I499">
        <v>43.54</v>
      </c>
      <c r="J499">
        <v>-96.73</v>
      </c>
      <c r="K499" t="s">
        <v>1335</v>
      </c>
      <c r="L499" s="4">
        <v>52380</v>
      </c>
      <c r="M499" s="4">
        <v>8764</v>
      </c>
      <c r="N499" s="11">
        <f t="shared" si="21"/>
        <v>0.16731576937762505</v>
      </c>
      <c r="O499">
        <v>850</v>
      </c>
      <c r="P499" t="str">
        <f t="shared" si="23"/>
        <v>Excellent</v>
      </c>
      <c r="Q499">
        <v>6</v>
      </c>
    </row>
    <row r="500" spans="1:17" x14ac:dyDescent="0.3">
      <c r="A500">
        <v>498</v>
      </c>
      <c r="B500">
        <v>20</v>
      </c>
      <c r="C500">
        <v>61</v>
      </c>
      <c r="D500">
        <v>1999</v>
      </c>
      <c r="E500">
        <v>6</v>
      </c>
      <c r="F500" t="str">
        <f t="shared" si="22"/>
        <v>18-25</v>
      </c>
      <c r="G500" t="s">
        <v>19</v>
      </c>
      <c r="H500" t="s">
        <v>1907</v>
      </c>
      <c r="I500">
        <v>20.88</v>
      </c>
      <c r="J500">
        <v>-156.5</v>
      </c>
      <c r="K500" t="s">
        <v>1573</v>
      </c>
      <c r="L500" s="4">
        <v>46580</v>
      </c>
      <c r="M500" s="4">
        <v>91081</v>
      </c>
      <c r="N500" s="11">
        <f t="shared" si="21"/>
        <v>1.9553671103477888</v>
      </c>
      <c r="O500">
        <v>660</v>
      </c>
      <c r="P500" t="str">
        <f t="shared" si="23"/>
        <v>Fair</v>
      </c>
      <c r="Q500">
        <v>2</v>
      </c>
    </row>
    <row r="501" spans="1:17" x14ac:dyDescent="0.3">
      <c r="A501">
        <v>499</v>
      </c>
      <c r="B501">
        <v>23</v>
      </c>
      <c r="C501">
        <v>66</v>
      </c>
      <c r="D501">
        <v>1996</v>
      </c>
      <c r="E501">
        <v>9</v>
      </c>
      <c r="F501" t="str">
        <f t="shared" si="22"/>
        <v>18-25</v>
      </c>
      <c r="G501" t="s">
        <v>19</v>
      </c>
      <c r="H501" t="s">
        <v>1895</v>
      </c>
      <c r="I501">
        <v>40.71</v>
      </c>
      <c r="J501">
        <v>-73.989999999999995</v>
      </c>
      <c r="K501" t="s">
        <v>1896</v>
      </c>
      <c r="L501" s="4">
        <v>37769</v>
      </c>
      <c r="M501" s="4">
        <v>1412</v>
      </c>
      <c r="N501" s="11">
        <f t="shared" si="21"/>
        <v>3.7385157139452993E-2</v>
      </c>
      <c r="O501">
        <v>742</v>
      </c>
      <c r="P501" t="str">
        <f t="shared" si="23"/>
        <v>Very Good</v>
      </c>
      <c r="Q501">
        <v>2</v>
      </c>
    </row>
    <row r="502" spans="1:17" x14ac:dyDescent="0.3">
      <c r="A502">
        <v>500</v>
      </c>
      <c r="B502">
        <v>21</v>
      </c>
      <c r="C502">
        <v>67</v>
      </c>
      <c r="D502">
        <v>1998</v>
      </c>
      <c r="E502">
        <v>4</v>
      </c>
      <c r="F502" t="str">
        <f t="shared" si="22"/>
        <v>18-25</v>
      </c>
      <c r="G502" t="s">
        <v>14</v>
      </c>
      <c r="H502" t="s">
        <v>1578</v>
      </c>
      <c r="I502">
        <v>36.5</v>
      </c>
      <c r="J502">
        <v>-80.61</v>
      </c>
      <c r="K502" t="s">
        <v>1579</v>
      </c>
      <c r="L502" s="4">
        <v>31167</v>
      </c>
      <c r="M502" s="4">
        <v>29342</v>
      </c>
      <c r="N502" s="11">
        <f t="shared" si="21"/>
        <v>0.94144447652966279</v>
      </c>
      <c r="O502">
        <v>749</v>
      </c>
      <c r="P502" t="str">
        <f t="shared" si="23"/>
        <v>Very Good</v>
      </c>
      <c r="Q502">
        <v>3</v>
      </c>
    </row>
    <row r="503" spans="1:17" x14ac:dyDescent="0.3">
      <c r="A503">
        <v>501</v>
      </c>
      <c r="B503">
        <v>24</v>
      </c>
      <c r="C503">
        <v>65</v>
      </c>
      <c r="D503">
        <v>1995</v>
      </c>
      <c r="E503">
        <v>8</v>
      </c>
      <c r="F503" t="str">
        <f t="shared" si="22"/>
        <v>18-25</v>
      </c>
      <c r="G503" t="s">
        <v>19</v>
      </c>
      <c r="H503" t="s">
        <v>1402</v>
      </c>
      <c r="I503">
        <v>30.68</v>
      </c>
      <c r="J503">
        <v>-88.04</v>
      </c>
      <c r="K503" t="s">
        <v>1403</v>
      </c>
      <c r="L503" s="4">
        <v>35212</v>
      </c>
      <c r="M503" s="4">
        <v>56286</v>
      </c>
      <c r="N503" s="11">
        <f t="shared" si="21"/>
        <v>1.5984891514256503</v>
      </c>
      <c r="O503">
        <v>765</v>
      </c>
      <c r="P503" t="str">
        <f t="shared" si="23"/>
        <v>Very Good</v>
      </c>
      <c r="Q503">
        <v>2</v>
      </c>
    </row>
    <row r="504" spans="1:17" x14ac:dyDescent="0.3">
      <c r="A504">
        <v>502</v>
      </c>
      <c r="B504">
        <v>46</v>
      </c>
      <c r="C504">
        <v>66</v>
      </c>
      <c r="D504">
        <v>1974</v>
      </c>
      <c r="E504">
        <v>1</v>
      </c>
      <c r="F504" t="str">
        <f t="shared" si="22"/>
        <v>36-50</v>
      </c>
      <c r="G504" t="s">
        <v>19</v>
      </c>
      <c r="H504" t="s">
        <v>1056</v>
      </c>
      <c r="I504">
        <v>40.93</v>
      </c>
      <c r="J504">
        <v>-79.59</v>
      </c>
      <c r="K504" t="s">
        <v>1057</v>
      </c>
      <c r="L504" s="4">
        <v>36440</v>
      </c>
      <c r="M504" s="4">
        <v>30574</v>
      </c>
      <c r="N504" s="11">
        <f t="shared" si="21"/>
        <v>0.83902305159165746</v>
      </c>
      <c r="O504">
        <v>745</v>
      </c>
      <c r="P504" t="str">
        <f t="shared" si="23"/>
        <v>Very Good</v>
      </c>
      <c r="Q504">
        <v>2</v>
      </c>
    </row>
    <row r="505" spans="1:17" x14ac:dyDescent="0.3">
      <c r="A505">
        <v>503</v>
      </c>
      <c r="B505">
        <v>47</v>
      </c>
      <c r="C505">
        <v>61</v>
      </c>
      <c r="D505">
        <v>1973</v>
      </c>
      <c r="E505">
        <v>2</v>
      </c>
      <c r="F505" t="str">
        <f t="shared" si="22"/>
        <v>36-50</v>
      </c>
      <c r="G505" t="s">
        <v>14</v>
      </c>
      <c r="H505" t="s">
        <v>990</v>
      </c>
      <c r="I505">
        <v>41.83</v>
      </c>
      <c r="J505">
        <v>-87.68</v>
      </c>
      <c r="K505" t="s">
        <v>991</v>
      </c>
      <c r="L505" s="4">
        <v>29564</v>
      </c>
      <c r="M505" s="4">
        <v>54279</v>
      </c>
      <c r="N505" s="11">
        <f t="shared" si="21"/>
        <v>1.8359829522392099</v>
      </c>
      <c r="O505">
        <v>694</v>
      </c>
      <c r="P505" t="str">
        <f t="shared" si="23"/>
        <v>Good</v>
      </c>
      <c r="Q505">
        <v>2</v>
      </c>
    </row>
    <row r="506" spans="1:17" x14ac:dyDescent="0.3">
      <c r="A506">
        <v>504</v>
      </c>
      <c r="B506">
        <v>38</v>
      </c>
      <c r="C506">
        <v>68</v>
      </c>
      <c r="D506">
        <v>1982</v>
      </c>
      <c r="E506">
        <v>1</v>
      </c>
      <c r="F506" t="str">
        <f t="shared" si="22"/>
        <v>36-50</v>
      </c>
      <c r="G506" t="s">
        <v>14</v>
      </c>
      <c r="H506" t="s">
        <v>1124</v>
      </c>
      <c r="I506">
        <v>37.880000000000003</v>
      </c>
      <c r="J506">
        <v>-89.49</v>
      </c>
      <c r="K506" t="s">
        <v>1125</v>
      </c>
      <c r="L506" s="4">
        <v>34311</v>
      </c>
      <c r="M506" s="4">
        <v>61776</v>
      </c>
      <c r="N506" s="11">
        <f t="shared" si="21"/>
        <v>1.8004721517880564</v>
      </c>
      <c r="O506">
        <v>705</v>
      </c>
      <c r="P506" t="str">
        <f t="shared" si="23"/>
        <v>Good</v>
      </c>
      <c r="Q506">
        <v>2</v>
      </c>
    </row>
    <row r="507" spans="1:17" x14ac:dyDescent="0.3">
      <c r="A507">
        <v>505</v>
      </c>
      <c r="B507">
        <v>39</v>
      </c>
      <c r="C507">
        <v>63</v>
      </c>
      <c r="D507">
        <v>1980</v>
      </c>
      <c r="E507">
        <v>12</v>
      </c>
      <c r="F507" t="str">
        <f t="shared" si="22"/>
        <v>36-50</v>
      </c>
      <c r="G507" t="s">
        <v>14</v>
      </c>
      <c r="H507" t="s">
        <v>918</v>
      </c>
      <c r="I507">
        <v>25.77</v>
      </c>
      <c r="J507">
        <v>-80.290000000000006</v>
      </c>
      <c r="K507" t="s">
        <v>919</v>
      </c>
      <c r="L507" s="4">
        <v>30383</v>
      </c>
      <c r="M507" s="4">
        <v>58466</v>
      </c>
      <c r="N507" s="11">
        <f t="shared" si="21"/>
        <v>1.9242997728993188</v>
      </c>
      <c r="O507">
        <v>609</v>
      </c>
      <c r="P507" t="str">
        <f t="shared" si="23"/>
        <v>Fair</v>
      </c>
      <c r="Q507">
        <v>2</v>
      </c>
    </row>
    <row r="508" spans="1:17" x14ac:dyDescent="0.3">
      <c r="A508">
        <v>506</v>
      </c>
      <c r="B508">
        <v>56</v>
      </c>
      <c r="C508">
        <v>68</v>
      </c>
      <c r="D508">
        <v>1964</v>
      </c>
      <c r="E508">
        <v>1</v>
      </c>
      <c r="F508" t="str">
        <f t="shared" si="22"/>
        <v>51-60</v>
      </c>
      <c r="G508" t="s">
        <v>19</v>
      </c>
      <c r="H508" t="s">
        <v>1024</v>
      </c>
      <c r="I508">
        <v>42.71</v>
      </c>
      <c r="J508">
        <v>-78.930000000000007</v>
      </c>
      <c r="K508" t="s">
        <v>1025</v>
      </c>
      <c r="L508" s="4">
        <v>52841</v>
      </c>
      <c r="M508" s="4">
        <v>36288</v>
      </c>
      <c r="N508" s="11">
        <f t="shared" si="21"/>
        <v>0.68673946367404104</v>
      </c>
      <c r="O508">
        <v>733</v>
      </c>
      <c r="P508" t="str">
        <f t="shared" si="23"/>
        <v>Good</v>
      </c>
      <c r="Q508">
        <v>5</v>
      </c>
    </row>
    <row r="509" spans="1:17" x14ac:dyDescent="0.3">
      <c r="A509">
        <v>507</v>
      </c>
      <c r="B509">
        <v>22</v>
      </c>
      <c r="C509">
        <v>70</v>
      </c>
      <c r="D509">
        <v>1998</v>
      </c>
      <c r="E509">
        <v>2</v>
      </c>
      <c r="F509" t="str">
        <f t="shared" si="22"/>
        <v>18-25</v>
      </c>
      <c r="G509" t="s">
        <v>19</v>
      </c>
      <c r="H509" t="s">
        <v>519</v>
      </c>
      <c r="I509">
        <v>40.81</v>
      </c>
      <c r="J509">
        <v>-74</v>
      </c>
      <c r="K509" t="s">
        <v>520</v>
      </c>
      <c r="L509" s="4">
        <v>37497</v>
      </c>
      <c r="M509" s="4">
        <v>0</v>
      </c>
      <c r="N509" s="11">
        <f t="shared" si="21"/>
        <v>0</v>
      </c>
      <c r="O509">
        <v>695</v>
      </c>
      <c r="P509" t="str">
        <f t="shared" si="23"/>
        <v>Good</v>
      </c>
      <c r="Q509">
        <v>1</v>
      </c>
    </row>
    <row r="510" spans="1:17" x14ac:dyDescent="0.3">
      <c r="A510">
        <v>508</v>
      </c>
      <c r="B510">
        <v>24</v>
      </c>
      <c r="C510">
        <v>69</v>
      </c>
      <c r="D510">
        <v>1995</v>
      </c>
      <c r="E510">
        <v>7</v>
      </c>
      <c r="F510" t="str">
        <f t="shared" si="22"/>
        <v>18-25</v>
      </c>
      <c r="G510" t="s">
        <v>19</v>
      </c>
      <c r="H510" t="s">
        <v>1207</v>
      </c>
      <c r="I510">
        <v>39.75</v>
      </c>
      <c r="J510">
        <v>-75.09</v>
      </c>
      <c r="K510" t="s">
        <v>1208</v>
      </c>
      <c r="L510" s="4">
        <v>64319</v>
      </c>
      <c r="M510" s="4">
        <v>0</v>
      </c>
      <c r="N510" s="11">
        <f t="shared" si="21"/>
        <v>0</v>
      </c>
      <c r="O510">
        <v>757</v>
      </c>
      <c r="P510" t="str">
        <f t="shared" si="23"/>
        <v>Very Good</v>
      </c>
      <c r="Q510">
        <v>3</v>
      </c>
    </row>
    <row r="511" spans="1:17" x14ac:dyDescent="0.3">
      <c r="A511">
        <v>509</v>
      </c>
      <c r="B511">
        <v>33</v>
      </c>
      <c r="C511">
        <v>66</v>
      </c>
      <c r="D511">
        <v>1986</v>
      </c>
      <c r="E511">
        <v>7</v>
      </c>
      <c r="F511" t="str">
        <f t="shared" si="22"/>
        <v>26-35</v>
      </c>
      <c r="G511" t="s">
        <v>19</v>
      </c>
      <c r="H511" t="s">
        <v>829</v>
      </c>
      <c r="I511">
        <v>38.409999999999997</v>
      </c>
      <c r="J511">
        <v>-82.43</v>
      </c>
      <c r="K511" t="s">
        <v>830</v>
      </c>
      <c r="L511" s="4">
        <v>44534</v>
      </c>
      <c r="M511" s="4">
        <v>107410</v>
      </c>
      <c r="N511" s="11">
        <f t="shared" si="21"/>
        <v>2.4118650918399425</v>
      </c>
      <c r="O511">
        <v>702</v>
      </c>
      <c r="P511" t="str">
        <f t="shared" si="23"/>
        <v>Good</v>
      </c>
      <c r="Q511">
        <v>4</v>
      </c>
    </row>
    <row r="512" spans="1:17" x14ac:dyDescent="0.3">
      <c r="A512">
        <v>510</v>
      </c>
      <c r="B512">
        <v>27</v>
      </c>
      <c r="C512">
        <v>65</v>
      </c>
      <c r="D512">
        <v>1992</v>
      </c>
      <c r="E512">
        <v>10</v>
      </c>
      <c r="F512" t="str">
        <f t="shared" si="22"/>
        <v>26-35</v>
      </c>
      <c r="G512" t="s">
        <v>19</v>
      </c>
      <c r="H512" t="s">
        <v>1681</v>
      </c>
      <c r="I512">
        <v>37.72</v>
      </c>
      <c r="J512">
        <v>-122.44</v>
      </c>
      <c r="K512" t="s">
        <v>159</v>
      </c>
      <c r="L512" s="4">
        <v>45973</v>
      </c>
      <c r="M512" s="4">
        <v>0</v>
      </c>
      <c r="N512" s="11">
        <f t="shared" si="21"/>
        <v>0</v>
      </c>
      <c r="O512">
        <v>777</v>
      </c>
      <c r="P512" t="str">
        <f t="shared" si="23"/>
        <v>Very Good</v>
      </c>
      <c r="Q512">
        <v>2</v>
      </c>
    </row>
    <row r="513" spans="1:17" x14ac:dyDescent="0.3">
      <c r="A513">
        <v>511</v>
      </c>
      <c r="B513">
        <v>66</v>
      </c>
      <c r="C513">
        <v>68</v>
      </c>
      <c r="D513">
        <v>1953</v>
      </c>
      <c r="E513">
        <v>10</v>
      </c>
      <c r="F513" t="str">
        <f t="shared" si="22"/>
        <v>65+</v>
      </c>
      <c r="G513" t="s">
        <v>19</v>
      </c>
      <c r="H513" t="s">
        <v>34</v>
      </c>
      <c r="I513">
        <v>32.21</v>
      </c>
      <c r="J513">
        <v>-110.88</v>
      </c>
      <c r="K513" t="s">
        <v>35</v>
      </c>
      <c r="L513" s="4">
        <v>35602</v>
      </c>
      <c r="M513" s="4">
        <v>55369</v>
      </c>
      <c r="N513" s="11">
        <f t="shared" si="21"/>
        <v>1.5552216167631032</v>
      </c>
      <c r="O513">
        <v>661</v>
      </c>
      <c r="P513" t="str">
        <f t="shared" si="23"/>
        <v>Fair</v>
      </c>
      <c r="Q513">
        <v>5</v>
      </c>
    </row>
    <row r="514" spans="1:17" x14ac:dyDescent="0.3">
      <c r="A514">
        <v>512</v>
      </c>
      <c r="B514">
        <v>48</v>
      </c>
      <c r="C514">
        <v>62</v>
      </c>
      <c r="D514">
        <v>1971</v>
      </c>
      <c r="E514">
        <v>8</v>
      </c>
      <c r="F514" t="str">
        <f t="shared" si="22"/>
        <v>36-50</v>
      </c>
      <c r="G514" t="s">
        <v>19</v>
      </c>
      <c r="H514" t="s">
        <v>1400</v>
      </c>
      <c r="I514">
        <v>33.729999999999997</v>
      </c>
      <c r="J514">
        <v>-112.14</v>
      </c>
      <c r="K514" t="s">
        <v>1401</v>
      </c>
      <c r="L514" s="4">
        <v>72844</v>
      </c>
      <c r="M514" s="4">
        <v>207423</v>
      </c>
      <c r="N514" s="11">
        <f t="shared" ref="N514:N577" si="24">(M514/L514)</f>
        <v>2.8474960188896818</v>
      </c>
      <c r="O514">
        <v>718</v>
      </c>
      <c r="P514" t="str">
        <f t="shared" si="23"/>
        <v>Good</v>
      </c>
      <c r="Q514">
        <v>1</v>
      </c>
    </row>
    <row r="515" spans="1:17" x14ac:dyDescent="0.3">
      <c r="A515">
        <v>513</v>
      </c>
      <c r="B515">
        <v>24</v>
      </c>
      <c r="C515">
        <v>69</v>
      </c>
      <c r="D515">
        <v>1995</v>
      </c>
      <c r="E515">
        <v>10</v>
      </c>
      <c r="F515" t="str">
        <f t="shared" ref="F515:F578" si="25">IF(B515&lt;26,"18-25",
   IF(B515&lt;36,"26-35",
   IF(B515&lt;51,"36-50",
   IF(B515&lt;66,"51-60","65+"))))</f>
        <v>18-25</v>
      </c>
      <c r="G515" t="s">
        <v>19</v>
      </c>
      <c r="H515" t="s">
        <v>710</v>
      </c>
      <c r="I515">
        <v>30.5</v>
      </c>
      <c r="J515">
        <v>-90.46</v>
      </c>
      <c r="K515" t="s">
        <v>711</v>
      </c>
      <c r="L515" s="4">
        <v>35856</v>
      </c>
      <c r="M515" s="4">
        <v>73257</v>
      </c>
      <c r="N515" s="11">
        <f t="shared" si="24"/>
        <v>2.0430890227576977</v>
      </c>
      <c r="O515">
        <v>712</v>
      </c>
      <c r="P515" t="str">
        <f t="shared" ref="P515:P578" si="26">IF(O515&lt;580,"Poor",
   IF(O515&lt;670,"Fair",
   IF(O515&lt;740,"Good",
   IF(O515&lt;800,"Very Good","Excellent"))))</f>
        <v>Good</v>
      </c>
      <c r="Q515">
        <v>4</v>
      </c>
    </row>
    <row r="516" spans="1:17" x14ac:dyDescent="0.3">
      <c r="A516">
        <v>514</v>
      </c>
      <c r="B516">
        <v>58</v>
      </c>
      <c r="C516">
        <v>72</v>
      </c>
      <c r="D516">
        <v>1961</v>
      </c>
      <c r="E516">
        <v>8</v>
      </c>
      <c r="F516" t="str">
        <f t="shared" si="25"/>
        <v>51-60</v>
      </c>
      <c r="G516" t="s">
        <v>19</v>
      </c>
      <c r="H516" t="s">
        <v>377</v>
      </c>
      <c r="I516">
        <v>28.08</v>
      </c>
      <c r="J516">
        <v>-80.599999999999994</v>
      </c>
      <c r="K516" t="s">
        <v>378</v>
      </c>
      <c r="L516" s="4">
        <v>32295</v>
      </c>
      <c r="M516" s="4">
        <v>72357</v>
      </c>
      <c r="N516" s="11">
        <f t="shared" si="24"/>
        <v>2.2405016256386436</v>
      </c>
      <c r="O516">
        <v>698</v>
      </c>
      <c r="P516" t="str">
        <f t="shared" si="26"/>
        <v>Good</v>
      </c>
      <c r="Q516">
        <v>4</v>
      </c>
    </row>
    <row r="517" spans="1:17" x14ac:dyDescent="0.3">
      <c r="A517">
        <v>515</v>
      </c>
      <c r="B517">
        <v>61</v>
      </c>
      <c r="C517">
        <v>63</v>
      </c>
      <c r="D517">
        <v>1958</v>
      </c>
      <c r="E517">
        <v>10</v>
      </c>
      <c r="F517" t="str">
        <f t="shared" si="25"/>
        <v>51-60</v>
      </c>
      <c r="G517" t="s">
        <v>19</v>
      </c>
      <c r="H517" t="s">
        <v>551</v>
      </c>
      <c r="I517">
        <v>32.51</v>
      </c>
      <c r="J517">
        <v>-94.76</v>
      </c>
      <c r="K517" t="s">
        <v>552</v>
      </c>
      <c r="L517" s="4">
        <v>41865</v>
      </c>
      <c r="M517" s="4">
        <v>60911</v>
      </c>
      <c r="N517" s="11">
        <f t="shared" si="24"/>
        <v>1.4549384927743938</v>
      </c>
      <c r="O517">
        <v>676</v>
      </c>
      <c r="P517" t="str">
        <f t="shared" si="26"/>
        <v>Good</v>
      </c>
      <c r="Q517">
        <v>4</v>
      </c>
    </row>
    <row r="518" spans="1:17" x14ac:dyDescent="0.3">
      <c r="A518">
        <v>516</v>
      </c>
      <c r="B518">
        <v>35</v>
      </c>
      <c r="C518">
        <v>66</v>
      </c>
      <c r="D518">
        <v>1984</v>
      </c>
      <c r="E518">
        <v>10</v>
      </c>
      <c r="F518" t="str">
        <f t="shared" si="25"/>
        <v>26-35</v>
      </c>
      <c r="G518" t="s">
        <v>19</v>
      </c>
      <c r="H518" t="s">
        <v>1583</v>
      </c>
      <c r="I518">
        <v>32.61</v>
      </c>
      <c r="J518">
        <v>-117.03</v>
      </c>
      <c r="K518" t="s">
        <v>59</v>
      </c>
      <c r="L518" s="4">
        <v>34542</v>
      </c>
      <c r="M518" s="4">
        <v>35474</v>
      </c>
      <c r="N518" s="11">
        <f t="shared" si="24"/>
        <v>1.0269816455329743</v>
      </c>
      <c r="O518">
        <v>697</v>
      </c>
      <c r="P518" t="str">
        <f t="shared" si="26"/>
        <v>Good</v>
      </c>
      <c r="Q518">
        <v>4</v>
      </c>
    </row>
    <row r="519" spans="1:17" x14ac:dyDescent="0.3">
      <c r="A519">
        <v>517</v>
      </c>
      <c r="B519">
        <v>33</v>
      </c>
      <c r="C519">
        <v>71</v>
      </c>
      <c r="D519">
        <v>1986</v>
      </c>
      <c r="E519">
        <v>11</v>
      </c>
      <c r="F519" t="str">
        <f t="shared" si="25"/>
        <v>26-35</v>
      </c>
      <c r="G519" t="s">
        <v>19</v>
      </c>
      <c r="H519" t="s">
        <v>1838</v>
      </c>
      <c r="I519">
        <v>42.31</v>
      </c>
      <c r="J519">
        <v>-83.21</v>
      </c>
      <c r="K519" t="s">
        <v>1623</v>
      </c>
      <c r="L519" s="4">
        <v>24009</v>
      </c>
      <c r="M519" s="4">
        <v>19085</v>
      </c>
      <c r="N519" s="11">
        <f t="shared" si="24"/>
        <v>0.79491024199258609</v>
      </c>
      <c r="O519">
        <v>811</v>
      </c>
      <c r="P519" t="str">
        <f t="shared" si="26"/>
        <v>Excellent</v>
      </c>
      <c r="Q519">
        <v>4</v>
      </c>
    </row>
    <row r="520" spans="1:17" x14ac:dyDescent="0.3">
      <c r="A520">
        <v>518</v>
      </c>
      <c r="B520">
        <v>31</v>
      </c>
      <c r="C520">
        <v>61</v>
      </c>
      <c r="D520">
        <v>1988</v>
      </c>
      <c r="E520">
        <v>4</v>
      </c>
      <c r="F520" t="str">
        <f t="shared" si="25"/>
        <v>26-35</v>
      </c>
      <c r="G520" t="s">
        <v>19</v>
      </c>
      <c r="H520" t="s">
        <v>1254</v>
      </c>
      <c r="I520">
        <v>44.06</v>
      </c>
      <c r="J520">
        <v>-70.39</v>
      </c>
      <c r="K520" t="s">
        <v>1255</v>
      </c>
      <c r="L520" s="4">
        <v>45433</v>
      </c>
      <c r="M520" s="4">
        <v>91998</v>
      </c>
      <c r="N520" s="11">
        <f t="shared" si="24"/>
        <v>2.0249158100939844</v>
      </c>
      <c r="O520">
        <v>523</v>
      </c>
      <c r="P520" t="str">
        <f t="shared" si="26"/>
        <v>Poor</v>
      </c>
      <c r="Q520">
        <v>1</v>
      </c>
    </row>
    <row r="521" spans="1:17" x14ac:dyDescent="0.3">
      <c r="A521">
        <v>519</v>
      </c>
      <c r="B521">
        <v>57</v>
      </c>
      <c r="C521">
        <v>67</v>
      </c>
      <c r="D521">
        <v>1962</v>
      </c>
      <c r="E521">
        <v>6</v>
      </c>
      <c r="F521" t="str">
        <f t="shared" si="25"/>
        <v>51-60</v>
      </c>
      <c r="G521" t="s">
        <v>14</v>
      </c>
      <c r="H521" t="s">
        <v>388</v>
      </c>
      <c r="I521">
        <v>36.14</v>
      </c>
      <c r="J521">
        <v>-115.03</v>
      </c>
      <c r="K521" t="s">
        <v>389</v>
      </c>
      <c r="L521" s="4">
        <v>39508</v>
      </c>
      <c r="M521" s="4">
        <v>18870</v>
      </c>
      <c r="N521" s="11">
        <f t="shared" si="24"/>
        <v>0.47762478485370052</v>
      </c>
      <c r="O521">
        <v>770</v>
      </c>
      <c r="P521" t="str">
        <f t="shared" si="26"/>
        <v>Very Good</v>
      </c>
      <c r="Q521">
        <v>4</v>
      </c>
    </row>
    <row r="522" spans="1:17" x14ac:dyDescent="0.3">
      <c r="A522">
        <v>520</v>
      </c>
      <c r="B522">
        <v>45</v>
      </c>
      <c r="C522">
        <v>66</v>
      </c>
      <c r="D522">
        <v>1974</v>
      </c>
      <c r="E522">
        <v>4</v>
      </c>
      <c r="F522" t="str">
        <f t="shared" si="25"/>
        <v>36-50</v>
      </c>
      <c r="G522" t="s">
        <v>19</v>
      </c>
      <c r="H522" t="s">
        <v>541</v>
      </c>
      <c r="I522">
        <v>40.26</v>
      </c>
      <c r="J522">
        <v>-75.739999999999995</v>
      </c>
      <c r="K522" t="s">
        <v>542</v>
      </c>
      <c r="L522" s="4">
        <v>57658</v>
      </c>
      <c r="M522" s="4">
        <v>74288</v>
      </c>
      <c r="N522" s="11">
        <f t="shared" si="24"/>
        <v>1.2884248499774533</v>
      </c>
      <c r="O522">
        <v>766</v>
      </c>
      <c r="P522" t="str">
        <f t="shared" si="26"/>
        <v>Very Good</v>
      </c>
      <c r="Q522">
        <v>5</v>
      </c>
    </row>
    <row r="523" spans="1:17" x14ac:dyDescent="0.3">
      <c r="A523">
        <v>521</v>
      </c>
      <c r="B523">
        <v>21</v>
      </c>
      <c r="C523">
        <v>70</v>
      </c>
      <c r="D523">
        <v>1998</v>
      </c>
      <c r="E523">
        <v>9</v>
      </c>
      <c r="F523" t="str">
        <f t="shared" si="25"/>
        <v>18-25</v>
      </c>
      <c r="G523" t="s">
        <v>14</v>
      </c>
      <c r="H523" t="s">
        <v>1319</v>
      </c>
      <c r="I523">
        <v>34.06</v>
      </c>
      <c r="J523">
        <v>-118.08</v>
      </c>
      <c r="K523" t="s">
        <v>1320</v>
      </c>
      <c r="L523" s="4">
        <v>32829</v>
      </c>
      <c r="M523" s="4">
        <v>44141</v>
      </c>
      <c r="N523" s="11">
        <f t="shared" si="24"/>
        <v>1.3445733954735142</v>
      </c>
      <c r="O523">
        <v>652</v>
      </c>
      <c r="P523" t="str">
        <f t="shared" si="26"/>
        <v>Fair</v>
      </c>
      <c r="Q523">
        <v>1</v>
      </c>
    </row>
    <row r="524" spans="1:17" x14ac:dyDescent="0.3">
      <c r="A524">
        <v>522</v>
      </c>
      <c r="B524">
        <v>26</v>
      </c>
      <c r="C524">
        <v>65</v>
      </c>
      <c r="D524">
        <v>1994</v>
      </c>
      <c r="E524">
        <v>2</v>
      </c>
      <c r="F524" t="str">
        <f t="shared" si="25"/>
        <v>26-35</v>
      </c>
      <c r="G524" t="s">
        <v>14</v>
      </c>
      <c r="H524" t="s">
        <v>1022</v>
      </c>
      <c r="I524">
        <v>38.46</v>
      </c>
      <c r="J524">
        <v>-85.95</v>
      </c>
      <c r="K524" t="s">
        <v>1023</v>
      </c>
      <c r="L524" s="4">
        <v>43454</v>
      </c>
      <c r="M524" s="4">
        <v>79295</v>
      </c>
      <c r="N524" s="11">
        <f t="shared" si="24"/>
        <v>1.8248032402080361</v>
      </c>
      <c r="O524">
        <v>774</v>
      </c>
      <c r="P524" t="str">
        <f t="shared" si="26"/>
        <v>Very Good</v>
      </c>
      <c r="Q524">
        <v>2</v>
      </c>
    </row>
    <row r="525" spans="1:17" x14ac:dyDescent="0.3">
      <c r="A525">
        <v>523</v>
      </c>
      <c r="B525">
        <v>27</v>
      </c>
      <c r="C525">
        <v>65</v>
      </c>
      <c r="D525">
        <v>1992</v>
      </c>
      <c r="E525">
        <v>6</v>
      </c>
      <c r="F525" t="str">
        <f t="shared" si="25"/>
        <v>26-35</v>
      </c>
      <c r="G525" t="s">
        <v>14</v>
      </c>
      <c r="H525" t="s">
        <v>1859</v>
      </c>
      <c r="I525">
        <v>42.77</v>
      </c>
      <c r="J525">
        <v>-86.1</v>
      </c>
      <c r="K525" t="s">
        <v>1154</v>
      </c>
      <c r="L525" s="4">
        <v>38487</v>
      </c>
      <c r="M525" s="4">
        <v>28032</v>
      </c>
      <c r="N525" s="11">
        <f t="shared" si="24"/>
        <v>0.72834983241094398</v>
      </c>
      <c r="O525">
        <v>773</v>
      </c>
      <c r="P525" t="str">
        <f t="shared" si="26"/>
        <v>Very Good</v>
      </c>
      <c r="Q525">
        <v>4</v>
      </c>
    </row>
    <row r="526" spans="1:17" x14ac:dyDescent="0.3">
      <c r="A526">
        <v>524</v>
      </c>
      <c r="B526">
        <v>57</v>
      </c>
      <c r="C526">
        <v>62</v>
      </c>
      <c r="D526">
        <v>1962</v>
      </c>
      <c r="E526">
        <v>3</v>
      </c>
      <c r="F526" t="str">
        <f t="shared" si="25"/>
        <v>51-60</v>
      </c>
      <c r="G526" t="s">
        <v>19</v>
      </c>
      <c r="H526" t="s">
        <v>1126</v>
      </c>
      <c r="I526">
        <v>38.369999999999997</v>
      </c>
      <c r="J526">
        <v>-81.81</v>
      </c>
      <c r="K526" t="s">
        <v>1127</v>
      </c>
      <c r="L526" s="4">
        <v>35239</v>
      </c>
      <c r="M526" s="4">
        <v>43270</v>
      </c>
      <c r="N526" s="11">
        <f t="shared" si="24"/>
        <v>1.2279009052470276</v>
      </c>
      <c r="O526">
        <v>726</v>
      </c>
      <c r="P526" t="str">
        <f t="shared" si="26"/>
        <v>Good</v>
      </c>
      <c r="Q526">
        <v>1</v>
      </c>
    </row>
    <row r="527" spans="1:17" x14ac:dyDescent="0.3">
      <c r="A527">
        <v>525</v>
      </c>
      <c r="B527">
        <v>55</v>
      </c>
      <c r="C527">
        <v>66</v>
      </c>
      <c r="D527">
        <v>1964</v>
      </c>
      <c r="E527">
        <v>4</v>
      </c>
      <c r="F527" t="str">
        <f t="shared" si="25"/>
        <v>51-60</v>
      </c>
      <c r="G527" t="s">
        <v>19</v>
      </c>
      <c r="H527" t="s">
        <v>1128</v>
      </c>
      <c r="I527">
        <v>38.29</v>
      </c>
      <c r="J527">
        <v>-120.58</v>
      </c>
      <c r="K527" t="s">
        <v>1129</v>
      </c>
      <c r="L527" s="4">
        <v>37147</v>
      </c>
      <c r="M527" s="4">
        <v>0</v>
      </c>
      <c r="N527" s="11">
        <f t="shared" si="24"/>
        <v>0</v>
      </c>
      <c r="O527">
        <v>703</v>
      </c>
      <c r="P527" t="str">
        <f t="shared" si="26"/>
        <v>Good</v>
      </c>
      <c r="Q527">
        <v>3</v>
      </c>
    </row>
    <row r="528" spans="1:17" x14ac:dyDescent="0.3">
      <c r="A528">
        <v>526</v>
      </c>
      <c r="B528">
        <v>51</v>
      </c>
      <c r="C528">
        <v>62</v>
      </c>
      <c r="D528">
        <v>1968</v>
      </c>
      <c r="E528">
        <v>3</v>
      </c>
      <c r="F528" t="str">
        <f t="shared" si="25"/>
        <v>51-60</v>
      </c>
      <c r="G528" t="s">
        <v>14</v>
      </c>
      <c r="H528" t="s">
        <v>1733</v>
      </c>
      <c r="I528">
        <v>25.77</v>
      </c>
      <c r="J528">
        <v>-80.2</v>
      </c>
      <c r="K528" t="s">
        <v>1734</v>
      </c>
      <c r="L528" s="4">
        <v>64481</v>
      </c>
      <c r="M528" s="4">
        <v>114394</v>
      </c>
      <c r="N528" s="11">
        <f t="shared" si="24"/>
        <v>1.7740729827391015</v>
      </c>
      <c r="O528">
        <v>627</v>
      </c>
      <c r="P528" t="str">
        <f t="shared" si="26"/>
        <v>Fair</v>
      </c>
      <c r="Q528">
        <v>5</v>
      </c>
    </row>
    <row r="529" spans="1:17" x14ac:dyDescent="0.3">
      <c r="A529">
        <v>527</v>
      </c>
      <c r="B529">
        <v>58</v>
      </c>
      <c r="C529">
        <v>65</v>
      </c>
      <c r="D529">
        <v>1961</v>
      </c>
      <c r="E529">
        <v>11</v>
      </c>
      <c r="F529" t="str">
        <f t="shared" si="25"/>
        <v>51-60</v>
      </c>
      <c r="G529" t="s">
        <v>19</v>
      </c>
      <c r="H529" t="s">
        <v>656</v>
      </c>
      <c r="I529">
        <v>40.99</v>
      </c>
      <c r="J529">
        <v>-88.72</v>
      </c>
      <c r="K529" t="s">
        <v>657</v>
      </c>
      <c r="L529" s="4">
        <v>40628</v>
      </c>
      <c r="M529" s="4">
        <v>66552</v>
      </c>
      <c r="N529" s="11">
        <f t="shared" si="24"/>
        <v>1.6380821108595058</v>
      </c>
      <c r="O529">
        <v>636</v>
      </c>
      <c r="P529" t="str">
        <f t="shared" si="26"/>
        <v>Fair</v>
      </c>
      <c r="Q529">
        <v>1</v>
      </c>
    </row>
    <row r="530" spans="1:17" x14ac:dyDescent="0.3">
      <c r="A530">
        <v>528</v>
      </c>
      <c r="B530">
        <v>38</v>
      </c>
      <c r="C530">
        <v>65</v>
      </c>
      <c r="D530">
        <v>1981</v>
      </c>
      <c r="E530">
        <v>7</v>
      </c>
      <c r="F530" t="str">
        <f t="shared" si="25"/>
        <v>36-50</v>
      </c>
      <c r="G530" t="s">
        <v>19</v>
      </c>
      <c r="H530" t="s">
        <v>1802</v>
      </c>
      <c r="I530">
        <v>42.78</v>
      </c>
      <c r="J530">
        <v>-96.16</v>
      </c>
      <c r="K530" t="s">
        <v>1803</v>
      </c>
      <c r="L530" s="4">
        <v>40478</v>
      </c>
      <c r="M530" s="4">
        <v>76392</v>
      </c>
      <c r="N530" s="11">
        <f t="shared" si="24"/>
        <v>1.8872473936459311</v>
      </c>
      <c r="O530">
        <v>718</v>
      </c>
      <c r="P530" t="str">
        <f t="shared" si="26"/>
        <v>Good</v>
      </c>
      <c r="Q530">
        <v>3</v>
      </c>
    </row>
    <row r="531" spans="1:17" x14ac:dyDescent="0.3">
      <c r="A531">
        <v>529</v>
      </c>
      <c r="B531">
        <v>55</v>
      </c>
      <c r="C531">
        <v>68</v>
      </c>
      <c r="D531">
        <v>1964</v>
      </c>
      <c r="E531">
        <v>8</v>
      </c>
      <c r="F531" t="str">
        <f t="shared" si="25"/>
        <v>51-60</v>
      </c>
      <c r="G531" t="s">
        <v>19</v>
      </c>
      <c r="H531" t="s">
        <v>1492</v>
      </c>
      <c r="I531">
        <v>42.89</v>
      </c>
      <c r="J531">
        <v>-70.87</v>
      </c>
      <c r="K531" t="s">
        <v>1493</v>
      </c>
      <c r="L531" s="4">
        <v>45767</v>
      </c>
      <c r="M531" s="4">
        <v>41791</v>
      </c>
      <c r="N531" s="11">
        <f t="shared" si="24"/>
        <v>0.91312517752966116</v>
      </c>
      <c r="O531">
        <v>721</v>
      </c>
      <c r="P531" t="str">
        <f t="shared" si="26"/>
        <v>Good</v>
      </c>
      <c r="Q531">
        <v>4</v>
      </c>
    </row>
    <row r="532" spans="1:17" x14ac:dyDescent="0.3">
      <c r="A532">
        <v>530</v>
      </c>
      <c r="B532">
        <v>78</v>
      </c>
      <c r="C532">
        <v>68</v>
      </c>
      <c r="D532">
        <v>1941</v>
      </c>
      <c r="E532">
        <v>7</v>
      </c>
      <c r="F532" t="str">
        <f t="shared" si="25"/>
        <v>65+</v>
      </c>
      <c r="G532" t="s">
        <v>19</v>
      </c>
      <c r="H532" t="s">
        <v>466</v>
      </c>
      <c r="I532">
        <v>34.06</v>
      </c>
      <c r="J532">
        <v>-117.39</v>
      </c>
      <c r="K532" t="s">
        <v>341</v>
      </c>
      <c r="L532" s="4">
        <v>18100</v>
      </c>
      <c r="M532" s="4">
        <v>0</v>
      </c>
      <c r="N532" s="11">
        <f t="shared" si="24"/>
        <v>0</v>
      </c>
      <c r="O532">
        <v>682</v>
      </c>
      <c r="P532" t="str">
        <f t="shared" si="26"/>
        <v>Good</v>
      </c>
      <c r="Q532">
        <v>6</v>
      </c>
    </row>
    <row r="533" spans="1:17" x14ac:dyDescent="0.3">
      <c r="A533">
        <v>531</v>
      </c>
      <c r="B533">
        <v>18</v>
      </c>
      <c r="C533">
        <v>68</v>
      </c>
      <c r="D533">
        <v>2001</v>
      </c>
      <c r="E533">
        <v>12</v>
      </c>
      <c r="F533" t="str">
        <f t="shared" si="25"/>
        <v>18-25</v>
      </c>
      <c r="G533" t="s">
        <v>19</v>
      </c>
      <c r="H533" t="s">
        <v>1545</v>
      </c>
      <c r="I533">
        <v>37.18</v>
      </c>
      <c r="J533">
        <v>-113.6</v>
      </c>
      <c r="K533" t="s">
        <v>546</v>
      </c>
      <c r="L533" s="4">
        <v>29497</v>
      </c>
      <c r="M533" s="4">
        <v>66044</v>
      </c>
      <c r="N533" s="11">
        <f t="shared" si="24"/>
        <v>2.2390073566803403</v>
      </c>
      <c r="O533">
        <v>722</v>
      </c>
      <c r="P533" t="str">
        <f t="shared" si="26"/>
        <v>Good</v>
      </c>
      <c r="Q533">
        <v>3</v>
      </c>
    </row>
    <row r="534" spans="1:17" x14ac:dyDescent="0.3">
      <c r="A534">
        <v>532</v>
      </c>
      <c r="B534">
        <v>27</v>
      </c>
      <c r="C534">
        <v>65</v>
      </c>
      <c r="D534">
        <v>1993</v>
      </c>
      <c r="E534">
        <v>1</v>
      </c>
      <c r="F534" t="str">
        <f t="shared" si="25"/>
        <v>26-35</v>
      </c>
      <c r="G534" t="s">
        <v>19</v>
      </c>
      <c r="H534" t="s">
        <v>1800</v>
      </c>
      <c r="I534">
        <v>38.53</v>
      </c>
      <c r="J534">
        <v>-90</v>
      </c>
      <c r="K534" t="s">
        <v>1801</v>
      </c>
      <c r="L534" s="4">
        <v>48484</v>
      </c>
      <c r="M534" s="4">
        <v>63561</v>
      </c>
      <c r="N534" s="11">
        <f t="shared" si="24"/>
        <v>1.3109685669499216</v>
      </c>
      <c r="O534">
        <v>775</v>
      </c>
      <c r="P534" t="str">
        <f t="shared" si="26"/>
        <v>Very Good</v>
      </c>
      <c r="Q534">
        <v>4</v>
      </c>
    </row>
    <row r="535" spans="1:17" x14ac:dyDescent="0.3">
      <c r="A535">
        <v>533</v>
      </c>
      <c r="B535">
        <v>22</v>
      </c>
      <c r="C535">
        <v>65</v>
      </c>
      <c r="D535">
        <v>1997</v>
      </c>
      <c r="E535">
        <v>9</v>
      </c>
      <c r="F535" t="str">
        <f t="shared" si="25"/>
        <v>18-25</v>
      </c>
      <c r="G535" t="s">
        <v>19</v>
      </c>
      <c r="H535" t="s">
        <v>98</v>
      </c>
      <c r="I535">
        <v>32.71</v>
      </c>
      <c r="J535">
        <v>-102.65</v>
      </c>
      <c r="K535" t="s">
        <v>99</v>
      </c>
      <c r="L535" s="4">
        <v>30961</v>
      </c>
      <c r="M535" s="4">
        <v>42597</v>
      </c>
      <c r="N535" s="11">
        <f t="shared" si="24"/>
        <v>1.3758276541455379</v>
      </c>
      <c r="O535">
        <v>677</v>
      </c>
      <c r="P535" t="str">
        <f t="shared" si="26"/>
        <v>Good</v>
      </c>
      <c r="Q535">
        <v>1</v>
      </c>
    </row>
    <row r="536" spans="1:17" x14ac:dyDescent="0.3">
      <c r="A536">
        <v>534</v>
      </c>
      <c r="B536">
        <v>27</v>
      </c>
      <c r="C536">
        <v>74</v>
      </c>
      <c r="D536">
        <v>1993</v>
      </c>
      <c r="E536">
        <v>2</v>
      </c>
      <c r="F536" t="str">
        <f t="shared" si="25"/>
        <v>26-35</v>
      </c>
      <c r="G536" t="s">
        <v>14</v>
      </c>
      <c r="H536" t="s">
        <v>966</v>
      </c>
      <c r="I536">
        <v>41.72</v>
      </c>
      <c r="J536">
        <v>-93.6</v>
      </c>
      <c r="K536" t="s">
        <v>967</v>
      </c>
      <c r="L536" s="4">
        <v>60510</v>
      </c>
      <c r="M536" s="4">
        <v>23196</v>
      </c>
      <c r="N536" s="11">
        <f t="shared" si="24"/>
        <v>0.3833415964303421</v>
      </c>
      <c r="O536">
        <v>790</v>
      </c>
      <c r="P536" t="str">
        <f t="shared" si="26"/>
        <v>Very Good</v>
      </c>
      <c r="Q536">
        <v>3</v>
      </c>
    </row>
    <row r="537" spans="1:17" x14ac:dyDescent="0.3">
      <c r="A537">
        <v>535</v>
      </c>
      <c r="B537">
        <v>51</v>
      </c>
      <c r="C537">
        <v>63</v>
      </c>
      <c r="D537">
        <v>1968</v>
      </c>
      <c r="E537">
        <v>12</v>
      </c>
      <c r="F537" t="str">
        <f t="shared" si="25"/>
        <v>51-60</v>
      </c>
      <c r="G537" t="s">
        <v>14</v>
      </c>
      <c r="H537" t="s">
        <v>610</v>
      </c>
      <c r="I537">
        <v>41.53</v>
      </c>
      <c r="J537">
        <v>-72.790000000000006</v>
      </c>
      <c r="K537" t="s">
        <v>611</v>
      </c>
      <c r="L537" s="4">
        <v>49737</v>
      </c>
      <c r="M537" s="4">
        <v>136056</v>
      </c>
      <c r="N537" s="11">
        <f t="shared" si="24"/>
        <v>2.7355087761626153</v>
      </c>
      <c r="O537">
        <v>643</v>
      </c>
      <c r="P537" t="str">
        <f t="shared" si="26"/>
        <v>Fair</v>
      </c>
      <c r="Q537">
        <v>1</v>
      </c>
    </row>
    <row r="538" spans="1:17" x14ac:dyDescent="0.3">
      <c r="A538">
        <v>536</v>
      </c>
      <c r="B538">
        <v>21</v>
      </c>
      <c r="C538">
        <v>62</v>
      </c>
      <c r="D538">
        <v>1998</v>
      </c>
      <c r="E538">
        <v>8</v>
      </c>
      <c r="F538" t="str">
        <f t="shared" si="25"/>
        <v>18-25</v>
      </c>
      <c r="G538" t="s">
        <v>19</v>
      </c>
      <c r="H538" t="s">
        <v>1857</v>
      </c>
      <c r="I538">
        <v>42.93</v>
      </c>
      <c r="J538">
        <v>-74.62</v>
      </c>
      <c r="K538" t="s">
        <v>1858</v>
      </c>
      <c r="L538" s="4">
        <v>31077</v>
      </c>
      <c r="M538" s="4">
        <v>89659</v>
      </c>
      <c r="N538" s="11">
        <f t="shared" si="24"/>
        <v>2.8850596904463108</v>
      </c>
      <c r="O538">
        <v>789</v>
      </c>
      <c r="P538" t="str">
        <f t="shared" si="26"/>
        <v>Very Good</v>
      </c>
      <c r="Q538">
        <v>5</v>
      </c>
    </row>
    <row r="539" spans="1:17" x14ac:dyDescent="0.3">
      <c r="A539">
        <v>537</v>
      </c>
      <c r="B539">
        <v>19</v>
      </c>
      <c r="C539">
        <v>71</v>
      </c>
      <c r="D539">
        <v>2000</v>
      </c>
      <c r="E539">
        <v>10</v>
      </c>
      <c r="F539" t="str">
        <f t="shared" si="25"/>
        <v>18-25</v>
      </c>
      <c r="G539" t="s">
        <v>14</v>
      </c>
      <c r="H539" t="s">
        <v>1942</v>
      </c>
      <c r="I539">
        <v>38.01</v>
      </c>
      <c r="J539">
        <v>-121.38</v>
      </c>
      <c r="K539" t="s">
        <v>1943</v>
      </c>
      <c r="L539" s="4">
        <v>64428</v>
      </c>
      <c r="M539" s="4">
        <v>122968</v>
      </c>
      <c r="N539" s="11">
        <f t="shared" si="24"/>
        <v>1.908611162848451</v>
      </c>
      <c r="O539">
        <v>703</v>
      </c>
      <c r="P539" t="str">
        <f t="shared" si="26"/>
        <v>Good</v>
      </c>
      <c r="Q539">
        <v>2</v>
      </c>
    </row>
    <row r="540" spans="1:17" x14ac:dyDescent="0.3">
      <c r="A540">
        <v>538</v>
      </c>
      <c r="B540">
        <v>66</v>
      </c>
      <c r="C540">
        <v>69</v>
      </c>
      <c r="D540">
        <v>1954</v>
      </c>
      <c r="E540">
        <v>2</v>
      </c>
      <c r="F540" t="str">
        <f t="shared" si="25"/>
        <v>65+</v>
      </c>
      <c r="G540" t="s">
        <v>14</v>
      </c>
      <c r="H540" t="s">
        <v>1147</v>
      </c>
      <c r="I540">
        <v>35.299999999999997</v>
      </c>
      <c r="J540">
        <v>-77.150000000000006</v>
      </c>
      <c r="K540" t="s">
        <v>1148</v>
      </c>
      <c r="L540" s="4">
        <v>30265</v>
      </c>
      <c r="M540" s="4">
        <v>36789</v>
      </c>
      <c r="N540" s="11">
        <f t="shared" si="24"/>
        <v>1.2155625309763753</v>
      </c>
      <c r="O540">
        <v>814</v>
      </c>
      <c r="P540" t="str">
        <f t="shared" si="26"/>
        <v>Excellent</v>
      </c>
      <c r="Q540">
        <v>4</v>
      </c>
    </row>
    <row r="541" spans="1:17" x14ac:dyDescent="0.3">
      <c r="A541">
        <v>539</v>
      </c>
      <c r="B541">
        <v>21</v>
      </c>
      <c r="C541">
        <v>68</v>
      </c>
      <c r="D541">
        <v>1998</v>
      </c>
      <c r="E541">
        <v>8</v>
      </c>
      <c r="F541" t="str">
        <f t="shared" si="25"/>
        <v>18-25</v>
      </c>
      <c r="G541" t="s">
        <v>14</v>
      </c>
      <c r="H541" t="s">
        <v>1311</v>
      </c>
      <c r="I541">
        <v>42.7</v>
      </c>
      <c r="J541">
        <v>-84.55</v>
      </c>
      <c r="K541" t="s">
        <v>1312</v>
      </c>
      <c r="L541" s="4">
        <v>34568</v>
      </c>
      <c r="M541" s="4">
        <v>81953</v>
      </c>
      <c r="N541" s="11">
        <f t="shared" si="24"/>
        <v>2.3707764406387408</v>
      </c>
      <c r="O541">
        <v>765</v>
      </c>
      <c r="P541" t="str">
        <f t="shared" si="26"/>
        <v>Very Good</v>
      </c>
      <c r="Q541">
        <v>1</v>
      </c>
    </row>
    <row r="542" spans="1:17" x14ac:dyDescent="0.3">
      <c r="A542">
        <v>540</v>
      </c>
      <c r="B542">
        <v>25</v>
      </c>
      <c r="C542">
        <v>69</v>
      </c>
      <c r="D542">
        <v>1994</v>
      </c>
      <c r="E542">
        <v>9</v>
      </c>
      <c r="F542" t="str">
        <f t="shared" si="25"/>
        <v>18-25</v>
      </c>
      <c r="G542" t="s">
        <v>14</v>
      </c>
      <c r="H542" t="s">
        <v>166</v>
      </c>
      <c r="I542">
        <v>42.37</v>
      </c>
      <c r="J542">
        <v>-87.86</v>
      </c>
      <c r="K542" t="s">
        <v>167</v>
      </c>
      <c r="L542" s="4">
        <v>32160</v>
      </c>
      <c r="M542" s="4">
        <v>62803</v>
      </c>
      <c r="N542" s="11">
        <f t="shared" si="24"/>
        <v>1.9528296019900497</v>
      </c>
      <c r="O542">
        <v>634</v>
      </c>
      <c r="P542" t="str">
        <f t="shared" si="26"/>
        <v>Fair</v>
      </c>
      <c r="Q542">
        <v>1</v>
      </c>
    </row>
    <row r="543" spans="1:17" x14ac:dyDescent="0.3">
      <c r="A543">
        <v>541</v>
      </c>
      <c r="B543">
        <v>51</v>
      </c>
      <c r="C543">
        <v>70</v>
      </c>
      <c r="D543">
        <v>1968</v>
      </c>
      <c r="E543">
        <v>7</v>
      </c>
      <c r="F543" t="str">
        <f t="shared" si="25"/>
        <v>51-60</v>
      </c>
      <c r="G543" t="s">
        <v>14</v>
      </c>
      <c r="H543" t="s">
        <v>846</v>
      </c>
      <c r="I543">
        <v>35.630000000000003</v>
      </c>
      <c r="J543">
        <v>-95.95</v>
      </c>
      <c r="K543" t="s">
        <v>847</v>
      </c>
      <c r="L543" s="4">
        <v>29144</v>
      </c>
      <c r="M543" s="4">
        <v>35268</v>
      </c>
      <c r="N543" s="11">
        <f t="shared" si="24"/>
        <v>1.2101290145484491</v>
      </c>
      <c r="O543">
        <v>645</v>
      </c>
      <c r="P543" t="str">
        <f t="shared" si="26"/>
        <v>Fair</v>
      </c>
      <c r="Q543">
        <v>1</v>
      </c>
    </row>
    <row r="544" spans="1:17" x14ac:dyDescent="0.3">
      <c r="A544">
        <v>542</v>
      </c>
      <c r="B544">
        <v>52</v>
      </c>
      <c r="C544">
        <v>65</v>
      </c>
      <c r="D544">
        <v>1967</v>
      </c>
      <c r="E544">
        <v>7</v>
      </c>
      <c r="F544" t="str">
        <f t="shared" si="25"/>
        <v>51-60</v>
      </c>
      <c r="G544" t="s">
        <v>14</v>
      </c>
      <c r="H544" t="s">
        <v>1560</v>
      </c>
      <c r="I544">
        <v>35.46</v>
      </c>
      <c r="J544">
        <v>-97.51</v>
      </c>
      <c r="K544" t="s">
        <v>1561</v>
      </c>
      <c r="L544" s="4">
        <v>29496</v>
      </c>
      <c r="M544" s="4">
        <v>49681</v>
      </c>
      <c r="N544" s="11">
        <f t="shared" si="24"/>
        <v>1.6843300786547328</v>
      </c>
      <c r="O544">
        <v>704</v>
      </c>
      <c r="P544" t="str">
        <f t="shared" si="26"/>
        <v>Good</v>
      </c>
      <c r="Q544">
        <v>5</v>
      </c>
    </row>
    <row r="545" spans="1:17" x14ac:dyDescent="0.3">
      <c r="A545">
        <v>543</v>
      </c>
      <c r="B545">
        <v>43</v>
      </c>
      <c r="C545">
        <v>65</v>
      </c>
      <c r="D545">
        <v>1976</v>
      </c>
      <c r="E545">
        <v>3</v>
      </c>
      <c r="F545" t="str">
        <f t="shared" si="25"/>
        <v>36-50</v>
      </c>
      <c r="G545" t="s">
        <v>14</v>
      </c>
      <c r="H545" t="s">
        <v>194</v>
      </c>
      <c r="I545">
        <v>43.37</v>
      </c>
      <c r="J545">
        <v>-124.14</v>
      </c>
      <c r="K545" t="s">
        <v>195</v>
      </c>
      <c r="L545" s="4">
        <v>30721</v>
      </c>
      <c r="M545" s="4">
        <v>49961</v>
      </c>
      <c r="N545" s="11">
        <f t="shared" si="24"/>
        <v>1.6262816965593567</v>
      </c>
      <c r="O545">
        <v>749</v>
      </c>
      <c r="P545" t="str">
        <f t="shared" si="26"/>
        <v>Very Good</v>
      </c>
      <c r="Q545">
        <v>3</v>
      </c>
    </row>
    <row r="546" spans="1:17" x14ac:dyDescent="0.3">
      <c r="A546">
        <v>544</v>
      </c>
      <c r="B546">
        <v>34</v>
      </c>
      <c r="C546">
        <v>65</v>
      </c>
      <c r="D546">
        <v>1985</v>
      </c>
      <c r="E546">
        <v>5</v>
      </c>
      <c r="F546" t="str">
        <f t="shared" si="25"/>
        <v>26-35</v>
      </c>
      <c r="G546" t="s">
        <v>14</v>
      </c>
      <c r="H546" t="s">
        <v>1420</v>
      </c>
      <c r="I546">
        <v>40.86</v>
      </c>
      <c r="J546">
        <v>-73.63</v>
      </c>
      <c r="K546" t="s">
        <v>1421</v>
      </c>
      <c r="L546" s="4">
        <v>59999</v>
      </c>
      <c r="M546" s="4">
        <v>128311</v>
      </c>
      <c r="N546" s="11">
        <f t="shared" si="24"/>
        <v>2.1385523092051533</v>
      </c>
      <c r="O546">
        <v>676</v>
      </c>
      <c r="P546" t="str">
        <f t="shared" si="26"/>
        <v>Good</v>
      </c>
      <c r="Q546">
        <v>1</v>
      </c>
    </row>
    <row r="547" spans="1:17" x14ac:dyDescent="0.3">
      <c r="A547">
        <v>545</v>
      </c>
      <c r="B547">
        <v>55</v>
      </c>
      <c r="C547">
        <v>67</v>
      </c>
      <c r="D547">
        <v>1964</v>
      </c>
      <c r="E547">
        <v>10</v>
      </c>
      <c r="F547" t="str">
        <f t="shared" si="25"/>
        <v>51-60</v>
      </c>
      <c r="G547" t="s">
        <v>19</v>
      </c>
      <c r="H547" t="s">
        <v>1850</v>
      </c>
      <c r="I547">
        <v>40.67</v>
      </c>
      <c r="J547">
        <v>-89.54</v>
      </c>
      <c r="K547" t="s">
        <v>1851</v>
      </c>
      <c r="L547" s="4">
        <v>45707</v>
      </c>
      <c r="M547" s="4">
        <v>113194</v>
      </c>
      <c r="N547" s="11">
        <f t="shared" si="24"/>
        <v>2.4765134443301902</v>
      </c>
      <c r="O547">
        <v>715</v>
      </c>
      <c r="P547" t="str">
        <f t="shared" si="26"/>
        <v>Good</v>
      </c>
      <c r="Q547">
        <v>3</v>
      </c>
    </row>
    <row r="548" spans="1:17" x14ac:dyDescent="0.3">
      <c r="A548">
        <v>546</v>
      </c>
      <c r="B548">
        <v>51</v>
      </c>
      <c r="C548">
        <v>68</v>
      </c>
      <c r="D548">
        <v>1969</v>
      </c>
      <c r="E548">
        <v>1</v>
      </c>
      <c r="F548" t="str">
        <f t="shared" si="25"/>
        <v>51-60</v>
      </c>
      <c r="G548" t="s">
        <v>19</v>
      </c>
      <c r="H548" t="s">
        <v>1519</v>
      </c>
      <c r="I548">
        <v>41.68</v>
      </c>
      <c r="J548">
        <v>-71.66</v>
      </c>
      <c r="K548" t="s">
        <v>1520</v>
      </c>
      <c r="L548" s="4">
        <v>51196</v>
      </c>
      <c r="M548" s="4">
        <v>26617</v>
      </c>
      <c r="N548" s="11">
        <f t="shared" si="24"/>
        <v>0.5199038987420892</v>
      </c>
      <c r="O548">
        <v>681</v>
      </c>
      <c r="P548" t="str">
        <f t="shared" si="26"/>
        <v>Good</v>
      </c>
      <c r="Q548">
        <v>3</v>
      </c>
    </row>
    <row r="549" spans="1:17" x14ac:dyDescent="0.3">
      <c r="A549">
        <v>547</v>
      </c>
      <c r="B549">
        <v>70</v>
      </c>
      <c r="C549">
        <v>66</v>
      </c>
      <c r="D549">
        <v>1949</v>
      </c>
      <c r="E549">
        <v>5</v>
      </c>
      <c r="F549" t="str">
        <f t="shared" si="25"/>
        <v>65+</v>
      </c>
      <c r="G549" t="s">
        <v>19</v>
      </c>
      <c r="H549" t="s">
        <v>769</v>
      </c>
      <c r="I549">
        <v>42.62</v>
      </c>
      <c r="J549">
        <v>-88.63</v>
      </c>
      <c r="K549" t="s">
        <v>593</v>
      </c>
      <c r="L549" s="4">
        <v>31901</v>
      </c>
      <c r="M549" s="4">
        <v>16285</v>
      </c>
      <c r="N549" s="11">
        <f t="shared" si="24"/>
        <v>0.51048556471583961</v>
      </c>
      <c r="O549">
        <v>778</v>
      </c>
      <c r="P549" t="str">
        <f t="shared" si="26"/>
        <v>Very Good</v>
      </c>
      <c r="Q549">
        <v>4</v>
      </c>
    </row>
    <row r="550" spans="1:17" x14ac:dyDescent="0.3">
      <c r="A550">
        <v>548</v>
      </c>
      <c r="B550">
        <v>33</v>
      </c>
      <c r="C550">
        <v>69</v>
      </c>
      <c r="D550">
        <v>1986</v>
      </c>
      <c r="E550">
        <v>6</v>
      </c>
      <c r="F550" t="str">
        <f t="shared" si="25"/>
        <v>26-35</v>
      </c>
      <c r="G550" t="s">
        <v>19</v>
      </c>
      <c r="H550" t="s">
        <v>1617</v>
      </c>
      <c r="I550">
        <v>38.020000000000003</v>
      </c>
      <c r="J550">
        <v>-121.3</v>
      </c>
      <c r="K550" t="s">
        <v>341</v>
      </c>
      <c r="L550" s="4">
        <v>29996</v>
      </c>
      <c r="M550" s="4">
        <v>44313</v>
      </c>
      <c r="N550" s="11">
        <f t="shared" si="24"/>
        <v>1.4772969729297241</v>
      </c>
      <c r="O550">
        <v>809</v>
      </c>
      <c r="P550" t="str">
        <f t="shared" si="26"/>
        <v>Excellent</v>
      </c>
      <c r="Q550">
        <v>4</v>
      </c>
    </row>
    <row r="551" spans="1:17" x14ac:dyDescent="0.3">
      <c r="A551">
        <v>549</v>
      </c>
      <c r="B551">
        <v>51</v>
      </c>
      <c r="C551">
        <v>65</v>
      </c>
      <c r="D551">
        <v>1968</v>
      </c>
      <c r="E551">
        <v>4</v>
      </c>
      <c r="F551" t="str">
        <f t="shared" si="25"/>
        <v>51-60</v>
      </c>
      <c r="G551" t="s">
        <v>19</v>
      </c>
      <c r="H551" t="s">
        <v>650</v>
      </c>
      <c r="I551">
        <v>33.299999999999997</v>
      </c>
      <c r="J551">
        <v>-111.74</v>
      </c>
      <c r="K551" t="s">
        <v>651</v>
      </c>
      <c r="L551" s="4">
        <v>62304</v>
      </c>
      <c r="M551" s="4">
        <v>113416</v>
      </c>
      <c r="N551" s="11">
        <f t="shared" si="24"/>
        <v>1.8203646635850026</v>
      </c>
      <c r="O551">
        <v>719</v>
      </c>
      <c r="P551" t="str">
        <f t="shared" si="26"/>
        <v>Good</v>
      </c>
      <c r="Q551">
        <v>4</v>
      </c>
    </row>
    <row r="552" spans="1:17" x14ac:dyDescent="0.3">
      <c r="A552">
        <v>550</v>
      </c>
      <c r="B552">
        <v>76</v>
      </c>
      <c r="C552">
        <v>70</v>
      </c>
      <c r="D552">
        <v>1944</v>
      </c>
      <c r="E552">
        <v>2</v>
      </c>
      <c r="F552" t="str">
        <f t="shared" si="25"/>
        <v>65+</v>
      </c>
      <c r="G552" t="s">
        <v>19</v>
      </c>
      <c r="H552" t="s">
        <v>1408</v>
      </c>
      <c r="I552">
        <v>47.54</v>
      </c>
      <c r="J552">
        <v>-122.58</v>
      </c>
      <c r="K552" t="s">
        <v>418</v>
      </c>
      <c r="L552" s="4">
        <v>30248</v>
      </c>
      <c r="M552" s="4">
        <v>35766</v>
      </c>
      <c r="N552" s="11">
        <f t="shared" si="24"/>
        <v>1.1824252843163183</v>
      </c>
      <c r="O552">
        <v>763</v>
      </c>
      <c r="P552" t="str">
        <f t="shared" si="26"/>
        <v>Very Good</v>
      </c>
      <c r="Q552">
        <v>4</v>
      </c>
    </row>
    <row r="553" spans="1:17" x14ac:dyDescent="0.3">
      <c r="A553">
        <v>551</v>
      </c>
      <c r="B553">
        <v>65</v>
      </c>
      <c r="C553">
        <v>67</v>
      </c>
      <c r="D553">
        <v>1955</v>
      </c>
      <c r="E553">
        <v>1</v>
      </c>
      <c r="F553" t="str">
        <f t="shared" si="25"/>
        <v>51-60</v>
      </c>
      <c r="G553" t="s">
        <v>19</v>
      </c>
      <c r="H553" t="s">
        <v>941</v>
      </c>
      <c r="I553">
        <v>39.14</v>
      </c>
      <c r="J553">
        <v>-119.71</v>
      </c>
      <c r="K553" t="s">
        <v>942</v>
      </c>
      <c r="L553" s="4">
        <v>39543</v>
      </c>
      <c r="M553" s="4">
        <v>53182</v>
      </c>
      <c r="N553" s="11">
        <f t="shared" si="24"/>
        <v>1.3449156614318589</v>
      </c>
      <c r="O553">
        <v>776</v>
      </c>
      <c r="P553" t="str">
        <f t="shared" si="26"/>
        <v>Very Good</v>
      </c>
      <c r="Q553">
        <v>3</v>
      </c>
    </row>
    <row r="554" spans="1:17" x14ac:dyDescent="0.3">
      <c r="A554">
        <v>552</v>
      </c>
      <c r="B554">
        <v>54</v>
      </c>
      <c r="C554">
        <v>66</v>
      </c>
      <c r="D554">
        <v>1965</v>
      </c>
      <c r="E554">
        <v>4</v>
      </c>
      <c r="F554" t="str">
        <f t="shared" si="25"/>
        <v>51-60</v>
      </c>
      <c r="G554" t="s">
        <v>19</v>
      </c>
      <c r="H554" t="s">
        <v>1287</v>
      </c>
      <c r="I554">
        <v>29.67</v>
      </c>
      <c r="J554">
        <v>-82.33</v>
      </c>
      <c r="K554" t="s">
        <v>1288</v>
      </c>
      <c r="L554" s="4">
        <v>52538</v>
      </c>
      <c r="M554" s="4">
        <v>132409</v>
      </c>
      <c r="N554" s="11">
        <f t="shared" si="24"/>
        <v>2.520252008070349</v>
      </c>
      <c r="O554">
        <v>602</v>
      </c>
      <c r="P554" t="str">
        <f t="shared" si="26"/>
        <v>Fair</v>
      </c>
      <c r="Q554">
        <v>1</v>
      </c>
    </row>
    <row r="555" spans="1:17" x14ac:dyDescent="0.3">
      <c r="A555">
        <v>553</v>
      </c>
      <c r="B555">
        <v>73</v>
      </c>
      <c r="C555">
        <v>65</v>
      </c>
      <c r="D555">
        <v>1947</v>
      </c>
      <c r="E555">
        <v>1</v>
      </c>
      <c r="F555" t="str">
        <f t="shared" si="25"/>
        <v>65+</v>
      </c>
      <c r="G555" t="s">
        <v>19</v>
      </c>
      <c r="H555" t="s">
        <v>1281</v>
      </c>
      <c r="I555">
        <v>37.78</v>
      </c>
      <c r="J555">
        <v>-90.42</v>
      </c>
      <c r="K555" t="s">
        <v>1009</v>
      </c>
      <c r="L555" s="4">
        <v>34067</v>
      </c>
      <c r="M555" s="4">
        <v>17902</v>
      </c>
      <c r="N555" s="11">
        <f t="shared" si="24"/>
        <v>0.52549387970763495</v>
      </c>
      <c r="O555">
        <v>628</v>
      </c>
      <c r="P555" t="str">
        <f t="shared" si="26"/>
        <v>Fair</v>
      </c>
      <c r="Q555">
        <v>1</v>
      </c>
    </row>
    <row r="556" spans="1:17" x14ac:dyDescent="0.3">
      <c r="A556">
        <v>554</v>
      </c>
      <c r="B556">
        <v>59</v>
      </c>
      <c r="C556">
        <v>67</v>
      </c>
      <c r="D556">
        <v>1960</v>
      </c>
      <c r="E556">
        <v>8</v>
      </c>
      <c r="F556" t="str">
        <f t="shared" si="25"/>
        <v>51-60</v>
      </c>
      <c r="G556" t="s">
        <v>19</v>
      </c>
      <c r="H556" t="s">
        <v>1269</v>
      </c>
      <c r="I556">
        <v>29.66</v>
      </c>
      <c r="J556">
        <v>-95.04</v>
      </c>
      <c r="K556" t="s">
        <v>1270</v>
      </c>
      <c r="L556" s="4">
        <v>53357</v>
      </c>
      <c r="M556" s="4">
        <v>114266</v>
      </c>
      <c r="N556" s="11">
        <f t="shared" si="24"/>
        <v>2.1415371928706635</v>
      </c>
      <c r="O556">
        <v>690</v>
      </c>
      <c r="P556" t="str">
        <f t="shared" si="26"/>
        <v>Good</v>
      </c>
      <c r="Q556">
        <v>5</v>
      </c>
    </row>
    <row r="557" spans="1:17" x14ac:dyDescent="0.3">
      <c r="A557">
        <v>555</v>
      </c>
      <c r="B557">
        <v>31</v>
      </c>
      <c r="C557">
        <v>63</v>
      </c>
      <c r="D557">
        <v>1988</v>
      </c>
      <c r="E557">
        <v>5</v>
      </c>
      <c r="F557" t="str">
        <f t="shared" si="25"/>
        <v>26-35</v>
      </c>
      <c r="G557" t="s">
        <v>19</v>
      </c>
      <c r="H557" t="s">
        <v>1813</v>
      </c>
      <c r="I557">
        <v>38.03</v>
      </c>
      <c r="J557">
        <v>-85.34</v>
      </c>
      <c r="K557" t="s">
        <v>1814</v>
      </c>
      <c r="L557" s="4">
        <v>43724</v>
      </c>
      <c r="M557" s="4">
        <v>53853</v>
      </c>
      <c r="N557" s="11">
        <f t="shared" si="24"/>
        <v>1.2316576708443876</v>
      </c>
      <c r="O557">
        <v>514</v>
      </c>
      <c r="P557" t="str">
        <f t="shared" si="26"/>
        <v>Poor</v>
      </c>
      <c r="Q557">
        <v>1</v>
      </c>
    </row>
    <row r="558" spans="1:17" x14ac:dyDescent="0.3">
      <c r="A558">
        <v>556</v>
      </c>
      <c r="B558">
        <v>46</v>
      </c>
      <c r="C558">
        <v>66</v>
      </c>
      <c r="D558">
        <v>1973</v>
      </c>
      <c r="E558">
        <v>12</v>
      </c>
      <c r="F558" t="str">
        <f t="shared" si="25"/>
        <v>36-50</v>
      </c>
      <c r="G558" t="s">
        <v>19</v>
      </c>
      <c r="H558" t="s">
        <v>1194</v>
      </c>
      <c r="I558">
        <v>41.01</v>
      </c>
      <c r="J558">
        <v>-81.599999999999994</v>
      </c>
      <c r="K558" t="s">
        <v>1195</v>
      </c>
      <c r="L558" s="4">
        <v>36405</v>
      </c>
      <c r="M558" s="4">
        <v>31815</v>
      </c>
      <c r="N558" s="11">
        <f t="shared" si="24"/>
        <v>0.87391841779975277</v>
      </c>
      <c r="O558">
        <v>715</v>
      </c>
      <c r="P558" t="str">
        <f t="shared" si="26"/>
        <v>Good</v>
      </c>
      <c r="Q558">
        <v>2</v>
      </c>
    </row>
    <row r="559" spans="1:17" x14ac:dyDescent="0.3">
      <c r="A559">
        <v>557</v>
      </c>
      <c r="B559">
        <v>59</v>
      </c>
      <c r="C559">
        <v>54</v>
      </c>
      <c r="D559">
        <v>1960</v>
      </c>
      <c r="E559">
        <v>9</v>
      </c>
      <c r="F559" t="str">
        <f t="shared" si="25"/>
        <v>51-60</v>
      </c>
      <c r="G559" t="s">
        <v>19</v>
      </c>
      <c r="H559" t="s">
        <v>1297</v>
      </c>
      <c r="I559">
        <v>33.97</v>
      </c>
      <c r="J559">
        <v>-118.35</v>
      </c>
      <c r="K559" t="s">
        <v>1298</v>
      </c>
      <c r="L559" s="4">
        <v>28245</v>
      </c>
      <c r="M559" s="4">
        <v>13411</v>
      </c>
      <c r="N559" s="11">
        <f t="shared" si="24"/>
        <v>0.47480970083200569</v>
      </c>
      <c r="O559">
        <v>669</v>
      </c>
      <c r="P559" t="str">
        <f t="shared" si="26"/>
        <v>Fair</v>
      </c>
      <c r="Q559">
        <v>1</v>
      </c>
    </row>
    <row r="560" spans="1:17" x14ac:dyDescent="0.3">
      <c r="A560">
        <v>558</v>
      </c>
      <c r="B560">
        <v>19</v>
      </c>
      <c r="C560">
        <v>63</v>
      </c>
      <c r="D560">
        <v>2000</v>
      </c>
      <c r="E560">
        <v>5</v>
      </c>
      <c r="F560" t="str">
        <f t="shared" si="25"/>
        <v>18-25</v>
      </c>
      <c r="G560" t="s">
        <v>19</v>
      </c>
      <c r="H560" t="s">
        <v>1144</v>
      </c>
      <c r="I560">
        <v>27.97</v>
      </c>
      <c r="J560">
        <v>-82.76</v>
      </c>
      <c r="K560" t="s">
        <v>1145</v>
      </c>
      <c r="L560" s="4">
        <v>33080</v>
      </c>
      <c r="M560" s="4">
        <v>55066</v>
      </c>
      <c r="N560" s="11">
        <f t="shared" si="24"/>
        <v>1.6646311970979444</v>
      </c>
      <c r="O560">
        <v>692</v>
      </c>
      <c r="P560" t="str">
        <f t="shared" si="26"/>
        <v>Good</v>
      </c>
      <c r="Q560">
        <v>3</v>
      </c>
    </row>
    <row r="561" spans="1:17" x14ac:dyDescent="0.3">
      <c r="A561">
        <v>559</v>
      </c>
      <c r="B561">
        <v>56</v>
      </c>
      <c r="C561">
        <v>59</v>
      </c>
      <c r="D561">
        <v>1963</v>
      </c>
      <c r="E561">
        <v>5</v>
      </c>
      <c r="F561" t="str">
        <f t="shared" si="25"/>
        <v>51-60</v>
      </c>
      <c r="G561" t="s">
        <v>19</v>
      </c>
      <c r="H561" t="s">
        <v>1537</v>
      </c>
      <c r="I561">
        <v>35.97</v>
      </c>
      <c r="J561">
        <v>-97.02</v>
      </c>
      <c r="K561" t="s">
        <v>1538</v>
      </c>
      <c r="L561" s="4">
        <v>35468</v>
      </c>
      <c r="M561" s="4">
        <v>53185</v>
      </c>
      <c r="N561" s="11">
        <f t="shared" si="24"/>
        <v>1.4995206947107251</v>
      </c>
      <c r="O561">
        <v>490</v>
      </c>
      <c r="P561" t="str">
        <f t="shared" si="26"/>
        <v>Poor</v>
      </c>
      <c r="Q561">
        <v>2</v>
      </c>
    </row>
    <row r="562" spans="1:17" x14ac:dyDescent="0.3">
      <c r="A562">
        <v>560</v>
      </c>
      <c r="B562">
        <v>59</v>
      </c>
      <c r="C562">
        <v>65</v>
      </c>
      <c r="D562">
        <v>1960</v>
      </c>
      <c r="E562">
        <v>4</v>
      </c>
      <c r="F562" t="str">
        <f t="shared" si="25"/>
        <v>51-60</v>
      </c>
      <c r="G562" t="s">
        <v>19</v>
      </c>
      <c r="H562" t="s">
        <v>1107</v>
      </c>
      <c r="I562">
        <v>44.96</v>
      </c>
      <c r="J562">
        <v>-93.26</v>
      </c>
      <c r="K562" t="s">
        <v>1108</v>
      </c>
      <c r="L562" s="4">
        <v>43913</v>
      </c>
      <c r="M562" s="4">
        <v>83944</v>
      </c>
      <c r="N562" s="11">
        <f t="shared" si="24"/>
        <v>1.9115979322751804</v>
      </c>
      <c r="O562">
        <v>676</v>
      </c>
      <c r="P562" t="str">
        <f t="shared" si="26"/>
        <v>Good</v>
      </c>
      <c r="Q562">
        <v>4</v>
      </c>
    </row>
    <row r="563" spans="1:17" x14ac:dyDescent="0.3">
      <c r="A563">
        <v>561</v>
      </c>
      <c r="B563">
        <v>48</v>
      </c>
      <c r="C563">
        <v>67</v>
      </c>
      <c r="D563">
        <v>1971</v>
      </c>
      <c r="E563">
        <v>6</v>
      </c>
      <c r="F563" t="str">
        <f t="shared" si="25"/>
        <v>36-50</v>
      </c>
      <c r="G563" t="s">
        <v>19</v>
      </c>
      <c r="H563" t="s">
        <v>517</v>
      </c>
      <c r="I563">
        <v>40.799999999999997</v>
      </c>
      <c r="J563">
        <v>-91.12</v>
      </c>
      <c r="K563" t="s">
        <v>518</v>
      </c>
      <c r="L563" s="4">
        <v>36853</v>
      </c>
      <c r="M563" s="4">
        <v>112139</v>
      </c>
      <c r="N563" s="11">
        <f t="shared" si="24"/>
        <v>3.0428730361164629</v>
      </c>
      <c r="O563">
        <v>834</v>
      </c>
      <c r="P563" t="str">
        <f t="shared" si="26"/>
        <v>Excellent</v>
      </c>
      <c r="Q563">
        <v>5</v>
      </c>
    </row>
    <row r="564" spans="1:17" x14ac:dyDescent="0.3">
      <c r="A564">
        <v>562</v>
      </c>
      <c r="B564">
        <v>37</v>
      </c>
      <c r="C564">
        <v>61</v>
      </c>
      <c r="D564">
        <v>1982</v>
      </c>
      <c r="E564">
        <v>8</v>
      </c>
      <c r="F564" t="str">
        <f t="shared" si="25"/>
        <v>36-50</v>
      </c>
      <c r="G564" t="s">
        <v>14</v>
      </c>
      <c r="H564" t="s">
        <v>562</v>
      </c>
      <c r="I564">
        <v>39.950000000000003</v>
      </c>
      <c r="J564">
        <v>-104.9</v>
      </c>
      <c r="K564" t="s">
        <v>563</v>
      </c>
      <c r="L564" s="4">
        <v>66863</v>
      </c>
      <c r="M564" s="4">
        <v>89031</v>
      </c>
      <c r="N564" s="11">
        <f t="shared" si="24"/>
        <v>1.3315436040859667</v>
      </c>
      <c r="O564">
        <v>673</v>
      </c>
      <c r="P564" t="str">
        <f t="shared" si="26"/>
        <v>Good</v>
      </c>
      <c r="Q564">
        <v>1</v>
      </c>
    </row>
    <row r="565" spans="1:17" x14ac:dyDescent="0.3">
      <c r="A565">
        <v>563</v>
      </c>
      <c r="B565">
        <v>70</v>
      </c>
      <c r="C565">
        <v>65</v>
      </c>
      <c r="D565">
        <v>1950</v>
      </c>
      <c r="E565">
        <v>1</v>
      </c>
      <c r="F565" t="str">
        <f t="shared" si="25"/>
        <v>65+</v>
      </c>
      <c r="G565" t="s">
        <v>19</v>
      </c>
      <c r="H565" t="s">
        <v>240</v>
      </c>
      <c r="I565">
        <v>39.869999999999997</v>
      </c>
      <c r="J565">
        <v>-75.92</v>
      </c>
      <c r="K565" t="s">
        <v>241</v>
      </c>
      <c r="L565" s="4">
        <v>49531</v>
      </c>
      <c r="M565" s="4">
        <v>6707</v>
      </c>
      <c r="N565" s="11">
        <f t="shared" si="24"/>
        <v>0.13541014718055358</v>
      </c>
      <c r="O565">
        <v>737</v>
      </c>
      <c r="P565" t="str">
        <f t="shared" si="26"/>
        <v>Good</v>
      </c>
      <c r="Q565">
        <v>6</v>
      </c>
    </row>
    <row r="566" spans="1:17" x14ac:dyDescent="0.3">
      <c r="A566">
        <v>564</v>
      </c>
      <c r="B566">
        <v>57</v>
      </c>
      <c r="C566">
        <v>64</v>
      </c>
      <c r="D566">
        <v>1962</v>
      </c>
      <c r="E566">
        <v>6</v>
      </c>
      <c r="F566" t="str">
        <f t="shared" si="25"/>
        <v>51-60</v>
      </c>
      <c r="G566" t="s">
        <v>19</v>
      </c>
      <c r="H566" t="s">
        <v>822</v>
      </c>
      <c r="I566">
        <v>44.08</v>
      </c>
      <c r="J566">
        <v>-70.239999999999995</v>
      </c>
      <c r="K566" t="s">
        <v>823</v>
      </c>
      <c r="L566" s="4">
        <v>42411</v>
      </c>
      <c r="M566" s="4">
        <v>111077</v>
      </c>
      <c r="N566" s="11">
        <f t="shared" si="24"/>
        <v>2.61906109264106</v>
      </c>
      <c r="O566">
        <v>765</v>
      </c>
      <c r="P566" t="str">
        <f t="shared" si="26"/>
        <v>Very Good</v>
      </c>
      <c r="Q566">
        <v>2</v>
      </c>
    </row>
    <row r="567" spans="1:17" x14ac:dyDescent="0.3">
      <c r="A567">
        <v>565</v>
      </c>
      <c r="B567">
        <v>54</v>
      </c>
      <c r="C567">
        <v>65</v>
      </c>
      <c r="D567">
        <v>1965</v>
      </c>
      <c r="E567">
        <v>10</v>
      </c>
      <c r="F567" t="str">
        <f t="shared" si="25"/>
        <v>51-60</v>
      </c>
      <c r="G567" t="s">
        <v>19</v>
      </c>
      <c r="H567" t="s">
        <v>652</v>
      </c>
      <c r="I567">
        <v>32.979999999999997</v>
      </c>
      <c r="J567">
        <v>-96.89</v>
      </c>
      <c r="K567" t="s">
        <v>653</v>
      </c>
      <c r="L567" s="4">
        <v>43598</v>
      </c>
      <c r="M567" s="4">
        <v>15891</v>
      </c>
      <c r="N567" s="11">
        <f t="shared" si="24"/>
        <v>0.36448919675214458</v>
      </c>
      <c r="O567">
        <v>757</v>
      </c>
      <c r="P567" t="str">
        <f t="shared" si="26"/>
        <v>Very Good</v>
      </c>
      <c r="Q567">
        <v>4</v>
      </c>
    </row>
    <row r="568" spans="1:17" x14ac:dyDescent="0.3">
      <c r="A568">
        <v>566</v>
      </c>
      <c r="B568">
        <v>60</v>
      </c>
      <c r="C568">
        <v>67</v>
      </c>
      <c r="D568">
        <v>1959</v>
      </c>
      <c r="E568">
        <v>10</v>
      </c>
      <c r="F568" t="str">
        <f t="shared" si="25"/>
        <v>51-60</v>
      </c>
      <c r="G568" t="s">
        <v>14</v>
      </c>
      <c r="H568" t="s">
        <v>1779</v>
      </c>
      <c r="I568">
        <v>42.79</v>
      </c>
      <c r="J568">
        <v>-83.62</v>
      </c>
      <c r="K568" t="s">
        <v>1780</v>
      </c>
      <c r="L568" s="4">
        <v>46244</v>
      </c>
      <c r="M568" s="4">
        <v>108449</v>
      </c>
      <c r="N568" s="11">
        <f t="shared" si="24"/>
        <v>2.3451474785918172</v>
      </c>
      <c r="O568">
        <v>814</v>
      </c>
      <c r="P568" t="str">
        <f t="shared" si="26"/>
        <v>Excellent</v>
      </c>
      <c r="Q568">
        <v>5</v>
      </c>
    </row>
    <row r="569" spans="1:17" x14ac:dyDescent="0.3">
      <c r="A569">
        <v>567</v>
      </c>
      <c r="B569">
        <v>25</v>
      </c>
      <c r="C569">
        <v>69</v>
      </c>
      <c r="D569">
        <v>1994</v>
      </c>
      <c r="E569">
        <v>6</v>
      </c>
      <c r="F569" t="str">
        <f t="shared" si="25"/>
        <v>18-25</v>
      </c>
      <c r="G569" t="s">
        <v>19</v>
      </c>
      <c r="H569" t="s">
        <v>988</v>
      </c>
      <c r="I569">
        <v>35.74</v>
      </c>
      <c r="J569">
        <v>-81.69</v>
      </c>
      <c r="K569" t="s">
        <v>989</v>
      </c>
      <c r="L569" s="4">
        <v>33534</v>
      </c>
      <c r="M569" s="4">
        <v>76166</v>
      </c>
      <c r="N569" s="11">
        <f t="shared" si="24"/>
        <v>2.2713067334645434</v>
      </c>
      <c r="O569">
        <v>761</v>
      </c>
      <c r="P569" t="str">
        <f t="shared" si="26"/>
        <v>Very Good</v>
      </c>
      <c r="Q569">
        <v>3</v>
      </c>
    </row>
    <row r="570" spans="1:17" x14ac:dyDescent="0.3">
      <c r="A570">
        <v>568</v>
      </c>
      <c r="B570">
        <v>24</v>
      </c>
      <c r="C570">
        <v>66</v>
      </c>
      <c r="D570">
        <v>1996</v>
      </c>
      <c r="E570">
        <v>2</v>
      </c>
      <c r="F570" t="str">
        <f t="shared" si="25"/>
        <v>18-25</v>
      </c>
      <c r="G570" t="s">
        <v>19</v>
      </c>
      <c r="H570" t="s">
        <v>920</v>
      </c>
      <c r="I570">
        <v>42.5</v>
      </c>
      <c r="J570">
        <v>-94.17</v>
      </c>
      <c r="K570" t="s">
        <v>921</v>
      </c>
      <c r="L570" s="4">
        <v>38526</v>
      </c>
      <c r="M570" s="4">
        <v>60556</v>
      </c>
      <c r="N570" s="11">
        <f t="shared" si="24"/>
        <v>1.5718216269532264</v>
      </c>
      <c r="O570">
        <v>778</v>
      </c>
      <c r="P570" t="str">
        <f t="shared" si="26"/>
        <v>Very Good</v>
      </c>
      <c r="Q570">
        <v>1</v>
      </c>
    </row>
    <row r="571" spans="1:17" x14ac:dyDescent="0.3">
      <c r="A571">
        <v>569</v>
      </c>
      <c r="B571">
        <v>52</v>
      </c>
      <c r="C571">
        <v>73</v>
      </c>
      <c r="D571">
        <v>1968</v>
      </c>
      <c r="E571">
        <v>2</v>
      </c>
      <c r="F571" t="str">
        <f t="shared" si="25"/>
        <v>51-60</v>
      </c>
      <c r="G571" t="s">
        <v>19</v>
      </c>
      <c r="H571" t="s">
        <v>925</v>
      </c>
      <c r="I571">
        <v>34.83</v>
      </c>
      <c r="J571">
        <v>-92.2</v>
      </c>
      <c r="K571" t="s">
        <v>926</v>
      </c>
      <c r="L571" s="4">
        <v>45625</v>
      </c>
      <c r="M571" s="4">
        <v>81136</v>
      </c>
      <c r="N571" s="11">
        <f t="shared" si="24"/>
        <v>1.7783232876712329</v>
      </c>
      <c r="O571">
        <v>662</v>
      </c>
      <c r="P571" t="str">
        <f t="shared" si="26"/>
        <v>Fair</v>
      </c>
      <c r="Q571">
        <v>1</v>
      </c>
    </row>
    <row r="572" spans="1:17" x14ac:dyDescent="0.3">
      <c r="A572">
        <v>570</v>
      </c>
      <c r="B572">
        <v>34</v>
      </c>
      <c r="C572">
        <v>65</v>
      </c>
      <c r="D572">
        <v>1985</v>
      </c>
      <c r="E572">
        <v>9</v>
      </c>
      <c r="F572" t="str">
        <f t="shared" si="25"/>
        <v>26-35</v>
      </c>
      <c r="G572" t="s">
        <v>19</v>
      </c>
      <c r="H572" t="s">
        <v>1250</v>
      </c>
      <c r="I572">
        <v>34.29</v>
      </c>
      <c r="J572">
        <v>-83.83</v>
      </c>
      <c r="K572" t="s">
        <v>1251</v>
      </c>
      <c r="L572" s="4">
        <v>32245</v>
      </c>
      <c r="M572" s="4">
        <v>43097</v>
      </c>
      <c r="N572" s="11">
        <f t="shared" si="24"/>
        <v>1.3365483020623352</v>
      </c>
      <c r="O572">
        <v>625</v>
      </c>
      <c r="P572" t="str">
        <f t="shared" si="26"/>
        <v>Fair</v>
      </c>
      <c r="Q572">
        <v>1</v>
      </c>
    </row>
    <row r="573" spans="1:17" x14ac:dyDescent="0.3">
      <c r="A573">
        <v>571</v>
      </c>
      <c r="B573">
        <v>42</v>
      </c>
      <c r="C573">
        <v>68</v>
      </c>
      <c r="D573">
        <v>1977</v>
      </c>
      <c r="E573">
        <v>11</v>
      </c>
      <c r="F573" t="str">
        <f t="shared" si="25"/>
        <v>36-50</v>
      </c>
      <c r="G573" t="s">
        <v>19</v>
      </c>
      <c r="H573" t="s">
        <v>533</v>
      </c>
      <c r="I573">
        <v>39.46</v>
      </c>
      <c r="J573">
        <v>-77.959999999999994</v>
      </c>
      <c r="K573" t="s">
        <v>534</v>
      </c>
      <c r="L573" s="4">
        <v>36711</v>
      </c>
      <c r="M573" s="4">
        <v>84949</v>
      </c>
      <c r="N573" s="11">
        <f t="shared" si="24"/>
        <v>2.3139930810928604</v>
      </c>
      <c r="O573">
        <v>739</v>
      </c>
      <c r="P573" t="str">
        <f t="shared" si="26"/>
        <v>Good</v>
      </c>
      <c r="Q573">
        <v>4</v>
      </c>
    </row>
    <row r="574" spans="1:17" x14ac:dyDescent="0.3">
      <c r="A574">
        <v>572</v>
      </c>
      <c r="B574">
        <v>29</v>
      </c>
      <c r="C574">
        <v>67</v>
      </c>
      <c r="D574">
        <v>1991</v>
      </c>
      <c r="E574">
        <v>1</v>
      </c>
      <c r="F574" t="str">
        <f t="shared" si="25"/>
        <v>26-35</v>
      </c>
      <c r="G574" t="s">
        <v>19</v>
      </c>
      <c r="H574" t="s">
        <v>1192</v>
      </c>
      <c r="I574">
        <v>29.95</v>
      </c>
      <c r="J574">
        <v>-91.2</v>
      </c>
      <c r="K574" t="s">
        <v>1193</v>
      </c>
      <c r="L574" s="4">
        <v>47317</v>
      </c>
      <c r="M574" s="4">
        <v>42433</v>
      </c>
      <c r="N574" s="11">
        <f t="shared" si="24"/>
        <v>0.8967812836823974</v>
      </c>
      <c r="O574">
        <v>680</v>
      </c>
      <c r="P574" t="str">
        <f t="shared" si="26"/>
        <v>Good</v>
      </c>
      <c r="Q574">
        <v>2</v>
      </c>
    </row>
    <row r="575" spans="1:17" x14ac:dyDescent="0.3">
      <c r="A575">
        <v>573</v>
      </c>
      <c r="B575">
        <v>52</v>
      </c>
      <c r="C575">
        <v>69</v>
      </c>
      <c r="D575">
        <v>1967</v>
      </c>
      <c r="E575">
        <v>7</v>
      </c>
      <c r="F575" t="str">
        <f t="shared" si="25"/>
        <v>51-60</v>
      </c>
      <c r="G575" t="s">
        <v>19</v>
      </c>
      <c r="H575" t="s">
        <v>1276</v>
      </c>
      <c r="I575">
        <v>33.79</v>
      </c>
      <c r="J575">
        <v>-82.47</v>
      </c>
      <c r="K575" t="s">
        <v>1277</v>
      </c>
      <c r="L575" s="4">
        <v>30011</v>
      </c>
      <c r="M575" s="4">
        <v>84166</v>
      </c>
      <c r="N575" s="11">
        <f t="shared" si="24"/>
        <v>2.8045050148278965</v>
      </c>
      <c r="O575">
        <v>589</v>
      </c>
      <c r="P575" t="str">
        <f t="shared" si="26"/>
        <v>Fair</v>
      </c>
      <c r="Q575">
        <v>1</v>
      </c>
    </row>
    <row r="576" spans="1:17" x14ac:dyDescent="0.3">
      <c r="A576">
        <v>574</v>
      </c>
      <c r="B576">
        <v>22</v>
      </c>
      <c r="C576">
        <v>66</v>
      </c>
      <c r="D576">
        <v>1997</v>
      </c>
      <c r="E576">
        <v>12</v>
      </c>
      <c r="F576" t="str">
        <f t="shared" si="25"/>
        <v>18-25</v>
      </c>
      <c r="G576" t="s">
        <v>19</v>
      </c>
      <c r="H576" t="s">
        <v>1684</v>
      </c>
      <c r="I576">
        <v>38.380000000000003</v>
      </c>
      <c r="J576">
        <v>-84.29</v>
      </c>
      <c r="K576" t="s">
        <v>1685</v>
      </c>
      <c r="L576" s="4">
        <v>35635</v>
      </c>
      <c r="M576" s="4">
        <v>16372</v>
      </c>
      <c r="N576" s="11">
        <f t="shared" si="24"/>
        <v>0.45943594780412517</v>
      </c>
      <c r="O576">
        <v>713</v>
      </c>
      <c r="P576" t="str">
        <f t="shared" si="26"/>
        <v>Good</v>
      </c>
      <c r="Q576">
        <v>4</v>
      </c>
    </row>
    <row r="577" spans="1:17" x14ac:dyDescent="0.3">
      <c r="A577">
        <v>575</v>
      </c>
      <c r="B577">
        <v>84</v>
      </c>
      <c r="C577">
        <v>65</v>
      </c>
      <c r="D577">
        <v>1935</v>
      </c>
      <c r="E577">
        <v>12</v>
      </c>
      <c r="F577" t="str">
        <f t="shared" si="25"/>
        <v>65+</v>
      </c>
      <c r="G577" t="s">
        <v>19</v>
      </c>
      <c r="H577" t="s">
        <v>566</v>
      </c>
      <c r="I577">
        <v>40.15</v>
      </c>
      <c r="J577">
        <v>-74.849999999999994</v>
      </c>
      <c r="K577" t="s">
        <v>567</v>
      </c>
      <c r="L577" s="4">
        <v>26476</v>
      </c>
      <c r="M577" s="4">
        <v>406</v>
      </c>
      <c r="N577" s="11">
        <f t="shared" si="24"/>
        <v>1.5334642695271189E-2</v>
      </c>
      <c r="O577">
        <v>813</v>
      </c>
      <c r="P577" t="str">
        <f t="shared" si="26"/>
        <v>Excellent</v>
      </c>
      <c r="Q577">
        <v>5</v>
      </c>
    </row>
    <row r="578" spans="1:17" x14ac:dyDescent="0.3">
      <c r="A578">
        <v>576</v>
      </c>
      <c r="B578">
        <v>68</v>
      </c>
      <c r="C578">
        <v>64</v>
      </c>
      <c r="D578">
        <v>1951</v>
      </c>
      <c r="E578">
        <v>6</v>
      </c>
      <c r="F578" t="str">
        <f t="shared" si="25"/>
        <v>65+</v>
      </c>
      <c r="G578" t="s">
        <v>14</v>
      </c>
      <c r="H578" t="s">
        <v>1143</v>
      </c>
      <c r="I578">
        <v>33.950000000000003</v>
      </c>
      <c r="J578">
        <v>-84.54</v>
      </c>
      <c r="K578" t="s">
        <v>805</v>
      </c>
      <c r="L578" s="4">
        <v>63502</v>
      </c>
      <c r="M578" s="4">
        <v>24100</v>
      </c>
      <c r="N578" s="11">
        <f t="shared" ref="N578:N641" si="27">(M578/L578)</f>
        <v>0.37951560580769111</v>
      </c>
      <c r="O578">
        <v>638</v>
      </c>
      <c r="P578" t="str">
        <f t="shared" si="26"/>
        <v>Fair</v>
      </c>
      <c r="Q578">
        <v>7</v>
      </c>
    </row>
    <row r="579" spans="1:17" x14ac:dyDescent="0.3">
      <c r="A579">
        <v>577</v>
      </c>
      <c r="B579">
        <v>28</v>
      </c>
      <c r="C579">
        <v>65</v>
      </c>
      <c r="D579">
        <v>1992</v>
      </c>
      <c r="E579">
        <v>1</v>
      </c>
      <c r="F579" t="str">
        <f t="shared" ref="F579:F642" si="28">IF(B579&lt;26,"18-25",
   IF(B579&lt;36,"26-35",
   IF(B579&lt;51,"36-50",
   IF(B579&lt;66,"51-60","65+"))))</f>
        <v>26-35</v>
      </c>
      <c r="G579" t="s">
        <v>14</v>
      </c>
      <c r="H579" t="s">
        <v>344</v>
      </c>
      <c r="I579">
        <v>32.07</v>
      </c>
      <c r="J579">
        <v>-110.92</v>
      </c>
      <c r="K579" t="s">
        <v>345</v>
      </c>
      <c r="L579" s="4">
        <v>33106</v>
      </c>
      <c r="M579" s="4">
        <v>108695</v>
      </c>
      <c r="N579" s="11">
        <f t="shared" si="27"/>
        <v>3.2832417084516403</v>
      </c>
      <c r="O579">
        <v>763</v>
      </c>
      <c r="P579" t="str">
        <f t="shared" ref="P579:P642" si="29">IF(O579&lt;580,"Poor",
   IF(O579&lt;670,"Fair",
   IF(O579&lt;740,"Good",
   IF(O579&lt;800,"Very Good","Excellent"))))</f>
        <v>Very Good</v>
      </c>
      <c r="Q579">
        <v>2</v>
      </c>
    </row>
    <row r="580" spans="1:17" x14ac:dyDescent="0.3">
      <c r="A580">
        <v>578</v>
      </c>
      <c r="B580">
        <v>75</v>
      </c>
      <c r="C580">
        <v>71</v>
      </c>
      <c r="D580">
        <v>1944</v>
      </c>
      <c r="E580">
        <v>8</v>
      </c>
      <c r="F580" t="str">
        <f t="shared" si="28"/>
        <v>65+</v>
      </c>
      <c r="G580" t="s">
        <v>19</v>
      </c>
      <c r="H580" t="s">
        <v>403</v>
      </c>
      <c r="I580">
        <v>38.04</v>
      </c>
      <c r="J580">
        <v>-84.45</v>
      </c>
      <c r="K580" t="s">
        <v>404</v>
      </c>
      <c r="L580" s="4">
        <v>20797</v>
      </c>
      <c r="M580" s="4">
        <v>10127</v>
      </c>
      <c r="N580" s="11">
        <f t="shared" si="27"/>
        <v>0.48694523248545463</v>
      </c>
      <c r="O580">
        <v>777</v>
      </c>
      <c r="P580" t="str">
        <f t="shared" si="29"/>
        <v>Very Good</v>
      </c>
      <c r="Q580">
        <v>1</v>
      </c>
    </row>
    <row r="581" spans="1:17" x14ac:dyDescent="0.3">
      <c r="A581">
        <v>579</v>
      </c>
      <c r="B581">
        <v>30</v>
      </c>
      <c r="C581">
        <v>67</v>
      </c>
      <c r="D581">
        <v>1989</v>
      </c>
      <c r="E581">
        <v>7</v>
      </c>
      <c r="F581" t="str">
        <f t="shared" si="28"/>
        <v>26-35</v>
      </c>
      <c r="G581" t="s">
        <v>19</v>
      </c>
      <c r="H581" t="s">
        <v>1771</v>
      </c>
      <c r="I581">
        <v>44.02</v>
      </c>
      <c r="J581">
        <v>-88.16</v>
      </c>
      <c r="K581" t="s">
        <v>836</v>
      </c>
      <c r="L581" s="4">
        <v>39520</v>
      </c>
      <c r="M581" s="4">
        <v>53896</v>
      </c>
      <c r="N581" s="11">
        <f t="shared" si="27"/>
        <v>1.3637651821862349</v>
      </c>
      <c r="O581">
        <v>772</v>
      </c>
      <c r="P581" t="str">
        <f t="shared" si="29"/>
        <v>Very Good</v>
      </c>
      <c r="Q581">
        <v>1</v>
      </c>
    </row>
    <row r="582" spans="1:17" x14ac:dyDescent="0.3">
      <c r="A582">
        <v>580</v>
      </c>
      <c r="B582">
        <v>35</v>
      </c>
      <c r="C582">
        <v>65</v>
      </c>
      <c r="D582">
        <v>1984</v>
      </c>
      <c r="E582">
        <v>5</v>
      </c>
      <c r="F582" t="str">
        <f t="shared" si="28"/>
        <v>26-35</v>
      </c>
      <c r="G582" t="s">
        <v>19</v>
      </c>
      <c r="H582" t="s">
        <v>462</v>
      </c>
      <c r="I582">
        <v>40.549999999999997</v>
      </c>
      <c r="J582">
        <v>-84.57</v>
      </c>
      <c r="K582" t="s">
        <v>463</v>
      </c>
      <c r="L582" s="4">
        <v>36857</v>
      </c>
      <c r="M582" s="4">
        <v>3112</v>
      </c>
      <c r="N582" s="11">
        <f t="shared" si="27"/>
        <v>8.4434435792386797E-2</v>
      </c>
      <c r="O582">
        <v>768</v>
      </c>
      <c r="P582" t="str">
        <f t="shared" si="29"/>
        <v>Very Good</v>
      </c>
      <c r="Q582">
        <v>3</v>
      </c>
    </row>
    <row r="583" spans="1:17" x14ac:dyDescent="0.3">
      <c r="A583">
        <v>581</v>
      </c>
      <c r="B583">
        <v>48</v>
      </c>
      <c r="C583">
        <v>67</v>
      </c>
      <c r="D583">
        <v>1971</v>
      </c>
      <c r="E583">
        <v>3</v>
      </c>
      <c r="F583" t="str">
        <f t="shared" si="28"/>
        <v>36-50</v>
      </c>
      <c r="G583" t="s">
        <v>19</v>
      </c>
      <c r="H583" t="s">
        <v>586</v>
      </c>
      <c r="I583">
        <v>29.99</v>
      </c>
      <c r="J583">
        <v>-90.24</v>
      </c>
      <c r="K583" t="s">
        <v>587</v>
      </c>
      <c r="L583" s="4">
        <v>29962</v>
      </c>
      <c r="M583" s="4">
        <v>55000</v>
      </c>
      <c r="N583" s="11">
        <f t="shared" si="27"/>
        <v>1.8356585007676389</v>
      </c>
      <c r="O583">
        <v>684</v>
      </c>
      <c r="P583" t="str">
        <f t="shared" si="29"/>
        <v>Good</v>
      </c>
      <c r="Q583">
        <v>3</v>
      </c>
    </row>
    <row r="584" spans="1:17" x14ac:dyDescent="0.3">
      <c r="A584">
        <v>582</v>
      </c>
      <c r="B584">
        <v>53</v>
      </c>
      <c r="C584">
        <v>63</v>
      </c>
      <c r="D584">
        <v>1966</v>
      </c>
      <c r="E584">
        <v>8</v>
      </c>
      <c r="F584" t="str">
        <f t="shared" si="28"/>
        <v>51-60</v>
      </c>
      <c r="G584" t="s">
        <v>19</v>
      </c>
      <c r="H584" t="s">
        <v>395</v>
      </c>
      <c r="I584">
        <v>41.36</v>
      </c>
      <c r="J584">
        <v>-85.23</v>
      </c>
      <c r="K584" t="s">
        <v>396</v>
      </c>
      <c r="L584" s="4">
        <v>39222</v>
      </c>
      <c r="M584" s="4">
        <v>66559</v>
      </c>
      <c r="N584" s="11">
        <f t="shared" si="27"/>
        <v>1.6969812860129518</v>
      </c>
      <c r="O584">
        <v>583</v>
      </c>
      <c r="P584" t="str">
        <f t="shared" si="29"/>
        <v>Fair</v>
      </c>
      <c r="Q584">
        <v>3</v>
      </c>
    </row>
    <row r="585" spans="1:17" x14ac:dyDescent="0.3">
      <c r="A585">
        <v>583</v>
      </c>
      <c r="B585">
        <v>64</v>
      </c>
      <c r="C585">
        <v>67</v>
      </c>
      <c r="D585">
        <v>1955</v>
      </c>
      <c r="E585">
        <v>11</v>
      </c>
      <c r="F585" t="str">
        <f t="shared" si="28"/>
        <v>51-60</v>
      </c>
      <c r="G585" t="s">
        <v>19</v>
      </c>
      <c r="H585" t="s">
        <v>1741</v>
      </c>
      <c r="I585">
        <v>41.76</v>
      </c>
      <c r="J585">
        <v>-88.29</v>
      </c>
      <c r="K585" t="s">
        <v>882</v>
      </c>
      <c r="L585" s="4">
        <v>28954</v>
      </c>
      <c r="M585" s="4">
        <v>41461</v>
      </c>
      <c r="N585" s="11">
        <f t="shared" si="27"/>
        <v>1.4319610416522761</v>
      </c>
      <c r="O585">
        <v>636</v>
      </c>
      <c r="P585" t="str">
        <f t="shared" si="29"/>
        <v>Fair</v>
      </c>
      <c r="Q585">
        <v>2</v>
      </c>
    </row>
    <row r="586" spans="1:17" x14ac:dyDescent="0.3">
      <c r="A586">
        <v>584</v>
      </c>
      <c r="B586">
        <v>61</v>
      </c>
      <c r="C586">
        <v>68</v>
      </c>
      <c r="D586">
        <v>1958</v>
      </c>
      <c r="E586">
        <v>8</v>
      </c>
      <c r="F586" t="str">
        <f t="shared" si="28"/>
        <v>51-60</v>
      </c>
      <c r="G586" t="s">
        <v>19</v>
      </c>
      <c r="H586" t="s">
        <v>909</v>
      </c>
      <c r="I586">
        <v>38.659999999999997</v>
      </c>
      <c r="J586">
        <v>-121.37</v>
      </c>
      <c r="K586" t="s">
        <v>910</v>
      </c>
      <c r="L586" s="4">
        <v>29195</v>
      </c>
      <c r="M586" s="4">
        <v>64881</v>
      </c>
      <c r="N586" s="11">
        <f t="shared" si="27"/>
        <v>2.222332591197123</v>
      </c>
      <c r="O586">
        <v>743</v>
      </c>
      <c r="P586" t="str">
        <f t="shared" si="29"/>
        <v>Very Good</v>
      </c>
      <c r="Q586">
        <v>3</v>
      </c>
    </row>
    <row r="587" spans="1:17" x14ac:dyDescent="0.3">
      <c r="A587">
        <v>585</v>
      </c>
      <c r="B587">
        <v>52</v>
      </c>
      <c r="C587">
        <v>62</v>
      </c>
      <c r="D587">
        <v>1967</v>
      </c>
      <c r="E587">
        <v>9</v>
      </c>
      <c r="F587" t="str">
        <f t="shared" si="28"/>
        <v>51-60</v>
      </c>
      <c r="G587" t="s">
        <v>19</v>
      </c>
      <c r="H587" t="s">
        <v>601</v>
      </c>
      <c r="I587">
        <v>30.11</v>
      </c>
      <c r="J587">
        <v>-97.3</v>
      </c>
      <c r="K587" t="s">
        <v>602</v>
      </c>
      <c r="L587" s="4">
        <v>41483</v>
      </c>
      <c r="M587" s="4">
        <v>64715</v>
      </c>
      <c r="N587" s="11">
        <f t="shared" si="27"/>
        <v>1.5600366415158016</v>
      </c>
      <c r="O587">
        <v>584</v>
      </c>
      <c r="P587" t="str">
        <f t="shared" si="29"/>
        <v>Fair</v>
      </c>
      <c r="Q587">
        <v>1</v>
      </c>
    </row>
    <row r="588" spans="1:17" x14ac:dyDescent="0.3">
      <c r="A588">
        <v>586</v>
      </c>
      <c r="B588">
        <v>37</v>
      </c>
      <c r="C588">
        <v>63</v>
      </c>
      <c r="D588">
        <v>1983</v>
      </c>
      <c r="E588">
        <v>2</v>
      </c>
      <c r="F588" t="str">
        <f t="shared" si="28"/>
        <v>36-50</v>
      </c>
      <c r="G588" t="s">
        <v>19</v>
      </c>
      <c r="H588" t="s">
        <v>308</v>
      </c>
      <c r="I588">
        <v>35.57</v>
      </c>
      <c r="J588">
        <v>-82.54</v>
      </c>
      <c r="K588" t="s">
        <v>309</v>
      </c>
      <c r="L588" s="4">
        <v>46864</v>
      </c>
      <c r="M588" s="4">
        <v>58954</v>
      </c>
      <c r="N588" s="11">
        <f t="shared" si="27"/>
        <v>1.2579805394332537</v>
      </c>
      <c r="O588">
        <v>751</v>
      </c>
      <c r="P588" t="str">
        <f t="shared" si="29"/>
        <v>Very Good</v>
      </c>
      <c r="Q588">
        <v>4</v>
      </c>
    </row>
    <row r="589" spans="1:17" x14ac:dyDescent="0.3">
      <c r="A589">
        <v>587</v>
      </c>
      <c r="B589">
        <v>20</v>
      </c>
      <c r="C589">
        <v>62</v>
      </c>
      <c r="D589">
        <v>1999</v>
      </c>
      <c r="E589">
        <v>8</v>
      </c>
      <c r="F589" t="str">
        <f t="shared" si="28"/>
        <v>18-25</v>
      </c>
      <c r="G589" t="s">
        <v>19</v>
      </c>
      <c r="H589" t="s">
        <v>1482</v>
      </c>
      <c r="I589">
        <v>40.64</v>
      </c>
      <c r="J589">
        <v>-73.94</v>
      </c>
      <c r="K589" t="s">
        <v>1483</v>
      </c>
      <c r="L589" s="4">
        <v>25350</v>
      </c>
      <c r="M589" s="4">
        <v>70475</v>
      </c>
      <c r="N589" s="11">
        <f t="shared" si="27"/>
        <v>2.7800788954635109</v>
      </c>
      <c r="O589">
        <v>643</v>
      </c>
      <c r="P589" t="str">
        <f t="shared" si="29"/>
        <v>Fair</v>
      </c>
      <c r="Q589">
        <v>2</v>
      </c>
    </row>
    <row r="590" spans="1:17" x14ac:dyDescent="0.3">
      <c r="A590">
        <v>588</v>
      </c>
      <c r="B590">
        <v>21</v>
      </c>
      <c r="C590">
        <v>66</v>
      </c>
      <c r="D590">
        <v>1998</v>
      </c>
      <c r="E590">
        <v>6</v>
      </c>
      <c r="F590" t="str">
        <f t="shared" si="28"/>
        <v>18-25</v>
      </c>
      <c r="G590" t="s">
        <v>19</v>
      </c>
      <c r="H590" t="s">
        <v>1981</v>
      </c>
      <c r="I590">
        <v>38.47</v>
      </c>
      <c r="J590">
        <v>-90.75</v>
      </c>
      <c r="K590" t="s">
        <v>1982</v>
      </c>
      <c r="L590" s="4">
        <v>47109</v>
      </c>
      <c r="M590" s="4">
        <v>76035</v>
      </c>
      <c r="N590" s="11">
        <f t="shared" si="27"/>
        <v>1.6140227981914284</v>
      </c>
      <c r="O590">
        <v>844</v>
      </c>
      <c r="P590" t="str">
        <f t="shared" si="29"/>
        <v>Excellent</v>
      </c>
      <c r="Q590">
        <v>3</v>
      </c>
    </row>
    <row r="591" spans="1:17" x14ac:dyDescent="0.3">
      <c r="A591">
        <v>589</v>
      </c>
      <c r="B591">
        <v>58</v>
      </c>
      <c r="C591">
        <v>72</v>
      </c>
      <c r="D591">
        <v>1961</v>
      </c>
      <c r="E591">
        <v>11</v>
      </c>
      <c r="F591" t="str">
        <f t="shared" si="28"/>
        <v>51-60</v>
      </c>
      <c r="G591" t="s">
        <v>19</v>
      </c>
      <c r="H591" t="s">
        <v>1229</v>
      </c>
      <c r="I591">
        <v>40.549999999999997</v>
      </c>
      <c r="J591">
        <v>-81.91</v>
      </c>
      <c r="K591" t="s">
        <v>1230</v>
      </c>
      <c r="L591" s="4">
        <v>27035</v>
      </c>
      <c r="M591" s="4">
        <v>58050</v>
      </c>
      <c r="N591" s="11">
        <f t="shared" si="27"/>
        <v>2.1472165711115223</v>
      </c>
      <c r="O591">
        <v>595</v>
      </c>
      <c r="P591" t="str">
        <f t="shared" si="29"/>
        <v>Fair</v>
      </c>
      <c r="Q591">
        <v>2</v>
      </c>
    </row>
    <row r="592" spans="1:17" x14ac:dyDescent="0.3">
      <c r="A592">
        <v>590</v>
      </c>
      <c r="B592">
        <v>37</v>
      </c>
      <c r="C592">
        <v>66</v>
      </c>
      <c r="D592">
        <v>1982</v>
      </c>
      <c r="E592">
        <v>6</v>
      </c>
      <c r="F592" t="str">
        <f t="shared" si="28"/>
        <v>36-50</v>
      </c>
      <c r="G592" t="s">
        <v>19</v>
      </c>
      <c r="H592" t="s">
        <v>1847</v>
      </c>
      <c r="I592">
        <v>34.17</v>
      </c>
      <c r="J592">
        <v>-86.83</v>
      </c>
      <c r="K592" t="s">
        <v>1848</v>
      </c>
      <c r="L592" s="4">
        <v>35060</v>
      </c>
      <c r="M592" s="4">
        <v>39104</v>
      </c>
      <c r="N592" s="11">
        <f t="shared" si="27"/>
        <v>1.1153451226468911</v>
      </c>
      <c r="O592">
        <v>724</v>
      </c>
      <c r="P592" t="str">
        <f t="shared" si="29"/>
        <v>Good</v>
      </c>
      <c r="Q592">
        <v>2</v>
      </c>
    </row>
    <row r="593" spans="1:17" x14ac:dyDescent="0.3">
      <c r="A593">
        <v>591</v>
      </c>
      <c r="B593">
        <v>50</v>
      </c>
      <c r="C593">
        <v>60</v>
      </c>
      <c r="D593">
        <v>1969</v>
      </c>
      <c r="E593">
        <v>11</v>
      </c>
      <c r="F593" t="str">
        <f t="shared" si="28"/>
        <v>36-50</v>
      </c>
      <c r="G593" t="s">
        <v>19</v>
      </c>
      <c r="H593" t="s">
        <v>1969</v>
      </c>
      <c r="I593">
        <v>34.97</v>
      </c>
      <c r="J593">
        <v>-89.99</v>
      </c>
      <c r="K593" t="s">
        <v>1970</v>
      </c>
      <c r="L593" s="4">
        <v>38458</v>
      </c>
      <c r="M593" s="4">
        <v>65836</v>
      </c>
      <c r="N593" s="11">
        <f t="shared" si="27"/>
        <v>1.7118934942014665</v>
      </c>
      <c r="O593">
        <v>696</v>
      </c>
      <c r="P593" t="str">
        <f t="shared" si="29"/>
        <v>Good</v>
      </c>
      <c r="Q593">
        <v>3</v>
      </c>
    </row>
    <row r="594" spans="1:17" x14ac:dyDescent="0.3">
      <c r="A594">
        <v>592</v>
      </c>
      <c r="B594">
        <v>68</v>
      </c>
      <c r="C594">
        <v>65</v>
      </c>
      <c r="D594">
        <v>1952</v>
      </c>
      <c r="E594">
        <v>2</v>
      </c>
      <c r="F594" t="str">
        <f t="shared" si="28"/>
        <v>65+</v>
      </c>
      <c r="G594" t="s">
        <v>19</v>
      </c>
      <c r="H594" t="s">
        <v>1033</v>
      </c>
      <c r="I594">
        <v>35.32</v>
      </c>
      <c r="J594">
        <v>-82.46</v>
      </c>
      <c r="K594" t="s">
        <v>1034</v>
      </c>
      <c r="L594" s="4">
        <v>23993</v>
      </c>
      <c r="M594" s="4">
        <v>2573</v>
      </c>
      <c r="N594" s="11">
        <f t="shared" si="27"/>
        <v>0.10723961155336974</v>
      </c>
      <c r="O594">
        <v>714</v>
      </c>
      <c r="P594" t="str">
        <f t="shared" si="29"/>
        <v>Good</v>
      </c>
      <c r="Q594">
        <v>5</v>
      </c>
    </row>
    <row r="595" spans="1:17" x14ac:dyDescent="0.3">
      <c r="A595">
        <v>593</v>
      </c>
      <c r="B595">
        <v>19</v>
      </c>
      <c r="C595">
        <v>71</v>
      </c>
      <c r="D595">
        <v>2000</v>
      </c>
      <c r="E595">
        <v>7</v>
      </c>
      <c r="F595" t="str">
        <f t="shared" si="28"/>
        <v>18-25</v>
      </c>
      <c r="G595" t="s">
        <v>19</v>
      </c>
      <c r="H595" t="s">
        <v>164</v>
      </c>
      <c r="I595">
        <v>40.520000000000003</v>
      </c>
      <c r="J595">
        <v>-122.32</v>
      </c>
      <c r="K595" t="s">
        <v>165</v>
      </c>
      <c r="L595" s="4">
        <v>33816</v>
      </c>
      <c r="M595" s="4">
        <v>77770</v>
      </c>
      <c r="N595" s="11">
        <f t="shared" si="27"/>
        <v>2.299798911757748</v>
      </c>
      <c r="O595">
        <v>635</v>
      </c>
      <c r="P595" t="str">
        <f t="shared" si="29"/>
        <v>Fair</v>
      </c>
      <c r="Q595">
        <v>1</v>
      </c>
    </row>
    <row r="596" spans="1:17" x14ac:dyDescent="0.3">
      <c r="A596">
        <v>594</v>
      </c>
      <c r="B596">
        <v>29</v>
      </c>
      <c r="C596">
        <v>70</v>
      </c>
      <c r="D596">
        <v>1990</v>
      </c>
      <c r="E596">
        <v>12</v>
      </c>
      <c r="F596" t="str">
        <f t="shared" si="28"/>
        <v>26-35</v>
      </c>
      <c r="G596" t="s">
        <v>19</v>
      </c>
      <c r="H596" t="s">
        <v>1368</v>
      </c>
      <c r="I596">
        <v>35.880000000000003</v>
      </c>
      <c r="J596">
        <v>-80.069999999999993</v>
      </c>
      <c r="K596" t="s">
        <v>1369</v>
      </c>
      <c r="L596" s="4">
        <v>33933</v>
      </c>
      <c r="M596" s="4">
        <v>5329</v>
      </c>
      <c r="N596" s="11">
        <f t="shared" si="27"/>
        <v>0.1570447646833466</v>
      </c>
      <c r="O596">
        <v>698</v>
      </c>
      <c r="P596" t="str">
        <f t="shared" si="29"/>
        <v>Good</v>
      </c>
      <c r="Q596">
        <v>6</v>
      </c>
    </row>
    <row r="597" spans="1:17" x14ac:dyDescent="0.3">
      <c r="A597">
        <v>595</v>
      </c>
      <c r="B597">
        <v>79</v>
      </c>
      <c r="C597">
        <v>66</v>
      </c>
      <c r="D597">
        <v>1941</v>
      </c>
      <c r="E597">
        <v>2</v>
      </c>
      <c r="F597" t="str">
        <f t="shared" si="28"/>
        <v>65+</v>
      </c>
      <c r="G597" t="s">
        <v>19</v>
      </c>
      <c r="H597" t="s">
        <v>467</v>
      </c>
      <c r="I597">
        <v>36.5</v>
      </c>
      <c r="J597">
        <v>-78.55</v>
      </c>
      <c r="K597" t="s">
        <v>239</v>
      </c>
      <c r="L597" s="4">
        <v>29041</v>
      </c>
      <c r="M597" s="4">
        <v>4427</v>
      </c>
      <c r="N597" s="11">
        <f t="shared" si="27"/>
        <v>0.15243965428187733</v>
      </c>
      <c r="O597">
        <v>699</v>
      </c>
      <c r="P597" t="str">
        <f t="shared" si="29"/>
        <v>Good</v>
      </c>
      <c r="Q597">
        <v>4</v>
      </c>
    </row>
    <row r="598" spans="1:17" x14ac:dyDescent="0.3">
      <c r="A598">
        <v>596</v>
      </c>
      <c r="B598">
        <v>28</v>
      </c>
      <c r="C598">
        <v>65</v>
      </c>
      <c r="D598">
        <v>1991</v>
      </c>
      <c r="E598">
        <v>11</v>
      </c>
      <c r="F598" t="str">
        <f t="shared" si="28"/>
        <v>26-35</v>
      </c>
      <c r="G598" t="s">
        <v>19</v>
      </c>
      <c r="H598" t="s">
        <v>1271</v>
      </c>
      <c r="I598">
        <v>40.64</v>
      </c>
      <c r="J598">
        <v>-73.94</v>
      </c>
      <c r="K598" t="s">
        <v>1272</v>
      </c>
      <c r="L598" s="4">
        <v>34629</v>
      </c>
      <c r="M598" s="4">
        <v>34484</v>
      </c>
      <c r="N598" s="11">
        <f t="shared" si="27"/>
        <v>0.99581275809292791</v>
      </c>
      <c r="O598">
        <v>721</v>
      </c>
      <c r="P598" t="str">
        <f t="shared" si="29"/>
        <v>Good</v>
      </c>
      <c r="Q598">
        <v>3</v>
      </c>
    </row>
    <row r="599" spans="1:17" x14ac:dyDescent="0.3">
      <c r="A599">
        <v>597</v>
      </c>
      <c r="B599">
        <v>72</v>
      </c>
      <c r="C599">
        <v>66</v>
      </c>
      <c r="D599">
        <v>1948</v>
      </c>
      <c r="E599">
        <v>1</v>
      </c>
      <c r="F599" t="str">
        <f t="shared" si="28"/>
        <v>65+</v>
      </c>
      <c r="G599" t="s">
        <v>19</v>
      </c>
      <c r="H599" t="s">
        <v>806</v>
      </c>
      <c r="I599">
        <v>37.74</v>
      </c>
      <c r="J599">
        <v>-122.44</v>
      </c>
      <c r="K599" t="s">
        <v>349</v>
      </c>
      <c r="L599" s="4">
        <v>65055</v>
      </c>
      <c r="M599" s="4">
        <v>1676</v>
      </c>
      <c r="N599" s="11">
        <f t="shared" si="27"/>
        <v>2.5762816078702636E-2</v>
      </c>
      <c r="O599">
        <v>736</v>
      </c>
      <c r="P599" t="str">
        <f t="shared" si="29"/>
        <v>Good</v>
      </c>
      <c r="Q599">
        <v>6</v>
      </c>
    </row>
    <row r="600" spans="1:17" x14ac:dyDescent="0.3">
      <c r="A600">
        <v>598</v>
      </c>
      <c r="B600">
        <v>47</v>
      </c>
      <c r="C600">
        <v>63</v>
      </c>
      <c r="D600">
        <v>1972</v>
      </c>
      <c r="E600">
        <v>11</v>
      </c>
      <c r="F600" t="str">
        <f t="shared" si="28"/>
        <v>36-50</v>
      </c>
      <c r="G600" t="s">
        <v>19</v>
      </c>
      <c r="H600" t="s">
        <v>1822</v>
      </c>
      <c r="I600">
        <v>44.22</v>
      </c>
      <c r="J600">
        <v>-71.739999999999995</v>
      </c>
      <c r="K600" t="s">
        <v>1823</v>
      </c>
      <c r="L600" s="4">
        <v>43144</v>
      </c>
      <c r="M600" s="4">
        <v>54157</v>
      </c>
      <c r="N600" s="11">
        <f t="shared" si="27"/>
        <v>1.2552614500278139</v>
      </c>
      <c r="O600">
        <v>628</v>
      </c>
      <c r="P600" t="str">
        <f t="shared" si="29"/>
        <v>Fair</v>
      </c>
      <c r="Q600">
        <v>3</v>
      </c>
    </row>
    <row r="601" spans="1:17" x14ac:dyDescent="0.3">
      <c r="A601">
        <v>599</v>
      </c>
      <c r="B601">
        <v>26</v>
      </c>
      <c r="C601">
        <v>71</v>
      </c>
      <c r="D601">
        <v>1993</v>
      </c>
      <c r="E601">
        <v>3</v>
      </c>
      <c r="F601" t="str">
        <f t="shared" si="28"/>
        <v>26-35</v>
      </c>
      <c r="G601" t="s">
        <v>19</v>
      </c>
      <c r="H601" t="s">
        <v>535</v>
      </c>
      <c r="I601">
        <v>40.36</v>
      </c>
      <c r="J601">
        <v>-75.09</v>
      </c>
      <c r="K601" t="s">
        <v>536</v>
      </c>
      <c r="L601" s="4">
        <v>100991</v>
      </c>
      <c r="M601" s="4">
        <v>0</v>
      </c>
      <c r="N601" s="11">
        <f t="shared" si="27"/>
        <v>0</v>
      </c>
      <c r="O601">
        <v>722</v>
      </c>
      <c r="P601" t="str">
        <f t="shared" si="29"/>
        <v>Good</v>
      </c>
      <c r="Q601">
        <v>3</v>
      </c>
    </row>
    <row r="602" spans="1:17" x14ac:dyDescent="0.3">
      <c r="A602">
        <v>600</v>
      </c>
      <c r="B602">
        <v>18</v>
      </c>
      <c r="C602">
        <v>55</v>
      </c>
      <c r="D602">
        <v>2001</v>
      </c>
      <c r="E602">
        <v>5</v>
      </c>
      <c r="F602" t="str">
        <f t="shared" si="28"/>
        <v>18-25</v>
      </c>
      <c r="G602" t="s">
        <v>19</v>
      </c>
      <c r="H602" t="s">
        <v>1163</v>
      </c>
      <c r="I602">
        <v>39.96</v>
      </c>
      <c r="J602">
        <v>-76.73</v>
      </c>
      <c r="K602" t="s">
        <v>1164</v>
      </c>
      <c r="L602" s="4">
        <v>46878</v>
      </c>
      <c r="M602" s="4">
        <v>60121</v>
      </c>
      <c r="N602" s="11">
        <f t="shared" si="27"/>
        <v>1.282499253381117</v>
      </c>
      <c r="O602">
        <v>578</v>
      </c>
      <c r="P602" t="str">
        <f t="shared" si="29"/>
        <v>Poor</v>
      </c>
      <c r="Q602">
        <v>1</v>
      </c>
    </row>
    <row r="603" spans="1:17" x14ac:dyDescent="0.3">
      <c r="A603">
        <v>601</v>
      </c>
      <c r="B603">
        <v>68</v>
      </c>
      <c r="C603">
        <v>67</v>
      </c>
      <c r="D603">
        <v>1951</v>
      </c>
      <c r="E603">
        <v>7</v>
      </c>
      <c r="F603" t="str">
        <f t="shared" si="28"/>
        <v>65+</v>
      </c>
      <c r="G603" t="s">
        <v>19</v>
      </c>
      <c r="H603" t="s">
        <v>844</v>
      </c>
      <c r="I603">
        <v>28.5</v>
      </c>
      <c r="J603">
        <v>-81.37</v>
      </c>
      <c r="K603" t="s">
        <v>845</v>
      </c>
      <c r="L603" s="4">
        <v>43004</v>
      </c>
      <c r="M603" s="4">
        <v>15304</v>
      </c>
      <c r="N603" s="11">
        <f t="shared" si="27"/>
        <v>0.35587387219793509</v>
      </c>
      <c r="O603">
        <v>761</v>
      </c>
      <c r="P603" t="str">
        <f t="shared" si="29"/>
        <v>Very Good</v>
      </c>
      <c r="Q603">
        <v>6</v>
      </c>
    </row>
    <row r="604" spans="1:17" x14ac:dyDescent="0.3">
      <c r="A604">
        <v>602</v>
      </c>
      <c r="B604">
        <v>57</v>
      </c>
      <c r="C604">
        <v>67</v>
      </c>
      <c r="D604">
        <v>1963</v>
      </c>
      <c r="E604">
        <v>1</v>
      </c>
      <c r="F604" t="str">
        <f t="shared" si="28"/>
        <v>51-60</v>
      </c>
      <c r="G604" t="s">
        <v>19</v>
      </c>
      <c r="H604" t="s">
        <v>284</v>
      </c>
      <c r="I604">
        <v>36.340000000000003</v>
      </c>
      <c r="J604">
        <v>-79.67</v>
      </c>
      <c r="K604" t="s">
        <v>285</v>
      </c>
      <c r="L604" s="4">
        <v>34437</v>
      </c>
      <c r="M604" s="4">
        <v>0</v>
      </c>
      <c r="N604" s="11">
        <f t="shared" si="27"/>
        <v>0</v>
      </c>
      <c r="O604">
        <v>681</v>
      </c>
      <c r="P604" t="str">
        <f t="shared" si="29"/>
        <v>Good</v>
      </c>
      <c r="Q604">
        <v>4</v>
      </c>
    </row>
    <row r="605" spans="1:17" x14ac:dyDescent="0.3">
      <c r="A605">
        <v>603</v>
      </c>
      <c r="B605">
        <v>42</v>
      </c>
      <c r="C605">
        <v>67</v>
      </c>
      <c r="D605">
        <v>1978</v>
      </c>
      <c r="E605">
        <v>2</v>
      </c>
      <c r="F605" t="str">
        <f t="shared" si="28"/>
        <v>36-50</v>
      </c>
      <c r="G605" t="s">
        <v>14</v>
      </c>
      <c r="H605" t="s">
        <v>1817</v>
      </c>
      <c r="I605">
        <v>35.479999999999997</v>
      </c>
      <c r="J605">
        <v>-97.26</v>
      </c>
      <c r="K605" t="s">
        <v>1818</v>
      </c>
      <c r="L605" s="4">
        <v>44624</v>
      </c>
      <c r="M605" s="4">
        <v>102882</v>
      </c>
      <c r="N605" s="11">
        <f t="shared" si="27"/>
        <v>2.3055306561491573</v>
      </c>
      <c r="O605">
        <v>611</v>
      </c>
      <c r="P605" t="str">
        <f t="shared" si="29"/>
        <v>Fair</v>
      </c>
      <c r="Q605">
        <v>1</v>
      </c>
    </row>
    <row r="606" spans="1:17" x14ac:dyDescent="0.3">
      <c r="A606">
        <v>604</v>
      </c>
      <c r="B606">
        <v>60</v>
      </c>
      <c r="C606">
        <v>65</v>
      </c>
      <c r="D606">
        <v>1959</v>
      </c>
      <c r="E606">
        <v>12</v>
      </c>
      <c r="F606" t="str">
        <f t="shared" si="28"/>
        <v>51-60</v>
      </c>
      <c r="G606" t="s">
        <v>19</v>
      </c>
      <c r="H606" t="s">
        <v>1610</v>
      </c>
      <c r="I606">
        <v>39.840000000000003</v>
      </c>
      <c r="J606">
        <v>-75.709999999999994</v>
      </c>
      <c r="K606" t="s">
        <v>1611</v>
      </c>
      <c r="L606" s="4">
        <v>70840</v>
      </c>
      <c r="M606" s="4">
        <v>52578</v>
      </c>
      <c r="N606" s="11">
        <f t="shared" si="27"/>
        <v>0.74220779220779221</v>
      </c>
      <c r="O606">
        <v>736</v>
      </c>
      <c r="P606" t="str">
        <f t="shared" si="29"/>
        <v>Good</v>
      </c>
      <c r="Q606">
        <v>4</v>
      </c>
    </row>
    <row r="607" spans="1:17" x14ac:dyDescent="0.3">
      <c r="A607">
        <v>605</v>
      </c>
      <c r="B607">
        <v>42</v>
      </c>
      <c r="C607">
        <v>73</v>
      </c>
      <c r="D607">
        <v>1977</v>
      </c>
      <c r="E607">
        <v>10</v>
      </c>
      <c r="F607" t="str">
        <f t="shared" si="28"/>
        <v>36-50</v>
      </c>
      <c r="G607" t="s">
        <v>19</v>
      </c>
      <c r="H607" t="s">
        <v>820</v>
      </c>
      <c r="I607">
        <v>40.64</v>
      </c>
      <c r="J607">
        <v>-73.94</v>
      </c>
      <c r="K607" t="s">
        <v>821</v>
      </c>
      <c r="L607" s="4">
        <v>47542</v>
      </c>
      <c r="M607" s="4">
        <v>2667</v>
      </c>
      <c r="N607" s="11">
        <f t="shared" si="27"/>
        <v>5.6097766185688444E-2</v>
      </c>
      <c r="O607">
        <v>725</v>
      </c>
      <c r="P607" t="str">
        <f t="shared" si="29"/>
        <v>Good</v>
      </c>
      <c r="Q607">
        <v>3</v>
      </c>
    </row>
    <row r="608" spans="1:17" x14ac:dyDescent="0.3">
      <c r="A608">
        <v>606</v>
      </c>
      <c r="B608">
        <v>48</v>
      </c>
      <c r="C608">
        <v>67</v>
      </c>
      <c r="D608">
        <v>1971</v>
      </c>
      <c r="E608">
        <v>12</v>
      </c>
      <c r="F608" t="str">
        <f t="shared" si="28"/>
        <v>36-50</v>
      </c>
      <c r="G608" t="s">
        <v>19</v>
      </c>
      <c r="H608" t="s">
        <v>139</v>
      </c>
      <c r="I608">
        <v>39.4</v>
      </c>
      <c r="J608">
        <v>-88.8</v>
      </c>
      <c r="K608" t="s">
        <v>140</v>
      </c>
      <c r="L608" s="4">
        <v>33236</v>
      </c>
      <c r="M608" s="4">
        <v>57549</v>
      </c>
      <c r="N608" s="11">
        <f t="shared" si="27"/>
        <v>1.7315260560837646</v>
      </c>
      <c r="O608">
        <v>747</v>
      </c>
      <c r="P608" t="str">
        <f t="shared" si="29"/>
        <v>Very Good</v>
      </c>
      <c r="Q608">
        <v>1</v>
      </c>
    </row>
    <row r="609" spans="1:17" x14ac:dyDescent="0.3">
      <c r="A609">
        <v>607</v>
      </c>
      <c r="B609">
        <v>25</v>
      </c>
      <c r="C609">
        <v>64</v>
      </c>
      <c r="D609">
        <v>1994</v>
      </c>
      <c r="E609">
        <v>8</v>
      </c>
      <c r="F609" t="str">
        <f t="shared" si="28"/>
        <v>18-25</v>
      </c>
      <c r="G609" t="s">
        <v>19</v>
      </c>
      <c r="H609" t="s">
        <v>176</v>
      </c>
      <c r="I609">
        <v>41.92</v>
      </c>
      <c r="J609">
        <v>-87.81</v>
      </c>
      <c r="K609" t="s">
        <v>177</v>
      </c>
      <c r="L609" s="4">
        <v>42617</v>
      </c>
      <c r="M609" s="4">
        <v>67590</v>
      </c>
      <c r="N609" s="11">
        <f t="shared" si="27"/>
        <v>1.5859868127742449</v>
      </c>
      <c r="O609">
        <v>771</v>
      </c>
      <c r="P609" t="str">
        <f t="shared" si="29"/>
        <v>Very Good</v>
      </c>
      <c r="Q609">
        <v>5</v>
      </c>
    </row>
    <row r="610" spans="1:17" x14ac:dyDescent="0.3">
      <c r="A610">
        <v>608</v>
      </c>
      <c r="B610">
        <v>32</v>
      </c>
      <c r="C610">
        <v>65</v>
      </c>
      <c r="D610">
        <v>1987</v>
      </c>
      <c r="E610">
        <v>10</v>
      </c>
      <c r="F610" t="str">
        <f t="shared" si="28"/>
        <v>26-35</v>
      </c>
      <c r="G610" t="s">
        <v>19</v>
      </c>
      <c r="H610" t="s">
        <v>1234</v>
      </c>
      <c r="I610">
        <v>37.78</v>
      </c>
      <c r="J610">
        <v>-121.99</v>
      </c>
      <c r="K610" t="s">
        <v>22</v>
      </c>
      <c r="L610" s="4">
        <v>2365</v>
      </c>
      <c r="M610" s="4">
        <v>0</v>
      </c>
      <c r="N610" s="11">
        <f t="shared" si="27"/>
        <v>0</v>
      </c>
      <c r="O610">
        <v>769</v>
      </c>
      <c r="P610" t="str">
        <f t="shared" si="29"/>
        <v>Very Good</v>
      </c>
      <c r="Q610">
        <v>3</v>
      </c>
    </row>
    <row r="611" spans="1:17" x14ac:dyDescent="0.3">
      <c r="A611">
        <v>609</v>
      </c>
      <c r="B611">
        <v>59</v>
      </c>
      <c r="C611">
        <v>62</v>
      </c>
      <c r="D611">
        <v>1961</v>
      </c>
      <c r="E611">
        <v>2</v>
      </c>
      <c r="F611" t="str">
        <f t="shared" si="28"/>
        <v>51-60</v>
      </c>
      <c r="G611" t="s">
        <v>19</v>
      </c>
      <c r="H611" t="s">
        <v>1461</v>
      </c>
      <c r="I611">
        <v>32.909999999999997</v>
      </c>
      <c r="J611">
        <v>-96.62</v>
      </c>
      <c r="K611" t="s">
        <v>1462</v>
      </c>
      <c r="L611" s="4">
        <v>37536</v>
      </c>
      <c r="M611" s="4">
        <v>63386</v>
      </c>
      <c r="N611" s="11">
        <f t="shared" si="27"/>
        <v>1.6886722080136403</v>
      </c>
      <c r="O611">
        <v>717</v>
      </c>
      <c r="P611" t="str">
        <f t="shared" si="29"/>
        <v>Good</v>
      </c>
      <c r="Q611">
        <v>3</v>
      </c>
    </row>
    <row r="612" spans="1:17" x14ac:dyDescent="0.3">
      <c r="A612">
        <v>610</v>
      </c>
      <c r="B612">
        <v>18</v>
      </c>
      <c r="C612">
        <v>58</v>
      </c>
      <c r="D612">
        <v>2002</v>
      </c>
      <c r="E612">
        <v>1</v>
      </c>
      <c r="F612" t="str">
        <f t="shared" si="28"/>
        <v>18-25</v>
      </c>
      <c r="G612" t="s">
        <v>19</v>
      </c>
      <c r="H612" t="s">
        <v>764</v>
      </c>
      <c r="I612">
        <v>47.78</v>
      </c>
      <c r="J612">
        <v>-117.45</v>
      </c>
      <c r="K612" t="s">
        <v>765</v>
      </c>
      <c r="L612" s="4">
        <v>44061</v>
      </c>
      <c r="M612" s="4">
        <v>107955</v>
      </c>
      <c r="N612" s="11">
        <f t="shared" si="27"/>
        <v>2.4501259617348676</v>
      </c>
      <c r="O612">
        <v>713</v>
      </c>
      <c r="P612" t="str">
        <f t="shared" si="29"/>
        <v>Good</v>
      </c>
      <c r="Q612">
        <v>4</v>
      </c>
    </row>
    <row r="613" spans="1:17" x14ac:dyDescent="0.3">
      <c r="A613">
        <v>611</v>
      </c>
      <c r="B613">
        <v>23</v>
      </c>
      <c r="C613">
        <v>65</v>
      </c>
      <c r="D613">
        <v>1996</v>
      </c>
      <c r="E613">
        <v>7</v>
      </c>
      <c r="F613" t="str">
        <f t="shared" si="28"/>
        <v>18-25</v>
      </c>
      <c r="G613" t="s">
        <v>19</v>
      </c>
      <c r="H613" t="s">
        <v>1672</v>
      </c>
      <c r="I613">
        <v>42.26</v>
      </c>
      <c r="J613">
        <v>-88</v>
      </c>
      <c r="K613" t="s">
        <v>1673</v>
      </c>
      <c r="L613" s="4">
        <v>58721</v>
      </c>
      <c r="M613" s="4">
        <v>135065</v>
      </c>
      <c r="N613" s="11">
        <f t="shared" si="27"/>
        <v>2.3001140988743378</v>
      </c>
      <c r="O613">
        <v>758</v>
      </c>
      <c r="P613" t="str">
        <f t="shared" si="29"/>
        <v>Very Good</v>
      </c>
      <c r="Q613">
        <v>1</v>
      </c>
    </row>
    <row r="614" spans="1:17" x14ac:dyDescent="0.3">
      <c r="A614">
        <v>612</v>
      </c>
      <c r="B614">
        <v>88</v>
      </c>
      <c r="C614">
        <v>67</v>
      </c>
      <c r="D614">
        <v>1931</v>
      </c>
      <c r="E614">
        <v>9</v>
      </c>
      <c r="F614" t="str">
        <f t="shared" si="28"/>
        <v>65+</v>
      </c>
      <c r="G614" t="s">
        <v>14</v>
      </c>
      <c r="H614" t="s">
        <v>1856</v>
      </c>
      <c r="I614">
        <v>39.090000000000003</v>
      </c>
      <c r="J614">
        <v>-84.51</v>
      </c>
      <c r="K614" t="s">
        <v>318</v>
      </c>
      <c r="L614" s="4">
        <v>16296</v>
      </c>
      <c r="M614" s="4">
        <v>667</v>
      </c>
      <c r="N614" s="11">
        <f t="shared" si="27"/>
        <v>4.0930289641629848E-2</v>
      </c>
      <c r="O614">
        <v>838</v>
      </c>
      <c r="P614" t="str">
        <f t="shared" si="29"/>
        <v>Excellent</v>
      </c>
      <c r="Q614">
        <v>7</v>
      </c>
    </row>
    <row r="615" spans="1:17" x14ac:dyDescent="0.3">
      <c r="A615">
        <v>613</v>
      </c>
      <c r="B615">
        <v>39</v>
      </c>
      <c r="C615">
        <v>69</v>
      </c>
      <c r="D615">
        <v>1980</v>
      </c>
      <c r="E615">
        <v>9</v>
      </c>
      <c r="F615" t="str">
        <f t="shared" si="28"/>
        <v>36-50</v>
      </c>
      <c r="G615" t="s">
        <v>14</v>
      </c>
      <c r="H615" t="s">
        <v>276</v>
      </c>
      <c r="I615">
        <v>41.87</v>
      </c>
      <c r="J615">
        <v>-88.01</v>
      </c>
      <c r="K615" t="s">
        <v>277</v>
      </c>
      <c r="L615" s="4">
        <v>56562</v>
      </c>
      <c r="M615" s="4">
        <v>111495</v>
      </c>
      <c r="N615" s="11">
        <f t="shared" si="27"/>
        <v>1.9711997454121142</v>
      </c>
      <c r="O615">
        <v>712</v>
      </c>
      <c r="P615" t="str">
        <f t="shared" si="29"/>
        <v>Good</v>
      </c>
      <c r="Q615">
        <v>4</v>
      </c>
    </row>
    <row r="616" spans="1:17" x14ac:dyDescent="0.3">
      <c r="A616">
        <v>614</v>
      </c>
      <c r="B616">
        <v>84</v>
      </c>
      <c r="C616">
        <v>66</v>
      </c>
      <c r="D616">
        <v>1935</v>
      </c>
      <c r="E616">
        <v>9</v>
      </c>
      <c r="F616" t="str">
        <f t="shared" si="28"/>
        <v>65+</v>
      </c>
      <c r="G616" t="s">
        <v>14</v>
      </c>
      <c r="H616" t="s">
        <v>1924</v>
      </c>
      <c r="I616">
        <v>35.4</v>
      </c>
      <c r="J616">
        <v>-80.59</v>
      </c>
      <c r="K616" t="s">
        <v>1638</v>
      </c>
      <c r="L616" s="4">
        <v>16430</v>
      </c>
      <c r="M616" s="4">
        <v>2873</v>
      </c>
      <c r="N616" s="11">
        <f t="shared" si="27"/>
        <v>0.17486305538648814</v>
      </c>
      <c r="O616">
        <v>779</v>
      </c>
      <c r="P616" t="str">
        <f t="shared" si="29"/>
        <v>Very Good</v>
      </c>
      <c r="Q616">
        <v>7</v>
      </c>
    </row>
    <row r="617" spans="1:17" x14ac:dyDescent="0.3">
      <c r="A617">
        <v>615</v>
      </c>
      <c r="B617">
        <v>35</v>
      </c>
      <c r="C617">
        <v>65</v>
      </c>
      <c r="D617">
        <v>1984</v>
      </c>
      <c r="E617">
        <v>3</v>
      </c>
      <c r="F617" t="str">
        <f t="shared" si="28"/>
        <v>26-35</v>
      </c>
      <c r="G617" t="s">
        <v>14</v>
      </c>
      <c r="H617" t="s">
        <v>1427</v>
      </c>
      <c r="I617">
        <v>29.43</v>
      </c>
      <c r="J617">
        <v>-95.24</v>
      </c>
      <c r="K617" t="s">
        <v>1388</v>
      </c>
      <c r="L617" s="4">
        <v>44766</v>
      </c>
      <c r="M617" s="4">
        <v>68989</v>
      </c>
      <c r="N617" s="11">
        <f t="shared" si="27"/>
        <v>1.5411026225260243</v>
      </c>
      <c r="O617">
        <v>713</v>
      </c>
      <c r="P617" t="str">
        <f t="shared" si="29"/>
        <v>Good</v>
      </c>
      <c r="Q617">
        <v>2</v>
      </c>
    </row>
    <row r="618" spans="1:17" x14ac:dyDescent="0.3">
      <c r="A618">
        <v>616</v>
      </c>
      <c r="B618">
        <v>45</v>
      </c>
      <c r="C618">
        <v>72</v>
      </c>
      <c r="D618">
        <v>1974</v>
      </c>
      <c r="E618">
        <v>5</v>
      </c>
      <c r="F618" t="str">
        <f t="shared" si="28"/>
        <v>36-50</v>
      </c>
      <c r="G618" t="s">
        <v>14</v>
      </c>
      <c r="H618" t="s">
        <v>1665</v>
      </c>
      <c r="I618">
        <v>32.19</v>
      </c>
      <c r="J618">
        <v>-88.05</v>
      </c>
      <c r="K618" t="s">
        <v>1666</v>
      </c>
      <c r="L618" s="4">
        <v>34817</v>
      </c>
      <c r="M618" s="4">
        <v>63313</v>
      </c>
      <c r="N618" s="11">
        <f t="shared" si="27"/>
        <v>1.8184507568141999</v>
      </c>
      <c r="O618">
        <v>586</v>
      </c>
      <c r="P618" t="str">
        <f t="shared" si="29"/>
        <v>Fair</v>
      </c>
      <c r="Q618">
        <v>1</v>
      </c>
    </row>
    <row r="619" spans="1:17" x14ac:dyDescent="0.3">
      <c r="A619">
        <v>617</v>
      </c>
      <c r="B619">
        <v>27</v>
      </c>
      <c r="C619">
        <v>69</v>
      </c>
      <c r="D619">
        <v>1992</v>
      </c>
      <c r="E619">
        <v>6</v>
      </c>
      <c r="F619" t="str">
        <f t="shared" si="28"/>
        <v>26-35</v>
      </c>
      <c r="G619" t="s">
        <v>14</v>
      </c>
      <c r="H619" t="s">
        <v>427</v>
      </c>
      <c r="I619">
        <v>38.03</v>
      </c>
      <c r="J619">
        <v>-78.48</v>
      </c>
      <c r="K619" t="s">
        <v>428</v>
      </c>
      <c r="L619" s="4">
        <v>58026</v>
      </c>
      <c r="M619" s="4">
        <v>133169</v>
      </c>
      <c r="N619" s="11">
        <f t="shared" si="27"/>
        <v>2.2949884534519009</v>
      </c>
      <c r="O619">
        <v>691</v>
      </c>
      <c r="P619" t="str">
        <f t="shared" si="29"/>
        <v>Good</v>
      </c>
      <c r="Q619">
        <v>1</v>
      </c>
    </row>
    <row r="620" spans="1:17" x14ac:dyDescent="0.3">
      <c r="A620">
        <v>618</v>
      </c>
      <c r="B620">
        <v>32</v>
      </c>
      <c r="C620">
        <v>67</v>
      </c>
      <c r="D620">
        <v>1987</v>
      </c>
      <c r="E620">
        <v>8</v>
      </c>
      <c r="F620" t="str">
        <f t="shared" si="28"/>
        <v>26-35</v>
      </c>
      <c r="G620" t="s">
        <v>19</v>
      </c>
      <c r="H620" t="s">
        <v>1761</v>
      </c>
      <c r="I620">
        <v>33.92</v>
      </c>
      <c r="J620">
        <v>-118.2</v>
      </c>
      <c r="K620" t="s">
        <v>270</v>
      </c>
      <c r="L620" s="4">
        <v>27795</v>
      </c>
      <c r="M620" s="4">
        <v>72318</v>
      </c>
      <c r="N620" s="11">
        <f t="shared" si="27"/>
        <v>2.6018348623853211</v>
      </c>
      <c r="O620">
        <v>701</v>
      </c>
      <c r="P620" t="str">
        <f t="shared" si="29"/>
        <v>Good</v>
      </c>
      <c r="Q620">
        <v>4</v>
      </c>
    </row>
    <row r="621" spans="1:17" x14ac:dyDescent="0.3">
      <c r="A621">
        <v>619</v>
      </c>
      <c r="B621">
        <v>54</v>
      </c>
      <c r="C621">
        <v>65</v>
      </c>
      <c r="D621">
        <v>1965</v>
      </c>
      <c r="E621">
        <v>12</v>
      </c>
      <c r="F621" t="str">
        <f t="shared" si="28"/>
        <v>51-60</v>
      </c>
      <c r="G621" t="s">
        <v>19</v>
      </c>
      <c r="H621" t="s">
        <v>807</v>
      </c>
      <c r="I621">
        <v>44.01</v>
      </c>
      <c r="J621">
        <v>-92.47</v>
      </c>
      <c r="K621" t="s">
        <v>808</v>
      </c>
      <c r="L621" s="4">
        <v>53986</v>
      </c>
      <c r="M621" s="4">
        <v>58381</v>
      </c>
      <c r="N621" s="11">
        <f t="shared" si="27"/>
        <v>1.0814099951839367</v>
      </c>
      <c r="O621">
        <v>748</v>
      </c>
      <c r="P621" t="str">
        <f t="shared" si="29"/>
        <v>Very Good</v>
      </c>
      <c r="Q621">
        <v>4</v>
      </c>
    </row>
    <row r="622" spans="1:17" x14ac:dyDescent="0.3">
      <c r="A622">
        <v>620</v>
      </c>
      <c r="B622">
        <v>26</v>
      </c>
      <c r="C622">
        <v>61</v>
      </c>
      <c r="D622">
        <v>1993</v>
      </c>
      <c r="E622">
        <v>5</v>
      </c>
      <c r="F622" t="str">
        <f t="shared" si="28"/>
        <v>26-35</v>
      </c>
      <c r="G622" t="s">
        <v>19</v>
      </c>
      <c r="H622" t="s">
        <v>1584</v>
      </c>
      <c r="I622">
        <v>37.799999999999997</v>
      </c>
      <c r="J622">
        <v>-89.03</v>
      </c>
      <c r="K622" t="s">
        <v>1585</v>
      </c>
      <c r="L622" s="4">
        <v>33437</v>
      </c>
      <c r="M622" s="4">
        <v>56690</v>
      </c>
      <c r="N622" s="11">
        <f t="shared" si="27"/>
        <v>1.6954272213416275</v>
      </c>
      <c r="O622">
        <v>588</v>
      </c>
      <c r="P622" t="str">
        <f t="shared" si="29"/>
        <v>Fair</v>
      </c>
      <c r="Q622">
        <v>1</v>
      </c>
    </row>
    <row r="623" spans="1:17" x14ac:dyDescent="0.3">
      <c r="A623">
        <v>621</v>
      </c>
      <c r="B623">
        <v>51</v>
      </c>
      <c r="C623">
        <v>63</v>
      </c>
      <c r="D623">
        <v>1968</v>
      </c>
      <c r="E623">
        <v>3</v>
      </c>
      <c r="F623" t="str">
        <f t="shared" si="28"/>
        <v>51-60</v>
      </c>
      <c r="G623" t="s">
        <v>19</v>
      </c>
      <c r="H623" t="s">
        <v>1418</v>
      </c>
      <c r="I623">
        <v>29.19</v>
      </c>
      <c r="J623">
        <v>-81.05</v>
      </c>
      <c r="K623" t="s">
        <v>1419</v>
      </c>
      <c r="L623" s="4">
        <v>27372</v>
      </c>
      <c r="M623" s="4">
        <v>54474</v>
      </c>
      <c r="N623" s="11">
        <f t="shared" si="27"/>
        <v>1.990135905304691</v>
      </c>
      <c r="O623">
        <v>612</v>
      </c>
      <c r="P623" t="str">
        <f t="shared" si="29"/>
        <v>Fair</v>
      </c>
      <c r="Q623">
        <v>1</v>
      </c>
    </row>
    <row r="624" spans="1:17" x14ac:dyDescent="0.3">
      <c r="A624">
        <v>622</v>
      </c>
      <c r="B624">
        <v>23</v>
      </c>
      <c r="C624">
        <v>65</v>
      </c>
      <c r="D624">
        <v>1996</v>
      </c>
      <c r="E624">
        <v>12</v>
      </c>
      <c r="F624" t="str">
        <f t="shared" si="28"/>
        <v>18-25</v>
      </c>
      <c r="G624" t="s">
        <v>19</v>
      </c>
      <c r="H624" t="s">
        <v>1415</v>
      </c>
      <c r="I624">
        <v>38.85</v>
      </c>
      <c r="J624">
        <v>-77.290000000000006</v>
      </c>
      <c r="K624" t="s">
        <v>1179</v>
      </c>
      <c r="L624" s="4">
        <v>87437</v>
      </c>
      <c r="M624" s="4">
        <v>0</v>
      </c>
      <c r="N624" s="11">
        <f t="shared" si="27"/>
        <v>0</v>
      </c>
      <c r="O624">
        <v>738</v>
      </c>
      <c r="P624" t="str">
        <f t="shared" si="29"/>
        <v>Good</v>
      </c>
      <c r="Q624">
        <v>2</v>
      </c>
    </row>
    <row r="625" spans="1:17" x14ac:dyDescent="0.3">
      <c r="A625">
        <v>623</v>
      </c>
      <c r="B625">
        <v>63</v>
      </c>
      <c r="C625">
        <v>60</v>
      </c>
      <c r="D625">
        <v>1956</v>
      </c>
      <c r="E625">
        <v>4</v>
      </c>
      <c r="F625" t="str">
        <f t="shared" si="28"/>
        <v>51-60</v>
      </c>
      <c r="G625" t="s">
        <v>19</v>
      </c>
      <c r="H625" t="s">
        <v>870</v>
      </c>
      <c r="I625">
        <v>41.53</v>
      </c>
      <c r="J625">
        <v>-87.87</v>
      </c>
      <c r="K625" t="s">
        <v>871</v>
      </c>
      <c r="L625" s="4">
        <v>77961</v>
      </c>
      <c r="M625" s="4">
        <v>39811</v>
      </c>
      <c r="N625" s="11">
        <f t="shared" si="27"/>
        <v>0.51065276227857515</v>
      </c>
      <c r="O625">
        <v>616</v>
      </c>
      <c r="P625" t="str">
        <f t="shared" si="29"/>
        <v>Fair</v>
      </c>
      <c r="Q625">
        <v>3</v>
      </c>
    </row>
    <row r="626" spans="1:17" x14ac:dyDescent="0.3">
      <c r="A626">
        <v>624</v>
      </c>
      <c r="B626">
        <v>33</v>
      </c>
      <c r="C626">
        <v>66</v>
      </c>
      <c r="D626">
        <v>1987</v>
      </c>
      <c r="E626">
        <v>2</v>
      </c>
      <c r="F626" t="str">
        <f t="shared" si="28"/>
        <v>26-35</v>
      </c>
      <c r="G626" t="s">
        <v>19</v>
      </c>
      <c r="H626" t="s">
        <v>1839</v>
      </c>
      <c r="I626">
        <v>42.89</v>
      </c>
      <c r="J626">
        <v>-85.72</v>
      </c>
      <c r="K626" t="s">
        <v>850</v>
      </c>
      <c r="L626" s="4">
        <v>37579</v>
      </c>
      <c r="M626" s="4">
        <v>59201</v>
      </c>
      <c r="N626" s="11">
        <f t="shared" si="27"/>
        <v>1.5753745442933553</v>
      </c>
      <c r="O626">
        <v>710</v>
      </c>
      <c r="P626" t="str">
        <f t="shared" si="29"/>
        <v>Good</v>
      </c>
      <c r="Q626">
        <v>2</v>
      </c>
    </row>
    <row r="627" spans="1:17" x14ac:dyDescent="0.3">
      <c r="A627">
        <v>625</v>
      </c>
      <c r="B627">
        <v>19</v>
      </c>
      <c r="C627">
        <v>66</v>
      </c>
      <c r="D627">
        <v>2000</v>
      </c>
      <c r="E627">
        <v>12</v>
      </c>
      <c r="F627" t="str">
        <f t="shared" si="28"/>
        <v>18-25</v>
      </c>
      <c r="G627" t="s">
        <v>14</v>
      </c>
      <c r="H627" t="s">
        <v>1939</v>
      </c>
      <c r="I627">
        <v>36.33</v>
      </c>
      <c r="J627">
        <v>-82.36</v>
      </c>
      <c r="K627" t="s">
        <v>1940</v>
      </c>
      <c r="L627" s="4">
        <v>47350</v>
      </c>
      <c r="M627" s="4">
        <v>47026</v>
      </c>
      <c r="N627" s="11">
        <f t="shared" si="27"/>
        <v>0.99315733896515312</v>
      </c>
      <c r="O627">
        <v>680</v>
      </c>
      <c r="P627" t="str">
        <f t="shared" si="29"/>
        <v>Good</v>
      </c>
      <c r="Q627">
        <v>1</v>
      </c>
    </row>
    <row r="628" spans="1:17" x14ac:dyDescent="0.3">
      <c r="A628">
        <v>626</v>
      </c>
      <c r="B628">
        <v>22</v>
      </c>
      <c r="C628">
        <v>65</v>
      </c>
      <c r="D628">
        <v>1997</v>
      </c>
      <c r="E628">
        <v>6</v>
      </c>
      <c r="F628" t="str">
        <f t="shared" si="28"/>
        <v>18-25</v>
      </c>
      <c r="G628" t="s">
        <v>14</v>
      </c>
      <c r="H628" t="s">
        <v>1360</v>
      </c>
      <c r="I628">
        <v>26.11</v>
      </c>
      <c r="J628">
        <v>-80.39</v>
      </c>
      <c r="K628" t="s">
        <v>1361</v>
      </c>
      <c r="L628" s="4">
        <v>85954</v>
      </c>
      <c r="M628" s="4">
        <v>108684</v>
      </c>
      <c r="N628" s="11">
        <f t="shared" si="27"/>
        <v>1.2644437722502735</v>
      </c>
      <c r="O628">
        <v>746</v>
      </c>
      <c r="P628" t="str">
        <f t="shared" si="29"/>
        <v>Very Good</v>
      </c>
      <c r="Q628">
        <v>2</v>
      </c>
    </row>
    <row r="629" spans="1:17" x14ac:dyDescent="0.3">
      <c r="A629">
        <v>627</v>
      </c>
      <c r="B629">
        <v>50</v>
      </c>
      <c r="C629">
        <v>62</v>
      </c>
      <c r="D629">
        <v>1969</v>
      </c>
      <c r="E629">
        <v>11</v>
      </c>
      <c r="F629" t="str">
        <f t="shared" si="28"/>
        <v>36-50</v>
      </c>
      <c r="G629" t="s">
        <v>19</v>
      </c>
      <c r="H629" t="s">
        <v>1624</v>
      </c>
      <c r="I629">
        <v>41.83</v>
      </c>
      <c r="J629">
        <v>-73.12</v>
      </c>
      <c r="K629" t="s">
        <v>1625</v>
      </c>
      <c r="L629" s="4">
        <v>45674</v>
      </c>
      <c r="M629" s="4">
        <v>83331</v>
      </c>
      <c r="N629" s="11">
        <f t="shared" si="27"/>
        <v>1.8244734422209572</v>
      </c>
      <c r="O629">
        <v>717</v>
      </c>
      <c r="P629" t="str">
        <f t="shared" si="29"/>
        <v>Good</v>
      </c>
      <c r="Q629">
        <v>1</v>
      </c>
    </row>
    <row r="630" spans="1:17" x14ac:dyDescent="0.3">
      <c r="A630">
        <v>628</v>
      </c>
      <c r="B630">
        <v>57</v>
      </c>
      <c r="C630">
        <v>66</v>
      </c>
      <c r="D630">
        <v>1963</v>
      </c>
      <c r="E630">
        <v>1</v>
      </c>
      <c r="F630" t="str">
        <f t="shared" si="28"/>
        <v>51-60</v>
      </c>
      <c r="G630" t="s">
        <v>19</v>
      </c>
      <c r="H630" t="s">
        <v>1952</v>
      </c>
      <c r="I630">
        <v>40</v>
      </c>
      <c r="J630">
        <v>-75.260000000000005</v>
      </c>
      <c r="K630" t="s">
        <v>1953</v>
      </c>
      <c r="L630" s="4">
        <v>107075</v>
      </c>
      <c r="M630" s="4">
        <v>75999</v>
      </c>
      <c r="N630" s="11">
        <f t="shared" si="27"/>
        <v>0.70977352323137988</v>
      </c>
      <c r="O630">
        <v>815</v>
      </c>
      <c r="P630" t="str">
        <f t="shared" si="29"/>
        <v>Excellent</v>
      </c>
      <c r="Q630">
        <v>3</v>
      </c>
    </row>
    <row r="631" spans="1:17" x14ac:dyDescent="0.3">
      <c r="A631">
        <v>629</v>
      </c>
      <c r="B631">
        <v>72</v>
      </c>
      <c r="C631">
        <v>70</v>
      </c>
      <c r="D631">
        <v>1947</v>
      </c>
      <c r="E631">
        <v>5</v>
      </c>
      <c r="F631" t="str">
        <f t="shared" si="28"/>
        <v>65+</v>
      </c>
      <c r="G631" t="s">
        <v>19</v>
      </c>
      <c r="H631" t="s">
        <v>478</v>
      </c>
      <c r="I631">
        <v>39.270000000000003</v>
      </c>
      <c r="J631">
        <v>-76.83</v>
      </c>
      <c r="K631" t="s">
        <v>479</v>
      </c>
      <c r="L631" s="4">
        <v>57513</v>
      </c>
      <c r="M631" s="4">
        <v>11755</v>
      </c>
      <c r="N631" s="11">
        <f t="shared" si="27"/>
        <v>0.20438857301827412</v>
      </c>
      <c r="O631">
        <v>793</v>
      </c>
      <c r="P631" t="str">
        <f t="shared" si="29"/>
        <v>Very Good</v>
      </c>
      <c r="Q631">
        <v>5</v>
      </c>
    </row>
    <row r="632" spans="1:17" x14ac:dyDescent="0.3">
      <c r="A632">
        <v>630</v>
      </c>
      <c r="B632">
        <v>60</v>
      </c>
      <c r="C632">
        <v>66</v>
      </c>
      <c r="D632">
        <v>1959</v>
      </c>
      <c r="E632">
        <v>7</v>
      </c>
      <c r="F632" t="str">
        <f t="shared" si="28"/>
        <v>51-60</v>
      </c>
      <c r="G632" t="s">
        <v>19</v>
      </c>
      <c r="H632" t="s">
        <v>835</v>
      </c>
      <c r="I632">
        <v>30.33</v>
      </c>
      <c r="J632">
        <v>-81.650000000000006</v>
      </c>
      <c r="K632" t="s">
        <v>836</v>
      </c>
      <c r="L632" s="4">
        <v>39521</v>
      </c>
      <c r="M632" s="4">
        <v>61861</v>
      </c>
      <c r="N632" s="11">
        <f t="shared" si="27"/>
        <v>1.5652690974418664</v>
      </c>
      <c r="O632">
        <v>491</v>
      </c>
      <c r="P632" t="str">
        <f t="shared" si="29"/>
        <v>Poor</v>
      </c>
      <c r="Q632">
        <v>3</v>
      </c>
    </row>
    <row r="633" spans="1:17" x14ac:dyDescent="0.3">
      <c r="A633">
        <v>631</v>
      </c>
      <c r="B633">
        <v>83</v>
      </c>
      <c r="C633">
        <v>65</v>
      </c>
      <c r="D633">
        <v>1936</v>
      </c>
      <c r="E633">
        <v>5</v>
      </c>
      <c r="F633" t="str">
        <f t="shared" si="28"/>
        <v>65+</v>
      </c>
      <c r="G633" t="s">
        <v>14</v>
      </c>
      <c r="H633" t="s">
        <v>1897</v>
      </c>
      <c r="I633">
        <v>35.46</v>
      </c>
      <c r="J633">
        <v>-97.51</v>
      </c>
      <c r="K633" t="s">
        <v>1898</v>
      </c>
      <c r="L633" s="4">
        <v>33811</v>
      </c>
      <c r="M633" s="4">
        <v>2206</v>
      </c>
      <c r="N633" s="11">
        <f t="shared" si="27"/>
        <v>6.5245038596906335E-2</v>
      </c>
      <c r="O633">
        <v>682</v>
      </c>
      <c r="P633" t="str">
        <f t="shared" si="29"/>
        <v>Good</v>
      </c>
      <c r="Q633">
        <v>7</v>
      </c>
    </row>
    <row r="634" spans="1:17" x14ac:dyDescent="0.3">
      <c r="A634">
        <v>632</v>
      </c>
      <c r="B634">
        <v>20</v>
      </c>
      <c r="C634">
        <v>67</v>
      </c>
      <c r="D634">
        <v>1999</v>
      </c>
      <c r="E634">
        <v>12</v>
      </c>
      <c r="F634" t="str">
        <f t="shared" si="28"/>
        <v>18-25</v>
      </c>
      <c r="G634" t="s">
        <v>14</v>
      </c>
      <c r="H634" t="s">
        <v>1676</v>
      </c>
      <c r="I634">
        <v>40.119999999999997</v>
      </c>
      <c r="J634">
        <v>-102.72</v>
      </c>
      <c r="K634" t="s">
        <v>1677</v>
      </c>
      <c r="L634" s="4">
        <v>29040</v>
      </c>
      <c r="M634" s="4">
        <v>36331</v>
      </c>
      <c r="N634" s="11">
        <f t="shared" si="27"/>
        <v>1.2510674931129477</v>
      </c>
      <c r="O634">
        <v>703</v>
      </c>
      <c r="P634" t="str">
        <f t="shared" si="29"/>
        <v>Good</v>
      </c>
      <c r="Q634">
        <v>1</v>
      </c>
    </row>
    <row r="635" spans="1:17" x14ac:dyDescent="0.3">
      <c r="A635">
        <v>633</v>
      </c>
      <c r="B635">
        <v>36</v>
      </c>
      <c r="C635">
        <v>69</v>
      </c>
      <c r="D635">
        <v>1983</v>
      </c>
      <c r="E635">
        <v>10</v>
      </c>
      <c r="F635" t="str">
        <f t="shared" si="28"/>
        <v>36-50</v>
      </c>
      <c r="G635" t="s">
        <v>14</v>
      </c>
      <c r="H635" t="s">
        <v>92</v>
      </c>
      <c r="I635">
        <v>33.880000000000003</v>
      </c>
      <c r="J635">
        <v>-118.27</v>
      </c>
      <c r="K635" t="s">
        <v>93</v>
      </c>
      <c r="L635" s="4">
        <v>50179</v>
      </c>
      <c r="M635" s="4">
        <v>110515</v>
      </c>
      <c r="N635" s="11">
        <f t="shared" si="27"/>
        <v>2.2024153530361308</v>
      </c>
      <c r="O635">
        <v>743</v>
      </c>
      <c r="P635" t="str">
        <f t="shared" si="29"/>
        <v>Very Good</v>
      </c>
      <c r="Q635">
        <v>1</v>
      </c>
    </row>
    <row r="636" spans="1:17" x14ac:dyDescent="0.3">
      <c r="A636">
        <v>634</v>
      </c>
      <c r="B636">
        <v>49</v>
      </c>
      <c r="C636">
        <v>74</v>
      </c>
      <c r="D636">
        <v>1970</v>
      </c>
      <c r="E636">
        <v>8</v>
      </c>
      <c r="F636" t="str">
        <f t="shared" si="28"/>
        <v>36-50</v>
      </c>
      <c r="G636" t="s">
        <v>14</v>
      </c>
      <c r="H636" t="s">
        <v>1950</v>
      </c>
      <c r="I636">
        <v>41.38</v>
      </c>
      <c r="J636">
        <v>-81.64</v>
      </c>
      <c r="K636" t="s">
        <v>1951</v>
      </c>
      <c r="L636" s="4">
        <v>49079</v>
      </c>
      <c r="M636" s="4">
        <v>6494</v>
      </c>
      <c r="N636" s="11">
        <f t="shared" si="27"/>
        <v>0.1323172843782473</v>
      </c>
      <c r="O636">
        <v>683</v>
      </c>
      <c r="P636" t="str">
        <f t="shared" si="29"/>
        <v>Good</v>
      </c>
      <c r="Q636">
        <v>4</v>
      </c>
    </row>
    <row r="637" spans="1:17" x14ac:dyDescent="0.3">
      <c r="A637">
        <v>635</v>
      </c>
      <c r="B637">
        <v>25</v>
      </c>
      <c r="C637">
        <v>64</v>
      </c>
      <c r="D637">
        <v>1994</v>
      </c>
      <c r="E637">
        <v>7</v>
      </c>
      <c r="F637" t="str">
        <f t="shared" si="28"/>
        <v>18-25</v>
      </c>
      <c r="G637" t="s">
        <v>14</v>
      </c>
      <c r="H637" t="s">
        <v>1085</v>
      </c>
      <c r="I637">
        <v>40.76</v>
      </c>
      <c r="J637">
        <v>-74.03</v>
      </c>
      <c r="K637" t="s">
        <v>1086</v>
      </c>
      <c r="L637" s="4">
        <v>34201</v>
      </c>
      <c r="M637" s="4">
        <v>42895</v>
      </c>
      <c r="N637" s="11">
        <f t="shared" si="27"/>
        <v>1.2542030934767989</v>
      </c>
      <c r="O637">
        <v>731</v>
      </c>
      <c r="P637" t="str">
        <f t="shared" si="29"/>
        <v>Good</v>
      </c>
      <c r="Q637">
        <v>1</v>
      </c>
    </row>
    <row r="638" spans="1:17" x14ac:dyDescent="0.3">
      <c r="A638">
        <v>636</v>
      </c>
      <c r="B638">
        <v>47</v>
      </c>
      <c r="C638">
        <v>69</v>
      </c>
      <c r="D638">
        <v>1973</v>
      </c>
      <c r="E638">
        <v>2</v>
      </c>
      <c r="F638" t="str">
        <f t="shared" si="28"/>
        <v>36-50</v>
      </c>
      <c r="G638" t="s">
        <v>14</v>
      </c>
      <c r="H638" t="s">
        <v>625</v>
      </c>
      <c r="I638">
        <v>41.83</v>
      </c>
      <c r="J638">
        <v>-87.68</v>
      </c>
      <c r="K638" t="s">
        <v>626</v>
      </c>
      <c r="L638" s="4">
        <v>24372</v>
      </c>
      <c r="M638" s="4">
        <v>63295</v>
      </c>
      <c r="N638" s="11">
        <f t="shared" si="27"/>
        <v>2.5970375841129165</v>
      </c>
      <c r="O638">
        <v>793</v>
      </c>
      <c r="P638" t="str">
        <f t="shared" si="29"/>
        <v>Very Good</v>
      </c>
      <c r="Q638">
        <v>4</v>
      </c>
    </row>
    <row r="639" spans="1:17" x14ac:dyDescent="0.3">
      <c r="A639">
        <v>637</v>
      </c>
      <c r="B639">
        <v>42</v>
      </c>
      <c r="C639">
        <v>68</v>
      </c>
      <c r="D639">
        <v>1978</v>
      </c>
      <c r="E639">
        <v>2</v>
      </c>
      <c r="F639" t="str">
        <f t="shared" si="28"/>
        <v>36-50</v>
      </c>
      <c r="G639" t="s">
        <v>14</v>
      </c>
      <c r="H639" t="s">
        <v>654</v>
      </c>
      <c r="I639">
        <v>40.98</v>
      </c>
      <c r="J639">
        <v>-74.06</v>
      </c>
      <c r="K639" t="s">
        <v>655</v>
      </c>
      <c r="L639" s="4">
        <v>77288</v>
      </c>
      <c r="M639" s="4">
        <v>46160</v>
      </c>
      <c r="N639" s="11">
        <f t="shared" si="27"/>
        <v>0.59724666183624886</v>
      </c>
      <c r="O639">
        <v>771</v>
      </c>
      <c r="P639" t="str">
        <f t="shared" si="29"/>
        <v>Very Good</v>
      </c>
      <c r="Q639">
        <v>4</v>
      </c>
    </row>
    <row r="640" spans="1:17" x14ac:dyDescent="0.3">
      <c r="A640">
        <v>638</v>
      </c>
      <c r="B640">
        <v>65</v>
      </c>
      <c r="C640">
        <v>65</v>
      </c>
      <c r="D640">
        <v>1955</v>
      </c>
      <c r="E640">
        <v>2</v>
      </c>
      <c r="F640" t="str">
        <f t="shared" si="28"/>
        <v>51-60</v>
      </c>
      <c r="G640" t="s">
        <v>14</v>
      </c>
      <c r="H640" t="s">
        <v>1667</v>
      </c>
      <c r="I640">
        <v>41.54</v>
      </c>
      <c r="J640">
        <v>-96.13</v>
      </c>
      <c r="K640" t="s">
        <v>1668</v>
      </c>
      <c r="L640" s="4">
        <v>16889</v>
      </c>
      <c r="M640" s="4">
        <v>38489</v>
      </c>
      <c r="N640" s="11">
        <f t="shared" si="27"/>
        <v>2.2789389543489844</v>
      </c>
      <c r="O640">
        <v>679</v>
      </c>
      <c r="P640" t="str">
        <f t="shared" si="29"/>
        <v>Good</v>
      </c>
      <c r="Q640">
        <v>5</v>
      </c>
    </row>
    <row r="641" spans="1:17" x14ac:dyDescent="0.3">
      <c r="A641">
        <v>639</v>
      </c>
      <c r="B641">
        <v>55</v>
      </c>
      <c r="C641">
        <v>73</v>
      </c>
      <c r="D641">
        <v>1965</v>
      </c>
      <c r="E641">
        <v>2</v>
      </c>
      <c r="F641" t="str">
        <f t="shared" si="28"/>
        <v>51-60</v>
      </c>
      <c r="G641" t="s">
        <v>14</v>
      </c>
      <c r="H641" t="s">
        <v>578</v>
      </c>
      <c r="I641">
        <v>41.12</v>
      </c>
      <c r="J641">
        <v>-83.01</v>
      </c>
      <c r="K641" t="s">
        <v>579</v>
      </c>
      <c r="L641" s="4">
        <v>37645</v>
      </c>
      <c r="M641" s="4">
        <v>46298</v>
      </c>
      <c r="N641" s="11">
        <f t="shared" si="27"/>
        <v>1.2298578828529685</v>
      </c>
      <c r="O641">
        <v>654</v>
      </c>
      <c r="P641" t="str">
        <f t="shared" si="29"/>
        <v>Fair</v>
      </c>
      <c r="Q641">
        <v>4</v>
      </c>
    </row>
    <row r="642" spans="1:17" x14ac:dyDescent="0.3">
      <c r="A642">
        <v>640</v>
      </c>
      <c r="B642">
        <v>29</v>
      </c>
      <c r="C642">
        <v>63</v>
      </c>
      <c r="D642">
        <v>1990</v>
      </c>
      <c r="E642">
        <v>9</v>
      </c>
      <c r="F642" t="str">
        <f t="shared" si="28"/>
        <v>26-35</v>
      </c>
      <c r="G642" t="s">
        <v>14</v>
      </c>
      <c r="H642" t="s">
        <v>27</v>
      </c>
      <c r="I642">
        <v>40.42</v>
      </c>
      <c r="J642">
        <v>-104.74</v>
      </c>
      <c r="K642" t="s">
        <v>28</v>
      </c>
      <c r="L642" s="4">
        <v>45727</v>
      </c>
      <c r="M642" s="4">
        <v>94016</v>
      </c>
      <c r="N642" s="11">
        <f t="shared" ref="N642:N705" si="30">(M642/L642)</f>
        <v>2.0560281671660068</v>
      </c>
      <c r="O642">
        <v>629</v>
      </c>
      <c r="P642" t="str">
        <f t="shared" si="29"/>
        <v>Fair</v>
      </c>
      <c r="Q642">
        <v>1</v>
      </c>
    </row>
    <row r="643" spans="1:17" x14ac:dyDescent="0.3">
      <c r="A643">
        <v>641</v>
      </c>
      <c r="B643">
        <v>62</v>
      </c>
      <c r="C643">
        <v>68</v>
      </c>
      <c r="D643">
        <v>1957</v>
      </c>
      <c r="E643">
        <v>11</v>
      </c>
      <c r="F643" t="str">
        <f t="shared" ref="F643:F706" si="31">IF(B643&lt;26,"18-25",
   IF(B643&lt;36,"26-35",
   IF(B643&lt;51,"36-50",
   IF(B643&lt;66,"51-60","65+"))))</f>
        <v>51-60</v>
      </c>
      <c r="G643" t="s">
        <v>19</v>
      </c>
      <c r="H643" t="s">
        <v>881</v>
      </c>
      <c r="I643">
        <v>39.979999999999997</v>
      </c>
      <c r="J643">
        <v>-82.98</v>
      </c>
      <c r="K643" t="s">
        <v>874</v>
      </c>
      <c r="L643" s="4">
        <v>37556</v>
      </c>
      <c r="M643" s="4">
        <v>0</v>
      </c>
      <c r="N643" s="11">
        <f t="shared" si="30"/>
        <v>0</v>
      </c>
      <c r="O643">
        <v>735</v>
      </c>
      <c r="P643" t="str">
        <f t="shared" ref="P643:P706" si="32">IF(O643&lt;580,"Poor",
   IF(O643&lt;670,"Fair",
   IF(O643&lt;740,"Good",
   IF(O643&lt;800,"Very Good","Excellent"))))</f>
        <v>Good</v>
      </c>
      <c r="Q643">
        <v>6</v>
      </c>
    </row>
    <row r="644" spans="1:17" x14ac:dyDescent="0.3">
      <c r="A644">
        <v>642</v>
      </c>
      <c r="B644">
        <v>35</v>
      </c>
      <c r="C644">
        <v>62</v>
      </c>
      <c r="D644">
        <v>1984</v>
      </c>
      <c r="E644">
        <v>5</v>
      </c>
      <c r="F644" t="str">
        <f t="shared" si="31"/>
        <v>26-35</v>
      </c>
      <c r="G644" t="s">
        <v>14</v>
      </c>
      <c r="H644" t="s">
        <v>1065</v>
      </c>
      <c r="I644">
        <v>33.11</v>
      </c>
      <c r="J644">
        <v>-94.16</v>
      </c>
      <c r="K644" t="s">
        <v>1066</v>
      </c>
      <c r="L644" s="4">
        <v>34143</v>
      </c>
      <c r="M644" s="4">
        <v>49839</v>
      </c>
      <c r="N644" s="11">
        <f t="shared" si="30"/>
        <v>1.4597135576838591</v>
      </c>
      <c r="O644">
        <v>648</v>
      </c>
      <c r="P644" t="str">
        <f t="shared" si="32"/>
        <v>Fair</v>
      </c>
      <c r="Q644">
        <v>4</v>
      </c>
    </row>
    <row r="645" spans="1:17" x14ac:dyDescent="0.3">
      <c r="A645">
        <v>643</v>
      </c>
      <c r="B645">
        <v>29</v>
      </c>
      <c r="C645">
        <v>65</v>
      </c>
      <c r="D645">
        <v>1991</v>
      </c>
      <c r="E645">
        <v>1</v>
      </c>
      <c r="F645" t="str">
        <f t="shared" si="31"/>
        <v>26-35</v>
      </c>
      <c r="G645" t="s">
        <v>14</v>
      </c>
      <c r="H645" t="s">
        <v>82</v>
      </c>
      <c r="I645">
        <v>40.69</v>
      </c>
      <c r="J645">
        <v>-73.75</v>
      </c>
      <c r="K645" t="s">
        <v>83</v>
      </c>
      <c r="L645" s="4">
        <v>43397</v>
      </c>
      <c r="M645" s="4">
        <v>42168</v>
      </c>
      <c r="N645" s="11">
        <f t="shared" si="30"/>
        <v>0.97168007005092516</v>
      </c>
      <c r="O645">
        <v>697</v>
      </c>
      <c r="P645" t="str">
        <f t="shared" si="32"/>
        <v>Good</v>
      </c>
      <c r="Q645">
        <v>2</v>
      </c>
    </row>
    <row r="646" spans="1:17" x14ac:dyDescent="0.3">
      <c r="A646">
        <v>644</v>
      </c>
      <c r="B646">
        <v>58</v>
      </c>
      <c r="C646">
        <v>65</v>
      </c>
      <c r="D646">
        <v>1961</v>
      </c>
      <c r="E646">
        <v>3</v>
      </c>
      <c r="F646" t="str">
        <f t="shared" si="31"/>
        <v>51-60</v>
      </c>
      <c r="G646" t="s">
        <v>14</v>
      </c>
      <c r="H646" t="s">
        <v>212</v>
      </c>
      <c r="I646">
        <v>34.42</v>
      </c>
      <c r="J646">
        <v>-84.11</v>
      </c>
      <c r="K646" t="s">
        <v>213</v>
      </c>
      <c r="L646" s="4">
        <v>41963</v>
      </c>
      <c r="M646" s="4">
        <v>53857</v>
      </c>
      <c r="N646" s="11">
        <f t="shared" si="30"/>
        <v>1.2834401734861665</v>
      </c>
      <c r="O646">
        <v>741</v>
      </c>
      <c r="P646" t="str">
        <f t="shared" si="32"/>
        <v>Very Good</v>
      </c>
      <c r="Q646">
        <v>1</v>
      </c>
    </row>
    <row r="647" spans="1:17" x14ac:dyDescent="0.3">
      <c r="A647">
        <v>645</v>
      </c>
      <c r="B647">
        <v>63</v>
      </c>
      <c r="C647">
        <v>64</v>
      </c>
      <c r="D647">
        <v>1957</v>
      </c>
      <c r="E647">
        <v>2</v>
      </c>
      <c r="F647" t="str">
        <f t="shared" si="31"/>
        <v>51-60</v>
      </c>
      <c r="G647" t="s">
        <v>14</v>
      </c>
      <c r="H647" t="s">
        <v>182</v>
      </c>
      <c r="I647">
        <v>33.909999999999997</v>
      </c>
      <c r="J647">
        <v>-118.23</v>
      </c>
      <c r="K647" t="s">
        <v>183</v>
      </c>
      <c r="L647" s="4">
        <v>26661</v>
      </c>
      <c r="M647" s="4">
        <v>42667</v>
      </c>
      <c r="N647" s="11">
        <f t="shared" si="30"/>
        <v>1.600352574922171</v>
      </c>
      <c r="O647">
        <v>750</v>
      </c>
      <c r="P647" t="str">
        <f t="shared" si="32"/>
        <v>Very Good</v>
      </c>
      <c r="Q647">
        <v>5</v>
      </c>
    </row>
    <row r="648" spans="1:17" x14ac:dyDescent="0.3">
      <c r="A648">
        <v>646</v>
      </c>
      <c r="B648">
        <v>38</v>
      </c>
      <c r="C648">
        <v>65</v>
      </c>
      <c r="D648">
        <v>1981</v>
      </c>
      <c r="E648">
        <v>12</v>
      </c>
      <c r="F648" t="str">
        <f t="shared" si="31"/>
        <v>36-50</v>
      </c>
      <c r="G648" t="s">
        <v>14</v>
      </c>
      <c r="H648" t="s">
        <v>1894</v>
      </c>
      <c r="I648">
        <v>41.47</v>
      </c>
      <c r="J648">
        <v>-81.67</v>
      </c>
      <c r="K648" t="s">
        <v>48</v>
      </c>
      <c r="L648" s="4">
        <v>43634</v>
      </c>
      <c r="M648" s="4">
        <v>73037</v>
      </c>
      <c r="N648" s="11">
        <f t="shared" si="30"/>
        <v>1.6738552504927351</v>
      </c>
      <c r="O648">
        <v>786</v>
      </c>
      <c r="P648" t="str">
        <f t="shared" si="32"/>
        <v>Very Good</v>
      </c>
      <c r="Q648">
        <v>3</v>
      </c>
    </row>
    <row r="649" spans="1:17" x14ac:dyDescent="0.3">
      <c r="A649">
        <v>647</v>
      </c>
      <c r="B649">
        <v>31</v>
      </c>
      <c r="C649">
        <v>72</v>
      </c>
      <c r="D649">
        <v>1988</v>
      </c>
      <c r="E649">
        <v>7</v>
      </c>
      <c r="F649" t="str">
        <f t="shared" si="31"/>
        <v>26-35</v>
      </c>
      <c r="G649" t="s">
        <v>14</v>
      </c>
      <c r="H649" t="s">
        <v>1979</v>
      </c>
      <c r="I649">
        <v>36.520000000000003</v>
      </c>
      <c r="J649">
        <v>-119.39</v>
      </c>
      <c r="K649" t="s">
        <v>1278</v>
      </c>
      <c r="L649" s="4">
        <v>26900</v>
      </c>
      <c r="M649" s="4">
        <v>74083</v>
      </c>
      <c r="N649" s="11">
        <f t="shared" si="30"/>
        <v>2.7540148698884757</v>
      </c>
      <c r="O649">
        <v>758</v>
      </c>
      <c r="P649" t="str">
        <f t="shared" si="32"/>
        <v>Very Good</v>
      </c>
      <c r="Q649">
        <v>2</v>
      </c>
    </row>
    <row r="650" spans="1:17" x14ac:dyDescent="0.3">
      <c r="A650">
        <v>648</v>
      </c>
      <c r="B650">
        <v>40</v>
      </c>
      <c r="C650">
        <v>61</v>
      </c>
      <c r="D650">
        <v>1980</v>
      </c>
      <c r="E650">
        <v>2</v>
      </c>
      <c r="F650" t="str">
        <f t="shared" si="31"/>
        <v>36-50</v>
      </c>
      <c r="G650" t="s">
        <v>14</v>
      </c>
      <c r="H650" t="s">
        <v>913</v>
      </c>
      <c r="I650">
        <v>32.78</v>
      </c>
      <c r="J650">
        <v>-108.26</v>
      </c>
      <c r="K650" t="s">
        <v>914</v>
      </c>
      <c r="L650" s="4">
        <v>29854</v>
      </c>
      <c r="M650" s="4">
        <v>66044</v>
      </c>
      <c r="N650" s="11">
        <f t="shared" si="30"/>
        <v>2.2122328666175388</v>
      </c>
      <c r="O650">
        <v>674</v>
      </c>
      <c r="P650" t="str">
        <f t="shared" si="32"/>
        <v>Good</v>
      </c>
      <c r="Q650">
        <v>3</v>
      </c>
    </row>
    <row r="651" spans="1:17" x14ac:dyDescent="0.3">
      <c r="A651">
        <v>649</v>
      </c>
      <c r="B651">
        <v>48</v>
      </c>
      <c r="C651">
        <v>65</v>
      </c>
      <c r="D651">
        <v>1971</v>
      </c>
      <c r="E651">
        <v>9</v>
      </c>
      <c r="F651" t="str">
        <f t="shared" si="31"/>
        <v>36-50</v>
      </c>
      <c r="G651" t="s">
        <v>19</v>
      </c>
      <c r="H651" t="s">
        <v>1189</v>
      </c>
      <c r="I651">
        <v>41.5</v>
      </c>
      <c r="J651">
        <v>-74.02</v>
      </c>
      <c r="K651" t="s">
        <v>1190</v>
      </c>
      <c r="L651" s="4">
        <v>46408</v>
      </c>
      <c r="M651" s="4">
        <v>0</v>
      </c>
      <c r="N651" s="11">
        <f t="shared" si="30"/>
        <v>0</v>
      </c>
      <c r="O651">
        <v>847</v>
      </c>
      <c r="P651" t="str">
        <f t="shared" si="32"/>
        <v>Excellent</v>
      </c>
      <c r="Q651">
        <v>7</v>
      </c>
    </row>
    <row r="652" spans="1:17" x14ac:dyDescent="0.3">
      <c r="A652">
        <v>650</v>
      </c>
      <c r="B652">
        <v>45</v>
      </c>
      <c r="C652">
        <v>65</v>
      </c>
      <c r="D652">
        <v>1974</v>
      </c>
      <c r="E652">
        <v>8</v>
      </c>
      <c r="F652" t="str">
        <f t="shared" si="31"/>
        <v>36-50</v>
      </c>
      <c r="G652" t="s">
        <v>19</v>
      </c>
      <c r="H652" t="s">
        <v>216</v>
      </c>
      <c r="I652">
        <v>32.75</v>
      </c>
      <c r="J652">
        <v>-97.33</v>
      </c>
      <c r="K652" t="s">
        <v>217</v>
      </c>
      <c r="L652" s="4">
        <v>24215</v>
      </c>
      <c r="M652" s="4">
        <v>28552</v>
      </c>
      <c r="N652" s="11">
        <f t="shared" si="30"/>
        <v>1.1791038612430311</v>
      </c>
      <c r="O652">
        <v>707</v>
      </c>
      <c r="P652" t="str">
        <f t="shared" si="32"/>
        <v>Good</v>
      </c>
      <c r="Q652">
        <v>6</v>
      </c>
    </row>
    <row r="653" spans="1:17" x14ac:dyDescent="0.3">
      <c r="A653">
        <v>651</v>
      </c>
      <c r="B653">
        <v>53</v>
      </c>
      <c r="C653">
        <v>66</v>
      </c>
      <c r="D653">
        <v>1966</v>
      </c>
      <c r="E653">
        <v>5</v>
      </c>
      <c r="F653" t="str">
        <f t="shared" si="31"/>
        <v>51-60</v>
      </c>
      <c r="G653" t="s">
        <v>14</v>
      </c>
      <c r="H653" t="s">
        <v>1295</v>
      </c>
      <c r="I653">
        <v>38.56</v>
      </c>
      <c r="J653">
        <v>-76.069999999999993</v>
      </c>
      <c r="K653" t="s">
        <v>1296</v>
      </c>
      <c r="L653" s="4">
        <v>34361</v>
      </c>
      <c r="M653" s="4">
        <v>41375</v>
      </c>
      <c r="N653" s="11">
        <f t="shared" si="30"/>
        <v>1.2041267716306276</v>
      </c>
      <c r="O653">
        <v>643</v>
      </c>
      <c r="P653" t="str">
        <f t="shared" si="32"/>
        <v>Fair</v>
      </c>
      <c r="Q653">
        <v>1</v>
      </c>
    </row>
    <row r="654" spans="1:17" x14ac:dyDescent="0.3">
      <c r="A654">
        <v>652</v>
      </c>
      <c r="B654">
        <v>82</v>
      </c>
      <c r="C654">
        <v>66</v>
      </c>
      <c r="D654">
        <v>1937</v>
      </c>
      <c r="E654">
        <v>9</v>
      </c>
      <c r="F654" t="str">
        <f t="shared" si="31"/>
        <v>65+</v>
      </c>
      <c r="G654" t="s">
        <v>14</v>
      </c>
      <c r="H654" t="s">
        <v>1165</v>
      </c>
      <c r="I654">
        <v>41.76</v>
      </c>
      <c r="J654">
        <v>-72.61</v>
      </c>
      <c r="K654" t="s">
        <v>1166</v>
      </c>
      <c r="L654" s="4">
        <v>22726</v>
      </c>
      <c r="M654" s="4">
        <v>1692</v>
      </c>
      <c r="N654" s="11">
        <f t="shared" si="30"/>
        <v>7.4452169321482006E-2</v>
      </c>
      <c r="O654">
        <v>784</v>
      </c>
      <c r="P654" t="str">
        <f t="shared" si="32"/>
        <v>Very Good</v>
      </c>
      <c r="Q654">
        <v>6</v>
      </c>
    </row>
    <row r="655" spans="1:17" x14ac:dyDescent="0.3">
      <c r="A655">
        <v>653</v>
      </c>
      <c r="B655">
        <v>19</v>
      </c>
      <c r="C655">
        <v>65</v>
      </c>
      <c r="D655">
        <v>2001</v>
      </c>
      <c r="E655">
        <v>2</v>
      </c>
      <c r="F655" t="str">
        <f t="shared" si="31"/>
        <v>18-25</v>
      </c>
      <c r="G655" t="s">
        <v>14</v>
      </c>
      <c r="H655" t="s">
        <v>958</v>
      </c>
      <c r="I655">
        <v>41.64</v>
      </c>
      <c r="J655">
        <v>-71</v>
      </c>
      <c r="K655" t="s">
        <v>959</v>
      </c>
      <c r="L655" s="4">
        <v>51601</v>
      </c>
      <c r="M655" s="4">
        <v>79143</v>
      </c>
      <c r="N655" s="11">
        <f t="shared" si="30"/>
        <v>1.5337493459429081</v>
      </c>
      <c r="O655">
        <v>745</v>
      </c>
      <c r="P655" t="str">
        <f t="shared" si="32"/>
        <v>Very Good</v>
      </c>
      <c r="Q655">
        <v>1</v>
      </c>
    </row>
    <row r="656" spans="1:17" x14ac:dyDescent="0.3">
      <c r="A656">
        <v>654</v>
      </c>
      <c r="B656">
        <v>47</v>
      </c>
      <c r="C656">
        <v>69</v>
      </c>
      <c r="D656">
        <v>1972</v>
      </c>
      <c r="E656">
        <v>7</v>
      </c>
      <c r="F656" t="str">
        <f t="shared" si="31"/>
        <v>36-50</v>
      </c>
      <c r="G656" t="s">
        <v>14</v>
      </c>
      <c r="H656" t="s">
        <v>1223</v>
      </c>
      <c r="I656">
        <v>39.14</v>
      </c>
      <c r="J656">
        <v>-81.78</v>
      </c>
      <c r="K656" t="s">
        <v>1224</v>
      </c>
      <c r="L656" s="4">
        <v>33883</v>
      </c>
      <c r="M656" s="4">
        <v>50616</v>
      </c>
      <c r="N656" s="11">
        <f t="shared" si="30"/>
        <v>1.4938464716819644</v>
      </c>
      <c r="O656">
        <v>524</v>
      </c>
      <c r="P656" t="str">
        <f t="shared" si="32"/>
        <v>Poor</v>
      </c>
      <c r="Q656">
        <v>1</v>
      </c>
    </row>
    <row r="657" spans="1:17" x14ac:dyDescent="0.3">
      <c r="A657">
        <v>655</v>
      </c>
      <c r="B657">
        <v>49</v>
      </c>
      <c r="C657">
        <v>66</v>
      </c>
      <c r="D657">
        <v>1970</v>
      </c>
      <c r="E657">
        <v>3</v>
      </c>
      <c r="F657" t="str">
        <f t="shared" si="31"/>
        <v>36-50</v>
      </c>
      <c r="G657" t="s">
        <v>14</v>
      </c>
      <c r="H657" t="s">
        <v>1432</v>
      </c>
      <c r="I657">
        <v>41.44</v>
      </c>
      <c r="J657">
        <v>-82.18</v>
      </c>
      <c r="K657" t="s">
        <v>1433</v>
      </c>
      <c r="L657" s="4">
        <v>30340</v>
      </c>
      <c r="M657" s="4">
        <v>64661</v>
      </c>
      <c r="N657" s="11">
        <f t="shared" si="30"/>
        <v>2.1312129202373105</v>
      </c>
      <c r="O657">
        <v>552</v>
      </c>
      <c r="P657" t="str">
        <f t="shared" si="32"/>
        <v>Poor</v>
      </c>
      <c r="Q657">
        <v>3</v>
      </c>
    </row>
    <row r="658" spans="1:17" x14ac:dyDescent="0.3">
      <c r="A658">
        <v>656</v>
      </c>
      <c r="B658">
        <v>61</v>
      </c>
      <c r="C658">
        <v>64</v>
      </c>
      <c r="D658">
        <v>1958</v>
      </c>
      <c r="E658">
        <v>5</v>
      </c>
      <c r="F658" t="str">
        <f t="shared" si="31"/>
        <v>51-60</v>
      </c>
      <c r="G658" t="s">
        <v>14</v>
      </c>
      <c r="H658" t="s">
        <v>1576</v>
      </c>
      <c r="I658">
        <v>35.06</v>
      </c>
      <c r="J658">
        <v>-85.09</v>
      </c>
      <c r="K658" t="s">
        <v>1577</v>
      </c>
      <c r="L658" s="4">
        <v>52633</v>
      </c>
      <c r="M658" s="4">
        <v>137109</v>
      </c>
      <c r="N658" s="11">
        <f t="shared" si="30"/>
        <v>2.6050006649820454</v>
      </c>
      <c r="O658">
        <v>704</v>
      </c>
      <c r="P658" t="str">
        <f t="shared" si="32"/>
        <v>Good</v>
      </c>
      <c r="Q658">
        <v>1</v>
      </c>
    </row>
    <row r="659" spans="1:17" x14ac:dyDescent="0.3">
      <c r="A659">
        <v>657</v>
      </c>
      <c r="B659">
        <v>83</v>
      </c>
      <c r="C659">
        <v>68</v>
      </c>
      <c r="D659">
        <v>1936</v>
      </c>
      <c r="E659">
        <v>11</v>
      </c>
      <c r="F659" t="str">
        <f t="shared" si="31"/>
        <v>65+</v>
      </c>
      <c r="G659" t="s">
        <v>14</v>
      </c>
      <c r="H659" t="s">
        <v>286</v>
      </c>
      <c r="I659">
        <v>44.45</v>
      </c>
      <c r="J659">
        <v>-95.78</v>
      </c>
      <c r="K659" t="s">
        <v>287</v>
      </c>
      <c r="L659" s="4">
        <v>33897</v>
      </c>
      <c r="M659" s="4">
        <v>533</v>
      </c>
      <c r="N659" s="11">
        <f t="shared" si="30"/>
        <v>1.5724105378057057E-2</v>
      </c>
      <c r="O659">
        <v>705</v>
      </c>
      <c r="P659" t="str">
        <f t="shared" si="32"/>
        <v>Good</v>
      </c>
      <c r="Q659">
        <v>4</v>
      </c>
    </row>
    <row r="660" spans="1:17" x14ac:dyDescent="0.3">
      <c r="A660">
        <v>658</v>
      </c>
      <c r="B660">
        <v>40</v>
      </c>
      <c r="C660">
        <v>64</v>
      </c>
      <c r="D660">
        <v>1980</v>
      </c>
      <c r="E660">
        <v>2</v>
      </c>
      <c r="F660" t="str">
        <f t="shared" si="31"/>
        <v>36-50</v>
      </c>
      <c r="G660" t="s">
        <v>14</v>
      </c>
      <c r="H660" t="s">
        <v>1100</v>
      </c>
      <c r="I660">
        <v>29.67</v>
      </c>
      <c r="J660">
        <v>-82.33</v>
      </c>
      <c r="K660" t="s">
        <v>1101</v>
      </c>
      <c r="L660" s="4">
        <v>52630</v>
      </c>
      <c r="M660" s="4">
        <v>68559</v>
      </c>
      <c r="N660" s="11">
        <f t="shared" si="30"/>
        <v>1.3026600798023942</v>
      </c>
      <c r="O660">
        <v>725</v>
      </c>
      <c r="P660" t="str">
        <f t="shared" si="32"/>
        <v>Good</v>
      </c>
      <c r="Q660">
        <v>4</v>
      </c>
    </row>
    <row r="661" spans="1:17" x14ac:dyDescent="0.3">
      <c r="A661">
        <v>659</v>
      </c>
      <c r="B661">
        <v>57</v>
      </c>
      <c r="C661">
        <v>67</v>
      </c>
      <c r="D661">
        <v>1962</v>
      </c>
      <c r="E661">
        <v>5</v>
      </c>
      <c r="F661" t="str">
        <f t="shared" si="31"/>
        <v>51-60</v>
      </c>
      <c r="G661" t="s">
        <v>19</v>
      </c>
      <c r="H661" t="s">
        <v>508</v>
      </c>
      <c r="I661">
        <v>38.729999999999997</v>
      </c>
      <c r="J661">
        <v>-86.47</v>
      </c>
      <c r="K661" t="s">
        <v>509</v>
      </c>
      <c r="L661" s="4">
        <v>32583</v>
      </c>
      <c r="M661" s="4">
        <v>12501</v>
      </c>
      <c r="N661" s="11">
        <f t="shared" si="30"/>
        <v>0.38366632906730502</v>
      </c>
      <c r="O661">
        <v>812</v>
      </c>
      <c r="P661" t="str">
        <f t="shared" si="32"/>
        <v>Excellent</v>
      </c>
      <c r="Q661">
        <v>7</v>
      </c>
    </row>
    <row r="662" spans="1:17" x14ac:dyDescent="0.3">
      <c r="A662">
        <v>660</v>
      </c>
      <c r="B662">
        <v>31</v>
      </c>
      <c r="C662">
        <v>68</v>
      </c>
      <c r="D662">
        <v>1988</v>
      </c>
      <c r="E662">
        <v>9</v>
      </c>
      <c r="F662" t="str">
        <f t="shared" si="31"/>
        <v>26-35</v>
      </c>
      <c r="G662" t="s">
        <v>14</v>
      </c>
      <c r="H662" t="s">
        <v>1323</v>
      </c>
      <c r="I662">
        <v>37.549999999999997</v>
      </c>
      <c r="J662">
        <v>-77.459999999999994</v>
      </c>
      <c r="K662" t="s">
        <v>771</v>
      </c>
      <c r="L662" s="4">
        <v>44041</v>
      </c>
      <c r="M662" s="4">
        <v>109159</v>
      </c>
      <c r="N662" s="11">
        <f t="shared" si="30"/>
        <v>2.47857678072705</v>
      </c>
      <c r="O662">
        <v>680</v>
      </c>
      <c r="P662" t="str">
        <f t="shared" si="32"/>
        <v>Good</v>
      </c>
      <c r="Q662">
        <v>2</v>
      </c>
    </row>
    <row r="663" spans="1:17" x14ac:dyDescent="0.3">
      <c r="A663">
        <v>661</v>
      </c>
      <c r="B663">
        <v>64</v>
      </c>
      <c r="C663">
        <v>67</v>
      </c>
      <c r="D663">
        <v>1956</v>
      </c>
      <c r="E663">
        <v>1</v>
      </c>
      <c r="F663" t="str">
        <f t="shared" si="31"/>
        <v>51-60</v>
      </c>
      <c r="G663" t="s">
        <v>19</v>
      </c>
      <c r="H663" t="s">
        <v>1340</v>
      </c>
      <c r="I663">
        <v>40.68</v>
      </c>
      <c r="J663">
        <v>-75.22</v>
      </c>
      <c r="K663" t="s">
        <v>1341</v>
      </c>
      <c r="L663" s="4">
        <v>42831</v>
      </c>
      <c r="M663" s="4">
        <v>59948</v>
      </c>
      <c r="N663" s="11">
        <f t="shared" si="30"/>
        <v>1.3996404473395438</v>
      </c>
      <c r="O663">
        <v>566</v>
      </c>
      <c r="P663" t="str">
        <f t="shared" si="32"/>
        <v>Poor</v>
      </c>
      <c r="Q663">
        <v>3</v>
      </c>
    </row>
    <row r="664" spans="1:17" x14ac:dyDescent="0.3">
      <c r="A664">
        <v>662</v>
      </c>
      <c r="B664">
        <v>32</v>
      </c>
      <c r="C664">
        <v>71</v>
      </c>
      <c r="D664">
        <v>1987</v>
      </c>
      <c r="E664">
        <v>11</v>
      </c>
      <c r="F664" t="str">
        <f t="shared" si="31"/>
        <v>26-35</v>
      </c>
      <c r="G664" t="s">
        <v>14</v>
      </c>
      <c r="H664" t="s">
        <v>421</v>
      </c>
      <c r="I664">
        <v>41.86</v>
      </c>
      <c r="J664">
        <v>-88.06</v>
      </c>
      <c r="K664" t="s">
        <v>422</v>
      </c>
      <c r="L664" s="4">
        <v>85694</v>
      </c>
      <c r="M664" s="4">
        <v>120733</v>
      </c>
      <c r="N664" s="11">
        <f t="shared" si="30"/>
        <v>1.4088851028076645</v>
      </c>
      <c r="O664">
        <v>822</v>
      </c>
      <c r="P664" t="str">
        <f t="shared" si="32"/>
        <v>Excellent</v>
      </c>
      <c r="Q664">
        <v>2</v>
      </c>
    </row>
    <row r="665" spans="1:17" x14ac:dyDescent="0.3">
      <c r="A665">
        <v>663</v>
      </c>
      <c r="B665">
        <v>68</v>
      </c>
      <c r="C665">
        <v>63</v>
      </c>
      <c r="D665">
        <v>1951</v>
      </c>
      <c r="E665">
        <v>3</v>
      </c>
      <c r="F665" t="str">
        <f t="shared" si="31"/>
        <v>65+</v>
      </c>
      <c r="G665" t="s">
        <v>14</v>
      </c>
      <c r="H665" t="s">
        <v>168</v>
      </c>
      <c r="I665">
        <v>35.92</v>
      </c>
      <c r="J665">
        <v>-86.84</v>
      </c>
      <c r="K665" t="s">
        <v>169</v>
      </c>
      <c r="L665" s="4">
        <v>70554</v>
      </c>
      <c r="M665" s="4">
        <v>39078</v>
      </c>
      <c r="N665" s="11">
        <f t="shared" si="30"/>
        <v>0.55387362870992429</v>
      </c>
      <c r="O665">
        <v>655</v>
      </c>
      <c r="P665" t="str">
        <f t="shared" si="32"/>
        <v>Fair</v>
      </c>
      <c r="Q665">
        <v>5</v>
      </c>
    </row>
    <row r="666" spans="1:17" x14ac:dyDescent="0.3">
      <c r="A666">
        <v>664</v>
      </c>
      <c r="B666">
        <v>22</v>
      </c>
      <c r="C666">
        <v>68</v>
      </c>
      <c r="D666">
        <v>1997</v>
      </c>
      <c r="E666">
        <v>4</v>
      </c>
      <c r="F666" t="str">
        <f t="shared" si="31"/>
        <v>18-25</v>
      </c>
      <c r="G666" t="s">
        <v>14</v>
      </c>
      <c r="H666" t="s">
        <v>320</v>
      </c>
      <c r="I666">
        <v>40.86</v>
      </c>
      <c r="J666">
        <v>-76.78</v>
      </c>
      <c r="K666" t="s">
        <v>321</v>
      </c>
      <c r="L666" s="4">
        <v>33681</v>
      </c>
      <c r="M666" s="4">
        <v>78326</v>
      </c>
      <c r="N666" s="11">
        <f t="shared" si="30"/>
        <v>2.3255247765802678</v>
      </c>
      <c r="O666">
        <v>697</v>
      </c>
      <c r="P666" t="str">
        <f t="shared" si="32"/>
        <v>Good</v>
      </c>
      <c r="Q666">
        <v>2</v>
      </c>
    </row>
    <row r="667" spans="1:17" x14ac:dyDescent="0.3">
      <c r="A667">
        <v>665</v>
      </c>
      <c r="B667">
        <v>81</v>
      </c>
      <c r="C667">
        <v>65</v>
      </c>
      <c r="D667">
        <v>1939</v>
      </c>
      <c r="E667">
        <v>1</v>
      </c>
      <c r="F667" t="str">
        <f t="shared" si="31"/>
        <v>65+</v>
      </c>
      <c r="G667" t="s">
        <v>14</v>
      </c>
      <c r="H667" t="s">
        <v>840</v>
      </c>
      <c r="I667">
        <v>41.23</v>
      </c>
      <c r="J667">
        <v>-80.81</v>
      </c>
      <c r="K667" t="s">
        <v>841</v>
      </c>
      <c r="L667" s="4">
        <v>11613</v>
      </c>
      <c r="M667" s="4">
        <v>427</v>
      </c>
      <c r="N667" s="11">
        <f t="shared" si="30"/>
        <v>3.6769138034960819E-2</v>
      </c>
      <c r="O667">
        <v>790</v>
      </c>
      <c r="P667" t="str">
        <f t="shared" si="32"/>
        <v>Very Good</v>
      </c>
      <c r="Q667">
        <v>8</v>
      </c>
    </row>
    <row r="668" spans="1:17" x14ac:dyDescent="0.3">
      <c r="A668">
        <v>666</v>
      </c>
      <c r="B668">
        <v>57</v>
      </c>
      <c r="C668">
        <v>56</v>
      </c>
      <c r="D668">
        <v>1963</v>
      </c>
      <c r="E668">
        <v>2</v>
      </c>
      <c r="F668" t="str">
        <f t="shared" si="31"/>
        <v>51-60</v>
      </c>
      <c r="G668" t="s">
        <v>19</v>
      </c>
      <c r="H668" t="s">
        <v>574</v>
      </c>
      <c r="I668">
        <v>35.85</v>
      </c>
      <c r="J668">
        <v>-86.39</v>
      </c>
      <c r="K668" t="s">
        <v>575</v>
      </c>
      <c r="L668" s="4">
        <v>36282</v>
      </c>
      <c r="M668" s="4">
        <v>14141</v>
      </c>
      <c r="N668" s="11">
        <f t="shared" si="30"/>
        <v>0.38975249434981535</v>
      </c>
      <c r="O668">
        <v>725</v>
      </c>
      <c r="P668" t="str">
        <f t="shared" si="32"/>
        <v>Good</v>
      </c>
      <c r="Q668">
        <v>1</v>
      </c>
    </row>
    <row r="669" spans="1:17" x14ac:dyDescent="0.3">
      <c r="A669">
        <v>667</v>
      </c>
      <c r="B669">
        <v>83</v>
      </c>
      <c r="C669">
        <v>63</v>
      </c>
      <c r="D669">
        <v>1936</v>
      </c>
      <c r="E669">
        <v>3</v>
      </c>
      <c r="F669" t="str">
        <f t="shared" si="31"/>
        <v>65+</v>
      </c>
      <c r="G669" t="s">
        <v>19</v>
      </c>
      <c r="H669" t="s">
        <v>922</v>
      </c>
      <c r="I669">
        <v>35.979999999999997</v>
      </c>
      <c r="J669">
        <v>-78.91</v>
      </c>
      <c r="K669" t="s">
        <v>923</v>
      </c>
      <c r="L669" s="4">
        <v>41763</v>
      </c>
      <c r="M669" s="4">
        <v>2279</v>
      </c>
      <c r="N669" s="11">
        <f t="shared" si="30"/>
        <v>5.4569834542537651E-2</v>
      </c>
      <c r="O669">
        <v>714</v>
      </c>
      <c r="P669" t="str">
        <f t="shared" si="32"/>
        <v>Good</v>
      </c>
      <c r="Q669">
        <v>5</v>
      </c>
    </row>
    <row r="670" spans="1:17" x14ac:dyDescent="0.3">
      <c r="A670">
        <v>668</v>
      </c>
      <c r="B670">
        <v>87</v>
      </c>
      <c r="C670">
        <v>57</v>
      </c>
      <c r="D670">
        <v>1932</v>
      </c>
      <c r="E670">
        <v>10</v>
      </c>
      <c r="F670" t="str">
        <f t="shared" si="31"/>
        <v>65+</v>
      </c>
      <c r="G670" t="s">
        <v>14</v>
      </c>
      <c r="H670" t="s">
        <v>96</v>
      </c>
      <c r="I670">
        <v>33.520000000000003</v>
      </c>
      <c r="J670">
        <v>-86.79</v>
      </c>
      <c r="K670" t="s">
        <v>97</v>
      </c>
      <c r="L670" s="4">
        <v>16342</v>
      </c>
      <c r="M670" s="4">
        <v>1758</v>
      </c>
      <c r="N670" s="11">
        <f t="shared" si="30"/>
        <v>0.10757557214539223</v>
      </c>
      <c r="O670">
        <v>747</v>
      </c>
      <c r="P670" t="str">
        <f t="shared" si="32"/>
        <v>Very Good</v>
      </c>
      <c r="Q670">
        <v>5</v>
      </c>
    </row>
    <row r="671" spans="1:17" x14ac:dyDescent="0.3">
      <c r="A671">
        <v>669</v>
      </c>
      <c r="B671">
        <v>38</v>
      </c>
      <c r="C671">
        <v>62</v>
      </c>
      <c r="D671">
        <v>1981</v>
      </c>
      <c r="E671">
        <v>9</v>
      </c>
      <c r="F671" t="str">
        <f t="shared" si="31"/>
        <v>36-50</v>
      </c>
      <c r="G671" t="s">
        <v>14</v>
      </c>
      <c r="H671" t="s">
        <v>1434</v>
      </c>
      <c r="I671">
        <v>44.69</v>
      </c>
      <c r="J671">
        <v>-73.45</v>
      </c>
      <c r="K671" t="s">
        <v>1435</v>
      </c>
      <c r="L671" s="4">
        <v>41141</v>
      </c>
      <c r="M671" s="4">
        <v>71060</v>
      </c>
      <c r="N671" s="11">
        <f t="shared" si="30"/>
        <v>1.7272307430543741</v>
      </c>
      <c r="O671">
        <v>683</v>
      </c>
      <c r="P671" t="str">
        <f t="shared" si="32"/>
        <v>Good</v>
      </c>
      <c r="Q671">
        <v>2</v>
      </c>
    </row>
    <row r="672" spans="1:17" x14ac:dyDescent="0.3">
      <c r="A672">
        <v>670</v>
      </c>
      <c r="B672">
        <v>21</v>
      </c>
      <c r="C672">
        <v>71</v>
      </c>
      <c r="D672">
        <v>1998</v>
      </c>
      <c r="E672">
        <v>3</v>
      </c>
      <c r="F672" t="str">
        <f t="shared" si="31"/>
        <v>18-25</v>
      </c>
      <c r="G672" t="s">
        <v>14</v>
      </c>
      <c r="H672" t="s">
        <v>1622</v>
      </c>
      <c r="I672">
        <v>42.31</v>
      </c>
      <c r="J672">
        <v>-83.21</v>
      </c>
      <c r="K672" t="s">
        <v>1623</v>
      </c>
      <c r="L672" s="4">
        <v>24006</v>
      </c>
      <c r="M672" s="4">
        <v>57226</v>
      </c>
      <c r="N672" s="11">
        <f t="shared" si="30"/>
        <v>2.3838207114887946</v>
      </c>
      <c r="O672">
        <v>801</v>
      </c>
      <c r="P672" t="str">
        <f t="shared" si="32"/>
        <v>Excellent</v>
      </c>
      <c r="Q672">
        <v>2</v>
      </c>
    </row>
    <row r="673" spans="1:17" x14ac:dyDescent="0.3">
      <c r="A673">
        <v>671</v>
      </c>
      <c r="B673">
        <v>37</v>
      </c>
      <c r="C673">
        <v>66</v>
      </c>
      <c r="D673">
        <v>1982</v>
      </c>
      <c r="E673">
        <v>4</v>
      </c>
      <c r="F673" t="str">
        <f t="shared" si="31"/>
        <v>36-50</v>
      </c>
      <c r="G673" t="s">
        <v>14</v>
      </c>
      <c r="H673" t="s">
        <v>1649</v>
      </c>
      <c r="I673">
        <v>35.93</v>
      </c>
      <c r="J673">
        <v>-89.92</v>
      </c>
      <c r="K673" t="s">
        <v>1650</v>
      </c>
      <c r="L673" s="4">
        <v>34032</v>
      </c>
      <c r="M673" s="4">
        <v>68762</v>
      </c>
      <c r="N673" s="11">
        <f t="shared" si="30"/>
        <v>2.0205101081335215</v>
      </c>
      <c r="O673">
        <v>769</v>
      </c>
      <c r="P673" t="str">
        <f t="shared" si="32"/>
        <v>Very Good</v>
      </c>
      <c r="Q673">
        <v>2</v>
      </c>
    </row>
    <row r="674" spans="1:17" x14ac:dyDescent="0.3">
      <c r="A674">
        <v>672</v>
      </c>
      <c r="B674">
        <v>37</v>
      </c>
      <c r="C674">
        <v>68</v>
      </c>
      <c r="D674">
        <v>1983</v>
      </c>
      <c r="E674">
        <v>2</v>
      </c>
      <c r="F674" t="str">
        <f t="shared" si="31"/>
        <v>36-50</v>
      </c>
      <c r="G674" t="s">
        <v>19</v>
      </c>
      <c r="H674" t="s">
        <v>1680</v>
      </c>
      <c r="I674">
        <v>35.81</v>
      </c>
      <c r="J674">
        <v>-83.25</v>
      </c>
      <c r="K674" t="s">
        <v>480</v>
      </c>
      <c r="L674" s="4">
        <v>23967</v>
      </c>
      <c r="M674" s="4">
        <v>3880</v>
      </c>
      <c r="N674" s="11">
        <f t="shared" si="30"/>
        <v>0.16188926440522386</v>
      </c>
      <c r="O674">
        <v>722</v>
      </c>
      <c r="P674" t="str">
        <f t="shared" si="32"/>
        <v>Good</v>
      </c>
      <c r="Q674">
        <v>4</v>
      </c>
    </row>
    <row r="675" spans="1:17" x14ac:dyDescent="0.3">
      <c r="A675">
        <v>673</v>
      </c>
      <c r="B675">
        <v>48</v>
      </c>
      <c r="C675">
        <v>68</v>
      </c>
      <c r="D675">
        <v>1971</v>
      </c>
      <c r="E675">
        <v>7</v>
      </c>
      <c r="F675" t="str">
        <f t="shared" si="31"/>
        <v>36-50</v>
      </c>
      <c r="G675" t="s">
        <v>19</v>
      </c>
      <c r="H675" t="s">
        <v>557</v>
      </c>
      <c r="I675">
        <v>37.270000000000003</v>
      </c>
      <c r="J675">
        <v>-79.88</v>
      </c>
      <c r="K675" t="s">
        <v>558</v>
      </c>
      <c r="L675" s="4">
        <v>39124</v>
      </c>
      <c r="M675" s="4">
        <v>66231</v>
      </c>
      <c r="N675" s="11">
        <f t="shared" si="30"/>
        <v>1.6928483795112974</v>
      </c>
      <c r="O675">
        <v>722</v>
      </c>
      <c r="P675" t="str">
        <f t="shared" si="32"/>
        <v>Good</v>
      </c>
      <c r="Q675">
        <v>4</v>
      </c>
    </row>
    <row r="676" spans="1:17" x14ac:dyDescent="0.3">
      <c r="A676">
        <v>674</v>
      </c>
      <c r="B676">
        <v>63</v>
      </c>
      <c r="C676">
        <v>66</v>
      </c>
      <c r="D676">
        <v>1957</v>
      </c>
      <c r="E676">
        <v>1</v>
      </c>
      <c r="F676" t="str">
        <f t="shared" si="31"/>
        <v>51-60</v>
      </c>
      <c r="G676" t="s">
        <v>14</v>
      </c>
      <c r="H676" t="s">
        <v>1615</v>
      </c>
      <c r="I676">
        <v>32.729999999999997</v>
      </c>
      <c r="J676">
        <v>-117.08</v>
      </c>
      <c r="K676" t="s">
        <v>1616</v>
      </c>
      <c r="L676" s="4">
        <v>28147</v>
      </c>
      <c r="M676" s="4">
        <v>25987</v>
      </c>
      <c r="N676" s="11">
        <f t="shared" si="30"/>
        <v>0.92326002771165661</v>
      </c>
      <c r="O676">
        <v>756</v>
      </c>
      <c r="P676" t="str">
        <f t="shared" si="32"/>
        <v>Very Good</v>
      </c>
      <c r="Q676">
        <v>7</v>
      </c>
    </row>
    <row r="677" spans="1:17" x14ac:dyDescent="0.3">
      <c r="A677">
        <v>675</v>
      </c>
      <c r="B677">
        <v>40</v>
      </c>
      <c r="C677">
        <v>67</v>
      </c>
      <c r="D677">
        <v>1980</v>
      </c>
      <c r="E677">
        <v>1</v>
      </c>
      <c r="F677" t="str">
        <f t="shared" si="31"/>
        <v>36-50</v>
      </c>
      <c r="G677" t="s">
        <v>19</v>
      </c>
      <c r="H677" t="s">
        <v>342</v>
      </c>
      <c r="I677">
        <v>39.92</v>
      </c>
      <c r="J677">
        <v>-77.8</v>
      </c>
      <c r="K677" t="s">
        <v>343</v>
      </c>
      <c r="L677" s="4">
        <v>35489</v>
      </c>
      <c r="M677" s="4">
        <v>91995</v>
      </c>
      <c r="N677" s="11">
        <f t="shared" si="30"/>
        <v>2.5922116712220689</v>
      </c>
      <c r="O677">
        <v>724</v>
      </c>
      <c r="P677" t="str">
        <f t="shared" si="32"/>
        <v>Good</v>
      </c>
      <c r="Q677">
        <v>5</v>
      </c>
    </row>
    <row r="678" spans="1:17" x14ac:dyDescent="0.3">
      <c r="A678">
        <v>676</v>
      </c>
      <c r="B678">
        <v>40</v>
      </c>
      <c r="C678">
        <v>65</v>
      </c>
      <c r="D678">
        <v>1980</v>
      </c>
      <c r="E678">
        <v>2</v>
      </c>
      <c r="F678" t="str">
        <f t="shared" si="31"/>
        <v>36-50</v>
      </c>
      <c r="G678" t="s">
        <v>19</v>
      </c>
      <c r="H678" t="s">
        <v>1037</v>
      </c>
      <c r="I678">
        <v>33.090000000000003</v>
      </c>
      <c r="J678">
        <v>-96.88</v>
      </c>
      <c r="K678" t="s">
        <v>880</v>
      </c>
      <c r="L678" s="4">
        <v>65053</v>
      </c>
      <c r="M678" s="4">
        <v>83571</v>
      </c>
      <c r="N678" s="11">
        <f t="shared" si="30"/>
        <v>1.2846602001444976</v>
      </c>
      <c r="O678">
        <v>775</v>
      </c>
      <c r="P678" t="str">
        <f t="shared" si="32"/>
        <v>Very Good</v>
      </c>
      <c r="Q678">
        <v>2</v>
      </c>
    </row>
    <row r="679" spans="1:17" x14ac:dyDescent="0.3">
      <c r="A679">
        <v>677</v>
      </c>
      <c r="B679">
        <v>40</v>
      </c>
      <c r="C679">
        <v>65</v>
      </c>
      <c r="D679">
        <v>1979</v>
      </c>
      <c r="E679">
        <v>5</v>
      </c>
      <c r="F679" t="str">
        <f t="shared" si="31"/>
        <v>36-50</v>
      </c>
      <c r="G679" t="s">
        <v>19</v>
      </c>
      <c r="H679" t="s">
        <v>1048</v>
      </c>
      <c r="I679">
        <v>44.94</v>
      </c>
      <c r="J679">
        <v>-93.1</v>
      </c>
      <c r="K679" t="s">
        <v>1049</v>
      </c>
      <c r="L679" s="4">
        <v>67226</v>
      </c>
      <c r="M679" s="4">
        <v>128174</v>
      </c>
      <c r="N679" s="11">
        <f t="shared" si="30"/>
        <v>1.9066135126290424</v>
      </c>
      <c r="O679">
        <v>729</v>
      </c>
      <c r="P679" t="str">
        <f t="shared" si="32"/>
        <v>Good</v>
      </c>
      <c r="Q679">
        <v>3</v>
      </c>
    </row>
    <row r="680" spans="1:17" x14ac:dyDescent="0.3">
      <c r="A680">
        <v>678</v>
      </c>
      <c r="B680">
        <v>63</v>
      </c>
      <c r="C680">
        <v>67</v>
      </c>
      <c r="D680">
        <v>1957</v>
      </c>
      <c r="E680">
        <v>2</v>
      </c>
      <c r="F680" t="str">
        <f t="shared" si="31"/>
        <v>51-60</v>
      </c>
      <c r="G680" t="s">
        <v>14</v>
      </c>
      <c r="H680" t="s">
        <v>444</v>
      </c>
      <c r="I680">
        <v>42.88</v>
      </c>
      <c r="J680">
        <v>-78.849999999999994</v>
      </c>
      <c r="K680" t="s">
        <v>445</v>
      </c>
      <c r="L680" s="4">
        <v>29477</v>
      </c>
      <c r="M680" s="4">
        <v>56355</v>
      </c>
      <c r="N680" s="11">
        <f t="shared" si="30"/>
        <v>1.9118295620314143</v>
      </c>
      <c r="O680">
        <v>850</v>
      </c>
      <c r="P680" t="str">
        <f t="shared" si="32"/>
        <v>Excellent</v>
      </c>
      <c r="Q680">
        <v>4</v>
      </c>
    </row>
    <row r="681" spans="1:17" x14ac:dyDescent="0.3">
      <c r="A681">
        <v>679</v>
      </c>
      <c r="B681">
        <v>57</v>
      </c>
      <c r="C681">
        <v>69</v>
      </c>
      <c r="D681">
        <v>1962</v>
      </c>
      <c r="E681">
        <v>11</v>
      </c>
      <c r="F681" t="str">
        <f t="shared" si="31"/>
        <v>51-60</v>
      </c>
      <c r="G681" t="s">
        <v>19</v>
      </c>
      <c r="H681" t="s">
        <v>1641</v>
      </c>
      <c r="I681">
        <v>41.27</v>
      </c>
      <c r="J681">
        <v>-80.13</v>
      </c>
      <c r="K681" t="s">
        <v>1642</v>
      </c>
      <c r="L681" s="4">
        <v>34272</v>
      </c>
      <c r="M681" s="4">
        <v>39514</v>
      </c>
      <c r="N681" s="11">
        <f t="shared" si="30"/>
        <v>1.1529528478057889</v>
      </c>
      <c r="O681">
        <v>765</v>
      </c>
      <c r="P681" t="str">
        <f t="shared" si="32"/>
        <v>Very Good</v>
      </c>
      <c r="Q681">
        <v>4</v>
      </c>
    </row>
    <row r="682" spans="1:17" x14ac:dyDescent="0.3">
      <c r="A682">
        <v>680</v>
      </c>
      <c r="B682">
        <v>42</v>
      </c>
      <c r="C682">
        <v>63</v>
      </c>
      <c r="D682">
        <v>1977</v>
      </c>
      <c r="E682">
        <v>8</v>
      </c>
      <c r="F682" t="str">
        <f t="shared" si="31"/>
        <v>36-50</v>
      </c>
      <c r="G682" t="s">
        <v>14</v>
      </c>
      <c r="H682" t="s">
        <v>1044</v>
      </c>
      <c r="I682">
        <v>28.5</v>
      </c>
      <c r="J682">
        <v>-81.37</v>
      </c>
      <c r="K682" t="s">
        <v>1045</v>
      </c>
      <c r="L682" s="4">
        <v>27354</v>
      </c>
      <c r="M682" s="4">
        <v>42226</v>
      </c>
      <c r="N682" s="11">
        <f t="shared" si="30"/>
        <v>1.5436864809534254</v>
      </c>
      <c r="O682">
        <v>799</v>
      </c>
      <c r="P682" t="str">
        <f t="shared" si="32"/>
        <v>Very Good</v>
      </c>
      <c r="Q682">
        <v>1</v>
      </c>
    </row>
    <row r="683" spans="1:17" x14ac:dyDescent="0.3">
      <c r="A683">
        <v>681</v>
      </c>
      <c r="B683">
        <v>19</v>
      </c>
      <c r="C683">
        <v>60</v>
      </c>
      <c r="D683">
        <v>2001</v>
      </c>
      <c r="E683">
        <v>1</v>
      </c>
      <c r="F683" t="str">
        <f t="shared" si="31"/>
        <v>18-25</v>
      </c>
      <c r="G683" t="s">
        <v>14</v>
      </c>
      <c r="H683" t="s">
        <v>1390</v>
      </c>
      <c r="I683">
        <v>40</v>
      </c>
      <c r="J683">
        <v>-76.84</v>
      </c>
      <c r="K683" t="s">
        <v>1391</v>
      </c>
      <c r="L683" s="4">
        <v>43634</v>
      </c>
      <c r="M683" s="4">
        <v>52593</v>
      </c>
      <c r="N683" s="11">
        <f t="shared" si="30"/>
        <v>1.2053215382499884</v>
      </c>
      <c r="O683">
        <v>654</v>
      </c>
      <c r="P683" t="str">
        <f t="shared" si="32"/>
        <v>Fair</v>
      </c>
      <c r="Q683">
        <v>1</v>
      </c>
    </row>
    <row r="684" spans="1:17" x14ac:dyDescent="0.3">
      <c r="A684">
        <v>682</v>
      </c>
      <c r="B684">
        <v>58</v>
      </c>
      <c r="C684">
        <v>62</v>
      </c>
      <c r="D684">
        <v>1961</v>
      </c>
      <c r="E684">
        <v>10</v>
      </c>
      <c r="F684" t="str">
        <f t="shared" si="31"/>
        <v>51-60</v>
      </c>
      <c r="G684" t="s">
        <v>19</v>
      </c>
      <c r="H684" t="s">
        <v>1869</v>
      </c>
      <c r="I684">
        <v>40.69</v>
      </c>
      <c r="J684">
        <v>-111.99</v>
      </c>
      <c r="K684" t="s">
        <v>1870</v>
      </c>
      <c r="L684" s="4">
        <v>35229</v>
      </c>
      <c r="M684" s="4">
        <v>60945</v>
      </c>
      <c r="N684" s="11">
        <f t="shared" si="30"/>
        <v>1.7299667887251979</v>
      </c>
      <c r="O684">
        <v>724</v>
      </c>
      <c r="P684" t="str">
        <f t="shared" si="32"/>
        <v>Good</v>
      </c>
      <c r="Q684">
        <v>2</v>
      </c>
    </row>
    <row r="685" spans="1:17" x14ac:dyDescent="0.3">
      <c r="A685">
        <v>683</v>
      </c>
      <c r="B685">
        <v>61</v>
      </c>
      <c r="C685">
        <v>66</v>
      </c>
      <c r="D685">
        <v>1959</v>
      </c>
      <c r="E685">
        <v>1</v>
      </c>
      <c r="F685" t="str">
        <f t="shared" si="31"/>
        <v>51-60</v>
      </c>
      <c r="G685" t="s">
        <v>19</v>
      </c>
      <c r="H685" t="s">
        <v>1534</v>
      </c>
      <c r="I685">
        <v>40.79</v>
      </c>
      <c r="J685">
        <v>-77.849999999999994</v>
      </c>
      <c r="K685" t="s">
        <v>173</v>
      </c>
      <c r="L685" s="4">
        <v>51039</v>
      </c>
      <c r="M685" s="4">
        <v>0</v>
      </c>
      <c r="N685" s="11">
        <f t="shared" si="30"/>
        <v>0</v>
      </c>
      <c r="O685">
        <v>704</v>
      </c>
      <c r="P685" t="str">
        <f t="shared" si="32"/>
        <v>Good</v>
      </c>
      <c r="Q685">
        <v>5</v>
      </c>
    </row>
    <row r="686" spans="1:17" x14ac:dyDescent="0.3">
      <c r="A686">
        <v>684</v>
      </c>
      <c r="B686">
        <v>51</v>
      </c>
      <c r="C686">
        <v>63</v>
      </c>
      <c r="D686">
        <v>1969</v>
      </c>
      <c r="E686">
        <v>2</v>
      </c>
      <c r="F686" t="str">
        <f t="shared" si="31"/>
        <v>51-60</v>
      </c>
      <c r="G686" t="s">
        <v>19</v>
      </c>
      <c r="H686" t="s">
        <v>330</v>
      </c>
      <c r="I686">
        <v>26.14</v>
      </c>
      <c r="J686">
        <v>-80.13</v>
      </c>
      <c r="K686" t="s">
        <v>331</v>
      </c>
      <c r="L686" s="4">
        <v>44170</v>
      </c>
      <c r="M686" s="4">
        <v>90049</v>
      </c>
      <c r="N686" s="11">
        <f t="shared" si="30"/>
        <v>2.0386914195155081</v>
      </c>
      <c r="O686">
        <v>661</v>
      </c>
      <c r="P686" t="str">
        <f t="shared" si="32"/>
        <v>Fair</v>
      </c>
      <c r="Q686">
        <v>7</v>
      </c>
    </row>
    <row r="687" spans="1:17" x14ac:dyDescent="0.3">
      <c r="A687">
        <v>685</v>
      </c>
      <c r="B687">
        <v>21</v>
      </c>
      <c r="C687">
        <v>68</v>
      </c>
      <c r="D687">
        <v>1998</v>
      </c>
      <c r="E687">
        <v>4</v>
      </c>
      <c r="F687" t="str">
        <f t="shared" si="31"/>
        <v>18-25</v>
      </c>
      <c r="G687" t="s">
        <v>19</v>
      </c>
      <c r="H687" t="s">
        <v>425</v>
      </c>
      <c r="I687">
        <v>44.26</v>
      </c>
      <c r="J687">
        <v>-88.39</v>
      </c>
      <c r="K687" t="s">
        <v>426</v>
      </c>
      <c r="L687" s="4">
        <v>44513</v>
      </c>
      <c r="M687" s="4">
        <v>105303</v>
      </c>
      <c r="N687" s="11">
        <f t="shared" si="30"/>
        <v>2.3656684564059938</v>
      </c>
      <c r="O687">
        <v>778</v>
      </c>
      <c r="P687" t="str">
        <f t="shared" si="32"/>
        <v>Very Good</v>
      </c>
      <c r="Q687">
        <v>6</v>
      </c>
    </row>
    <row r="688" spans="1:17" x14ac:dyDescent="0.3">
      <c r="A688">
        <v>686</v>
      </c>
      <c r="B688">
        <v>64</v>
      </c>
      <c r="C688">
        <v>65</v>
      </c>
      <c r="D688">
        <v>1956</v>
      </c>
      <c r="E688">
        <v>1</v>
      </c>
      <c r="F688" t="str">
        <f t="shared" si="31"/>
        <v>51-60</v>
      </c>
      <c r="G688" t="s">
        <v>19</v>
      </c>
      <c r="H688" t="s">
        <v>1071</v>
      </c>
      <c r="I688">
        <v>32.53</v>
      </c>
      <c r="J688">
        <v>-82.92</v>
      </c>
      <c r="K688" t="s">
        <v>1072</v>
      </c>
      <c r="L688" s="4">
        <v>34576</v>
      </c>
      <c r="M688" s="4">
        <v>81087</v>
      </c>
      <c r="N688" s="11">
        <f t="shared" si="30"/>
        <v>2.3451816288755207</v>
      </c>
      <c r="O688">
        <v>683</v>
      </c>
      <c r="P688" t="str">
        <f t="shared" si="32"/>
        <v>Good</v>
      </c>
      <c r="Q688">
        <v>1</v>
      </c>
    </row>
    <row r="689" spans="1:17" x14ac:dyDescent="0.3">
      <c r="A689">
        <v>687</v>
      </c>
      <c r="B689">
        <v>20</v>
      </c>
      <c r="C689">
        <v>66</v>
      </c>
      <c r="D689">
        <v>1999</v>
      </c>
      <c r="E689">
        <v>11</v>
      </c>
      <c r="F689" t="str">
        <f t="shared" si="31"/>
        <v>18-25</v>
      </c>
      <c r="G689" t="s">
        <v>19</v>
      </c>
      <c r="H689" t="s">
        <v>1807</v>
      </c>
      <c r="I689">
        <v>42.24</v>
      </c>
      <c r="J689">
        <v>-84.4</v>
      </c>
      <c r="K689" t="s">
        <v>1808</v>
      </c>
      <c r="L689" s="4">
        <v>36264</v>
      </c>
      <c r="M689" s="4">
        <v>99582</v>
      </c>
      <c r="N689" s="11">
        <f t="shared" si="30"/>
        <v>2.7460291197882198</v>
      </c>
      <c r="O689">
        <v>725</v>
      </c>
      <c r="P689" t="str">
        <f t="shared" si="32"/>
        <v>Good</v>
      </c>
      <c r="Q689">
        <v>1</v>
      </c>
    </row>
    <row r="690" spans="1:17" x14ac:dyDescent="0.3">
      <c r="A690">
        <v>688</v>
      </c>
      <c r="B690">
        <v>44</v>
      </c>
      <c r="C690">
        <v>67</v>
      </c>
      <c r="D690">
        <v>1975</v>
      </c>
      <c r="E690">
        <v>3</v>
      </c>
      <c r="F690" t="str">
        <f t="shared" si="31"/>
        <v>36-50</v>
      </c>
      <c r="G690" t="s">
        <v>19</v>
      </c>
      <c r="H690" t="s">
        <v>78</v>
      </c>
      <c r="I690">
        <v>41.31</v>
      </c>
      <c r="J690">
        <v>-111.96</v>
      </c>
      <c r="K690" t="s">
        <v>79</v>
      </c>
      <c r="L690" s="4">
        <v>47227</v>
      </c>
      <c r="M690" s="4">
        <v>151030</v>
      </c>
      <c r="N690" s="11">
        <f t="shared" si="30"/>
        <v>3.1979587947572363</v>
      </c>
      <c r="O690">
        <v>760</v>
      </c>
      <c r="P690" t="str">
        <f t="shared" si="32"/>
        <v>Very Good</v>
      </c>
      <c r="Q690">
        <v>4</v>
      </c>
    </row>
    <row r="691" spans="1:17" x14ac:dyDescent="0.3">
      <c r="A691">
        <v>689</v>
      </c>
      <c r="B691">
        <v>65</v>
      </c>
      <c r="C691">
        <v>62</v>
      </c>
      <c r="D691">
        <v>1954</v>
      </c>
      <c r="E691">
        <v>3</v>
      </c>
      <c r="F691" t="str">
        <f t="shared" si="31"/>
        <v>51-60</v>
      </c>
      <c r="G691" t="s">
        <v>14</v>
      </c>
      <c r="H691" t="s">
        <v>1469</v>
      </c>
      <c r="I691">
        <v>40.76</v>
      </c>
      <c r="J691">
        <v>-74.23</v>
      </c>
      <c r="K691" t="s">
        <v>1470</v>
      </c>
      <c r="L691" s="4">
        <v>39077</v>
      </c>
      <c r="M691" s="4">
        <v>14019</v>
      </c>
      <c r="N691" s="11">
        <f t="shared" si="30"/>
        <v>0.3587532308007268</v>
      </c>
      <c r="O691">
        <v>709</v>
      </c>
      <c r="P691" t="str">
        <f t="shared" si="32"/>
        <v>Good</v>
      </c>
      <c r="Q691">
        <v>1</v>
      </c>
    </row>
    <row r="692" spans="1:17" x14ac:dyDescent="0.3">
      <c r="A692">
        <v>690</v>
      </c>
      <c r="B692">
        <v>71</v>
      </c>
      <c r="C692">
        <v>64</v>
      </c>
      <c r="D692">
        <v>1948</v>
      </c>
      <c r="E692">
        <v>3</v>
      </c>
      <c r="F692" t="str">
        <f t="shared" si="31"/>
        <v>65+</v>
      </c>
      <c r="G692" t="s">
        <v>14</v>
      </c>
      <c r="H692" t="s">
        <v>1116</v>
      </c>
      <c r="I692">
        <v>39.590000000000003</v>
      </c>
      <c r="J692">
        <v>-105.01</v>
      </c>
      <c r="K692" t="s">
        <v>1117</v>
      </c>
      <c r="L692" s="4">
        <v>67186</v>
      </c>
      <c r="M692" s="4">
        <v>29682</v>
      </c>
      <c r="N692" s="11">
        <f t="shared" si="30"/>
        <v>0.44178846783556097</v>
      </c>
      <c r="O692">
        <v>692</v>
      </c>
      <c r="P692" t="str">
        <f t="shared" si="32"/>
        <v>Good</v>
      </c>
      <c r="Q692">
        <v>1</v>
      </c>
    </row>
    <row r="693" spans="1:17" x14ac:dyDescent="0.3">
      <c r="A693">
        <v>691</v>
      </c>
      <c r="B693">
        <v>34</v>
      </c>
      <c r="C693">
        <v>64</v>
      </c>
      <c r="D693">
        <v>1985</v>
      </c>
      <c r="E693">
        <v>12</v>
      </c>
      <c r="F693" t="str">
        <f t="shared" si="31"/>
        <v>26-35</v>
      </c>
      <c r="G693" t="s">
        <v>14</v>
      </c>
      <c r="H693" t="s">
        <v>891</v>
      </c>
      <c r="I693">
        <v>38.39</v>
      </c>
      <c r="J693">
        <v>-86.93</v>
      </c>
      <c r="K693" t="s">
        <v>892</v>
      </c>
      <c r="L693" s="4">
        <v>44838</v>
      </c>
      <c r="M693" s="4">
        <v>109951</v>
      </c>
      <c r="N693" s="11">
        <f t="shared" si="30"/>
        <v>2.452183415852625</v>
      </c>
      <c r="O693">
        <v>561</v>
      </c>
      <c r="P693" t="str">
        <f t="shared" si="32"/>
        <v>Poor</v>
      </c>
      <c r="Q693">
        <v>1</v>
      </c>
    </row>
    <row r="694" spans="1:17" x14ac:dyDescent="0.3">
      <c r="A694">
        <v>692</v>
      </c>
      <c r="B694">
        <v>52</v>
      </c>
      <c r="C694">
        <v>65</v>
      </c>
      <c r="D694">
        <v>1967</v>
      </c>
      <c r="E694">
        <v>8</v>
      </c>
      <c r="F694" t="str">
        <f t="shared" si="31"/>
        <v>51-60</v>
      </c>
      <c r="G694" t="s">
        <v>14</v>
      </c>
      <c r="H694" t="s">
        <v>1035</v>
      </c>
      <c r="I694">
        <v>42.92</v>
      </c>
      <c r="J694">
        <v>-82.88</v>
      </c>
      <c r="K694" t="s">
        <v>917</v>
      </c>
      <c r="L694" s="4">
        <v>42701</v>
      </c>
      <c r="M694" s="4">
        <v>53696</v>
      </c>
      <c r="N694" s="11">
        <f t="shared" si="30"/>
        <v>1.2574881150324348</v>
      </c>
      <c r="O694">
        <v>701</v>
      </c>
      <c r="P694" t="str">
        <f t="shared" si="32"/>
        <v>Good</v>
      </c>
      <c r="Q694">
        <v>4</v>
      </c>
    </row>
    <row r="695" spans="1:17" x14ac:dyDescent="0.3">
      <c r="A695">
        <v>693</v>
      </c>
      <c r="B695">
        <v>20</v>
      </c>
      <c r="C695">
        <v>66</v>
      </c>
      <c r="D695">
        <v>1999</v>
      </c>
      <c r="E695">
        <v>8</v>
      </c>
      <c r="F695" t="str">
        <f t="shared" si="31"/>
        <v>18-25</v>
      </c>
      <c r="G695" t="s">
        <v>14</v>
      </c>
      <c r="H695" t="s">
        <v>879</v>
      </c>
      <c r="I695">
        <v>33.090000000000003</v>
      </c>
      <c r="J695">
        <v>-96.88</v>
      </c>
      <c r="K695" t="s">
        <v>880</v>
      </c>
      <c r="L695" s="4">
        <v>65051</v>
      </c>
      <c r="M695" s="4">
        <v>220951</v>
      </c>
      <c r="N695" s="11">
        <f t="shared" si="30"/>
        <v>3.3965811440254567</v>
      </c>
      <c r="O695">
        <v>703</v>
      </c>
      <c r="P695" t="str">
        <f t="shared" si="32"/>
        <v>Good</v>
      </c>
      <c r="Q695">
        <v>2</v>
      </c>
    </row>
    <row r="696" spans="1:17" x14ac:dyDescent="0.3">
      <c r="A696">
        <v>694</v>
      </c>
      <c r="B696">
        <v>29</v>
      </c>
      <c r="C696">
        <v>66</v>
      </c>
      <c r="D696">
        <v>1990</v>
      </c>
      <c r="E696">
        <v>5</v>
      </c>
      <c r="F696" t="str">
        <f t="shared" si="31"/>
        <v>26-35</v>
      </c>
      <c r="G696" t="s">
        <v>19</v>
      </c>
      <c r="H696" t="s">
        <v>474</v>
      </c>
      <c r="I696">
        <v>61.2</v>
      </c>
      <c r="J696">
        <v>-149.82</v>
      </c>
      <c r="K696" t="s">
        <v>475</v>
      </c>
      <c r="L696" s="4">
        <v>41836</v>
      </c>
      <c r="M696" s="4">
        <v>60302</v>
      </c>
      <c r="N696" s="11">
        <f t="shared" si="30"/>
        <v>1.4413901902667559</v>
      </c>
      <c r="O696">
        <v>615</v>
      </c>
      <c r="P696" t="str">
        <f t="shared" si="32"/>
        <v>Fair</v>
      </c>
      <c r="Q696">
        <v>2</v>
      </c>
    </row>
    <row r="697" spans="1:17" x14ac:dyDescent="0.3">
      <c r="A697">
        <v>695</v>
      </c>
      <c r="B697">
        <v>49</v>
      </c>
      <c r="C697">
        <v>68</v>
      </c>
      <c r="D697">
        <v>1970</v>
      </c>
      <c r="E697">
        <v>7</v>
      </c>
      <c r="F697" t="str">
        <f t="shared" si="31"/>
        <v>36-50</v>
      </c>
      <c r="G697" t="s">
        <v>14</v>
      </c>
      <c r="H697" t="s">
        <v>521</v>
      </c>
      <c r="I697">
        <v>29.48</v>
      </c>
      <c r="J697">
        <v>-95.1</v>
      </c>
      <c r="K697" t="s">
        <v>522</v>
      </c>
      <c r="L697" s="4">
        <v>71866</v>
      </c>
      <c r="M697" s="4">
        <v>132580</v>
      </c>
      <c r="N697" s="11">
        <f t="shared" si="30"/>
        <v>1.8448223081846771</v>
      </c>
      <c r="O697">
        <v>662</v>
      </c>
      <c r="P697" t="str">
        <f t="shared" si="32"/>
        <v>Fair</v>
      </c>
      <c r="Q697">
        <v>1</v>
      </c>
    </row>
    <row r="698" spans="1:17" x14ac:dyDescent="0.3">
      <c r="A698">
        <v>696</v>
      </c>
      <c r="B698">
        <v>74</v>
      </c>
      <c r="C698">
        <v>67</v>
      </c>
      <c r="D698">
        <v>1945</v>
      </c>
      <c r="E698">
        <v>7</v>
      </c>
      <c r="F698" t="str">
        <f t="shared" si="31"/>
        <v>65+</v>
      </c>
      <c r="G698" t="s">
        <v>14</v>
      </c>
      <c r="H698" t="s">
        <v>1073</v>
      </c>
      <c r="I698">
        <v>40.630000000000003</v>
      </c>
      <c r="J698">
        <v>-73.72</v>
      </c>
      <c r="K698" t="s">
        <v>1074</v>
      </c>
      <c r="L698" s="4">
        <v>110570</v>
      </c>
      <c r="M698" s="4">
        <v>5700</v>
      </c>
      <c r="N698" s="11">
        <f t="shared" si="30"/>
        <v>5.1551053631183869E-2</v>
      </c>
      <c r="O698">
        <v>766</v>
      </c>
      <c r="P698" t="str">
        <f t="shared" si="32"/>
        <v>Very Good</v>
      </c>
      <c r="Q698">
        <v>8</v>
      </c>
    </row>
    <row r="699" spans="1:17" x14ac:dyDescent="0.3">
      <c r="A699">
        <v>697</v>
      </c>
      <c r="B699">
        <v>56</v>
      </c>
      <c r="C699">
        <v>73</v>
      </c>
      <c r="D699">
        <v>1964</v>
      </c>
      <c r="E699">
        <v>1</v>
      </c>
      <c r="F699" t="str">
        <f t="shared" si="31"/>
        <v>51-60</v>
      </c>
      <c r="G699" t="s">
        <v>14</v>
      </c>
      <c r="H699" t="s">
        <v>136</v>
      </c>
      <c r="I699">
        <v>35.72</v>
      </c>
      <c r="J699">
        <v>-78.84</v>
      </c>
      <c r="K699" t="s">
        <v>137</v>
      </c>
      <c r="L699" s="4">
        <v>66230</v>
      </c>
      <c r="M699" s="4">
        <v>90248</v>
      </c>
      <c r="N699" s="11">
        <f t="shared" si="30"/>
        <v>1.3626453268911369</v>
      </c>
      <c r="O699">
        <v>742</v>
      </c>
      <c r="P699" t="str">
        <f t="shared" si="32"/>
        <v>Very Good</v>
      </c>
      <c r="Q699">
        <v>3</v>
      </c>
    </row>
    <row r="700" spans="1:17" x14ac:dyDescent="0.3">
      <c r="A700">
        <v>698</v>
      </c>
      <c r="B700">
        <v>55</v>
      </c>
      <c r="C700">
        <v>66</v>
      </c>
      <c r="D700">
        <v>1964</v>
      </c>
      <c r="E700">
        <v>10</v>
      </c>
      <c r="F700" t="str">
        <f t="shared" si="31"/>
        <v>51-60</v>
      </c>
      <c r="G700" t="s">
        <v>14</v>
      </c>
      <c r="H700" t="s">
        <v>178</v>
      </c>
      <c r="I700">
        <v>42.62</v>
      </c>
      <c r="J700">
        <v>-73.83</v>
      </c>
      <c r="K700" t="s">
        <v>179</v>
      </c>
      <c r="L700" s="4">
        <v>65094</v>
      </c>
      <c r="M700" s="4">
        <v>23909</v>
      </c>
      <c r="N700" s="11">
        <f t="shared" si="30"/>
        <v>0.3672995975051464</v>
      </c>
      <c r="O700">
        <v>699</v>
      </c>
      <c r="P700" t="str">
        <f t="shared" si="32"/>
        <v>Good</v>
      </c>
      <c r="Q700">
        <v>3</v>
      </c>
    </row>
    <row r="701" spans="1:17" x14ac:dyDescent="0.3">
      <c r="A701">
        <v>699</v>
      </c>
      <c r="B701">
        <v>42</v>
      </c>
      <c r="C701">
        <v>68</v>
      </c>
      <c r="D701">
        <v>1978</v>
      </c>
      <c r="E701">
        <v>2</v>
      </c>
      <c r="F701" t="str">
        <f t="shared" si="31"/>
        <v>36-50</v>
      </c>
      <c r="G701" t="s">
        <v>19</v>
      </c>
      <c r="H701" t="s">
        <v>1892</v>
      </c>
      <c r="I701">
        <v>41.48</v>
      </c>
      <c r="J701">
        <v>-91.57</v>
      </c>
      <c r="K701" t="s">
        <v>1893</v>
      </c>
      <c r="L701" s="4">
        <v>45475</v>
      </c>
      <c r="M701" s="4">
        <v>68358</v>
      </c>
      <c r="N701" s="11">
        <f t="shared" si="30"/>
        <v>1.5031995601979109</v>
      </c>
      <c r="O701">
        <v>698</v>
      </c>
      <c r="P701" t="str">
        <f t="shared" si="32"/>
        <v>Good</v>
      </c>
      <c r="Q701">
        <v>3</v>
      </c>
    </row>
    <row r="702" spans="1:17" x14ac:dyDescent="0.3">
      <c r="A702">
        <v>700</v>
      </c>
      <c r="B702">
        <v>21</v>
      </c>
      <c r="C702">
        <v>68</v>
      </c>
      <c r="D702">
        <v>1998</v>
      </c>
      <c r="E702">
        <v>12</v>
      </c>
      <c r="F702" t="str">
        <f t="shared" si="31"/>
        <v>18-25</v>
      </c>
      <c r="G702" t="s">
        <v>14</v>
      </c>
      <c r="H702" t="s">
        <v>1511</v>
      </c>
      <c r="I702">
        <v>40.71</v>
      </c>
      <c r="J702">
        <v>-73.989999999999995</v>
      </c>
      <c r="K702" t="s">
        <v>1512</v>
      </c>
      <c r="L702" s="4">
        <v>186534</v>
      </c>
      <c r="M702" s="4">
        <v>233746</v>
      </c>
      <c r="N702" s="11">
        <f t="shared" si="30"/>
        <v>1.2531013112890947</v>
      </c>
      <c r="O702">
        <v>590</v>
      </c>
      <c r="P702" t="str">
        <f t="shared" si="32"/>
        <v>Fair</v>
      </c>
      <c r="Q702">
        <v>1</v>
      </c>
    </row>
    <row r="703" spans="1:17" x14ac:dyDescent="0.3">
      <c r="A703">
        <v>701</v>
      </c>
      <c r="B703">
        <v>28</v>
      </c>
      <c r="C703">
        <v>59</v>
      </c>
      <c r="D703">
        <v>1991</v>
      </c>
      <c r="E703">
        <v>12</v>
      </c>
      <c r="F703" t="str">
        <f t="shared" si="31"/>
        <v>26-35</v>
      </c>
      <c r="G703" t="s">
        <v>14</v>
      </c>
      <c r="H703" t="s">
        <v>233</v>
      </c>
      <c r="I703">
        <v>27.75</v>
      </c>
      <c r="J703">
        <v>-82.64</v>
      </c>
      <c r="K703" t="s">
        <v>234</v>
      </c>
      <c r="L703" s="4">
        <v>53984</v>
      </c>
      <c r="M703" s="4">
        <v>76118</v>
      </c>
      <c r="N703" s="11">
        <f t="shared" si="30"/>
        <v>1.4100103734439835</v>
      </c>
      <c r="O703">
        <v>701</v>
      </c>
      <c r="P703" t="str">
        <f t="shared" si="32"/>
        <v>Good</v>
      </c>
      <c r="Q703">
        <v>1</v>
      </c>
    </row>
    <row r="704" spans="1:17" x14ac:dyDescent="0.3">
      <c r="A704">
        <v>702</v>
      </c>
      <c r="B704">
        <v>46</v>
      </c>
      <c r="C704">
        <v>68</v>
      </c>
      <c r="D704">
        <v>1973</v>
      </c>
      <c r="E704">
        <v>7</v>
      </c>
      <c r="F704" t="str">
        <f t="shared" si="31"/>
        <v>36-50</v>
      </c>
      <c r="G704" t="s">
        <v>14</v>
      </c>
      <c r="H704" t="s">
        <v>221</v>
      </c>
      <c r="I704">
        <v>40.840000000000003</v>
      </c>
      <c r="J704">
        <v>-73.400000000000006</v>
      </c>
      <c r="K704" t="s">
        <v>222</v>
      </c>
      <c r="L704" s="4">
        <v>71103</v>
      </c>
      <c r="M704" s="4">
        <v>136853</v>
      </c>
      <c r="N704" s="11">
        <f t="shared" si="30"/>
        <v>1.924714850287611</v>
      </c>
      <c r="O704">
        <v>721</v>
      </c>
      <c r="P704" t="str">
        <f t="shared" si="32"/>
        <v>Good</v>
      </c>
      <c r="Q704">
        <v>4</v>
      </c>
    </row>
    <row r="705" spans="1:17" x14ac:dyDescent="0.3">
      <c r="A705">
        <v>703</v>
      </c>
      <c r="B705">
        <v>53</v>
      </c>
      <c r="C705">
        <v>66</v>
      </c>
      <c r="D705">
        <v>1966</v>
      </c>
      <c r="E705">
        <v>11</v>
      </c>
      <c r="F705" t="str">
        <f t="shared" si="31"/>
        <v>51-60</v>
      </c>
      <c r="G705" t="s">
        <v>14</v>
      </c>
      <c r="H705" t="s">
        <v>1010</v>
      </c>
      <c r="I705">
        <v>30.23</v>
      </c>
      <c r="J705">
        <v>-92.19</v>
      </c>
      <c r="K705" t="s">
        <v>1011</v>
      </c>
      <c r="L705" s="4">
        <v>40363</v>
      </c>
      <c r="M705" s="4">
        <v>111112</v>
      </c>
      <c r="N705" s="11">
        <f t="shared" si="30"/>
        <v>2.7528181750613183</v>
      </c>
      <c r="O705">
        <v>711</v>
      </c>
      <c r="P705" t="str">
        <f t="shared" si="32"/>
        <v>Good</v>
      </c>
      <c r="Q705">
        <v>4</v>
      </c>
    </row>
    <row r="706" spans="1:17" x14ac:dyDescent="0.3">
      <c r="A706">
        <v>704</v>
      </c>
      <c r="B706">
        <v>51</v>
      </c>
      <c r="C706">
        <v>67</v>
      </c>
      <c r="D706">
        <v>1968</v>
      </c>
      <c r="E706">
        <v>7</v>
      </c>
      <c r="F706" t="str">
        <f t="shared" si="31"/>
        <v>51-60</v>
      </c>
      <c r="G706" t="s">
        <v>14</v>
      </c>
      <c r="H706" t="s">
        <v>699</v>
      </c>
      <c r="I706">
        <v>41.2</v>
      </c>
      <c r="J706">
        <v>-73.73</v>
      </c>
      <c r="K706" t="s">
        <v>700</v>
      </c>
      <c r="L706" s="4">
        <v>112695</v>
      </c>
      <c r="M706" s="4">
        <v>35135</v>
      </c>
      <c r="N706" s="11">
        <f t="shared" ref="N706:N769" si="33">(M706/L706)</f>
        <v>0.31177070854962508</v>
      </c>
      <c r="O706">
        <v>840</v>
      </c>
      <c r="P706" t="str">
        <f t="shared" si="32"/>
        <v>Excellent</v>
      </c>
      <c r="Q706">
        <v>6</v>
      </c>
    </row>
    <row r="707" spans="1:17" x14ac:dyDescent="0.3">
      <c r="A707">
        <v>705</v>
      </c>
      <c r="B707">
        <v>84</v>
      </c>
      <c r="C707">
        <v>71</v>
      </c>
      <c r="D707">
        <v>1935</v>
      </c>
      <c r="E707">
        <v>9</v>
      </c>
      <c r="F707" t="str">
        <f t="shared" ref="F707:F770" si="34">IF(B707&lt;26,"18-25",
   IF(B707&lt;36,"26-35",
   IF(B707&lt;51,"36-50",
   IF(B707&lt;66,"51-60","65+"))))</f>
        <v>65+</v>
      </c>
      <c r="G707" t="s">
        <v>14</v>
      </c>
      <c r="H707" t="s">
        <v>208</v>
      </c>
      <c r="I707">
        <v>37.909999999999997</v>
      </c>
      <c r="J707">
        <v>-122.01</v>
      </c>
      <c r="K707" t="s">
        <v>209</v>
      </c>
      <c r="L707" s="4">
        <v>79870</v>
      </c>
      <c r="M707" s="4">
        <v>4031</v>
      </c>
      <c r="N707" s="11">
        <f t="shared" si="33"/>
        <v>5.0469512958557658E-2</v>
      </c>
      <c r="O707">
        <v>609</v>
      </c>
      <c r="P707" t="str">
        <f t="shared" ref="P707:P770" si="35">IF(O707&lt;580,"Poor",
   IF(O707&lt;670,"Fair",
   IF(O707&lt;740,"Good",
   IF(O707&lt;800,"Very Good","Excellent"))))</f>
        <v>Fair</v>
      </c>
      <c r="Q707">
        <v>2</v>
      </c>
    </row>
    <row r="708" spans="1:17" x14ac:dyDescent="0.3">
      <c r="A708">
        <v>706</v>
      </c>
      <c r="B708">
        <v>33</v>
      </c>
      <c r="C708">
        <v>68</v>
      </c>
      <c r="D708">
        <v>1986</v>
      </c>
      <c r="E708">
        <v>9</v>
      </c>
      <c r="F708" t="str">
        <f t="shared" si="34"/>
        <v>26-35</v>
      </c>
      <c r="G708" t="s">
        <v>14</v>
      </c>
      <c r="H708" t="s">
        <v>727</v>
      </c>
      <c r="I708">
        <v>38.020000000000003</v>
      </c>
      <c r="J708">
        <v>-122.54</v>
      </c>
      <c r="K708" t="s">
        <v>728</v>
      </c>
      <c r="L708" s="4">
        <v>67589</v>
      </c>
      <c r="M708" s="4">
        <v>106072</v>
      </c>
      <c r="N708" s="11">
        <f t="shared" si="33"/>
        <v>1.5693677965349391</v>
      </c>
      <c r="O708">
        <v>602</v>
      </c>
      <c r="P708" t="str">
        <f t="shared" si="35"/>
        <v>Fair</v>
      </c>
      <c r="Q708">
        <v>2</v>
      </c>
    </row>
    <row r="709" spans="1:17" x14ac:dyDescent="0.3">
      <c r="A709">
        <v>707</v>
      </c>
      <c r="B709">
        <v>22</v>
      </c>
      <c r="C709">
        <v>67</v>
      </c>
      <c r="D709">
        <v>1997</v>
      </c>
      <c r="E709">
        <v>12</v>
      </c>
      <c r="F709" t="str">
        <f t="shared" si="34"/>
        <v>18-25</v>
      </c>
      <c r="G709" t="s">
        <v>14</v>
      </c>
      <c r="H709" t="s">
        <v>786</v>
      </c>
      <c r="I709">
        <v>34.72</v>
      </c>
      <c r="J709">
        <v>-82.78</v>
      </c>
      <c r="K709" t="s">
        <v>787</v>
      </c>
      <c r="L709" s="4">
        <v>37253</v>
      </c>
      <c r="M709" s="4">
        <v>63522</v>
      </c>
      <c r="N709" s="11">
        <f t="shared" si="33"/>
        <v>1.7051512629855314</v>
      </c>
      <c r="O709">
        <v>576</v>
      </c>
      <c r="P709" t="str">
        <f t="shared" si="35"/>
        <v>Poor</v>
      </c>
      <c r="Q709">
        <v>1</v>
      </c>
    </row>
    <row r="710" spans="1:17" x14ac:dyDescent="0.3">
      <c r="A710">
        <v>708</v>
      </c>
      <c r="B710">
        <v>63</v>
      </c>
      <c r="C710">
        <v>63</v>
      </c>
      <c r="D710">
        <v>1957</v>
      </c>
      <c r="E710">
        <v>1</v>
      </c>
      <c r="F710" t="str">
        <f t="shared" si="34"/>
        <v>51-60</v>
      </c>
      <c r="G710" t="s">
        <v>14</v>
      </c>
      <c r="H710" t="s">
        <v>17</v>
      </c>
      <c r="I710">
        <v>40.71</v>
      </c>
      <c r="J710">
        <v>-73.989999999999995</v>
      </c>
      <c r="K710" t="s">
        <v>18</v>
      </c>
      <c r="L710" s="4">
        <v>249925</v>
      </c>
      <c r="M710" s="4">
        <v>202328</v>
      </c>
      <c r="N710" s="11">
        <f t="shared" si="33"/>
        <v>0.80955486645993802</v>
      </c>
      <c r="O710">
        <v>722</v>
      </c>
      <c r="P710" t="str">
        <f t="shared" si="35"/>
        <v>Good</v>
      </c>
      <c r="Q710">
        <v>4</v>
      </c>
    </row>
    <row r="711" spans="1:17" x14ac:dyDescent="0.3">
      <c r="A711">
        <v>709</v>
      </c>
      <c r="B711">
        <v>26</v>
      </c>
      <c r="C711">
        <v>66</v>
      </c>
      <c r="D711">
        <v>1993</v>
      </c>
      <c r="E711">
        <v>9</v>
      </c>
      <c r="F711" t="str">
        <f t="shared" si="34"/>
        <v>26-35</v>
      </c>
      <c r="G711" t="s">
        <v>14</v>
      </c>
      <c r="H711" t="s">
        <v>1484</v>
      </c>
      <c r="I711">
        <v>42.92</v>
      </c>
      <c r="J711">
        <v>-88.84</v>
      </c>
      <c r="K711" t="s">
        <v>1485</v>
      </c>
      <c r="L711" s="4">
        <v>42931</v>
      </c>
      <c r="M711" s="4">
        <v>48783</v>
      </c>
      <c r="N711" s="11">
        <f t="shared" si="33"/>
        <v>1.1363117560736997</v>
      </c>
      <c r="O711">
        <v>742</v>
      </c>
      <c r="P711" t="str">
        <f t="shared" si="35"/>
        <v>Very Good</v>
      </c>
      <c r="Q711">
        <v>3</v>
      </c>
    </row>
    <row r="712" spans="1:17" x14ac:dyDescent="0.3">
      <c r="A712">
        <v>710</v>
      </c>
      <c r="B712">
        <v>60</v>
      </c>
      <c r="C712">
        <v>68</v>
      </c>
      <c r="D712">
        <v>1959</v>
      </c>
      <c r="E712">
        <v>9</v>
      </c>
      <c r="F712" t="str">
        <f t="shared" si="34"/>
        <v>51-60</v>
      </c>
      <c r="G712" t="s">
        <v>14</v>
      </c>
      <c r="H712" t="s">
        <v>393</v>
      </c>
      <c r="I712">
        <v>42.12</v>
      </c>
      <c r="J712">
        <v>-89.25</v>
      </c>
      <c r="K712" t="s">
        <v>394</v>
      </c>
      <c r="L712" s="4">
        <v>52397</v>
      </c>
      <c r="M712" s="4">
        <v>72810</v>
      </c>
      <c r="N712" s="11">
        <f t="shared" si="33"/>
        <v>1.3895833730938794</v>
      </c>
      <c r="O712">
        <v>729</v>
      </c>
      <c r="P712" t="str">
        <f t="shared" si="35"/>
        <v>Good</v>
      </c>
      <c r="Q712">
        <v>3</v>
      </c>
    </row>
    <row r="713" spans="1:17" x14ac:dyDescent="0.3">
      <c r="A713">
        <v>711</v>
      </c>
      <c r="B713">
        <v>39</v>
      </c>
      <c r="C713">
        <v>60</v>
      </c>
      <c r="D713">
        <v>1980</v>
      </c>
      <c r="E713">
        <v>10</v>
      </c>
      <c r="F713" t="str">
        <f t="shared" si="34"/>
        <v>36-50</v>
      </c>
      <c r="G713" t="s">
        <v>19</v>
      </c>
      <c r="H713" t="s">
        <v>616</v>
      </c>
      <c r="I713">
        <v>39.01</v>
      </c>
      <c r="J713">
        <v>-89.78</v>
      </c>
      <c r="K713" t="s">
        <v>617</v>
      </c>
      <c r="L713" s="4">
        <v>40894</v>
      </c>
      <c r="M713" s="4">
        <v>51844</v>
      </c>
      <c r="N713" s="11">
        <f t="shared" si="33"/>
        <v>1.2677654423631828</v>
      </c>
      <c r="O713">
        <v>657</v>
      </c>
      <c r="P713" t="str">
        <f t="shared" si="35"/>
        <v>Fair</v>
      </c>
      <c r="Q713">
        <v>1</v>
      </c>
    </row>
    <row r="714" spans="1:17" x14ac:dyDescent="0.3">
      <c r="A714">
        <v>712</v>
      </c>
      <c r="B714">
        <v>74</v>
      </c>
      <c r="C714">
        <v>67</v>
      </c>
      <c r="D714">
        <v>1945</v>
      </c>
      <c r="E714">
        <v>3</v>
      </c>
      <c r="F714" t="str">
        <f t="shared" si="34"/>
        <v>65+</v>
      </c>
      <c r="G714" t="s">
        <v>14</v>
      </c>
      <c r="H714" t="s">
        <v>683</v>
      </c>
      <c r="I714">
        <v>32.630000000000003</v>
      </c>
      <c r="J714">
        <v>-117.05</v>
      </c>
      <c r="K714" t="s">
        <v>684</v>
      </c>
      <c r="L714" s="4">
        <v>29130</v>
      </c>
      <c r="M714" s="4">
        <v>8746</v>
      </c>
      <c r="N714" s="11">
        <f t="shared" si="33"/>
        <v>0.30024030209406111</v>
      </c>
      <c r="O714">
        <v>720</v>
      </c>
      <c r="P714" t="str">
        <f t="shared" si="35"/>
        <v>Good</v>
      </c>
      <c r="Q714">
        <v>5</v>
      </c>
    </row>
    <row r="715" spans="1:17" x14ac:dyDescent="0.3">
      <c r="A715">
        <v>713</v>
      </c>
      <c r="B715">
        <v>25</v>
      </c>
      <c r="C715">
        <v>71</v>
      </c>
      <c r="D715">
        <v>1994</v>
      </c>
      <c r="E715">
        <v>8</v>
      </c>
      <c r="F715" t="str">
        <f t="shared" si="34"/>
        <v>18-25</v>
      </c>
      <c r="G715" t="s">
        <v>14</v>
      </c>
      <c r="H715" t="s">
        <v>103</v>
      </c>
      <c r="I715">
        <v>48.19</v>
      </c>
      <c r="J715">
        <v>-114.38</v>
      </c>
      <c r="K715" t="s">
        <v>104</v>
      </c>
      <c r="L715" s="4">
        <v>34745</v>
      </c>
      <c r="M715" s="4">
        <v>26503</v>
      </c>
      <c r="N715" s="11">
        <f t="shared" si="33"/>
        <v>0.76278601237588139</v>
      </c>
      <c r="O715">
        <v>691</v>
      </c>
      <c r="P715" t="str">
        <f t="shared" si="35"/>
        <v>Good</v>
      </c>
      <c r="Q715">
        <v>4</v>
      </c>
    </row>
    <row r="716" spans="1:17" x14ac:dyDescent="0.3">
      <c r="A716">
        <v>714</v>
      </c>
      <c r="B716">
        <v>61</v>
      </c>
      <c r="C716">
        <v>67</v>
      </c>
      <c r="D716">
        <v>1958</v>
      </c>
      <c r="E716">
        <v>10</v>
      </c>
      <c r="F716" t="str">
        <f t="shared" si="34"/>
        <v>51-60</v>
      </c>
      <c r="G716" t="s">
        <v>14</v>
      </c>
      <c r="H716" t="s">
        <v>314</v>
      </c>
      <c r="I716">
        <v>45.34</v>
      </c>
      <c r="J716">
        <v>-122.66</v>
      </c>
      <c r="K716" t="s">
        <v>315</v>
      </c>
      <c r="L716" s="4">
        <v>73383</v>
      </c>
      <c r="M716" s="4">
        <v>155191</v>
      </c>
      <c r="N716" s="11">
        <f t="shared" si="33"/>
        <v>2.1148086068980554</v>
      </c>
      <c r="O716">
        <v>760</v>
      </c>
      <c r="P716" t="str">
        <f t="shared" si="35"/>
        <v>Very Good</v>
      </c>
      <c r="Q716">
        <v>2</v>
      </c>
    </row>
    <row r="717" spans="1:17" x14ac:dyDescent="0.3">
      <c r="A717">
        <v>715</v>
      </c>
      <c r="B717">
        <v>37</v>
      </c>
      <c r="C717">
        <v>75</v>
      </c>
      <c r="D717">
        <v>1983</v>
      </c>
      <c r="E717">
        <v>1</v>
      </c>
      <c r="F717" t="str">
        <f t="shared" si="34"/>
        <v>36-50</v>
      </c>
      <c r="G717" t="s">
        <v>14</v>
      </c>
      <c r="H717" t="s">
        <v>689</v>
      </c>
      <c r="I717">
        <v>41.76</v>
      </c>
      <c r="J717">
        <v>-88.15</v>
      </c>
      <c r="K717" t="s">
        <v>690</v>
      </c>
      <c r="L717" s="4">
        <v>100303</v>
      </c>
      <c r="M717" s="4">
        <v>53919</v>
      </c>
      <c r="N717" s="11">
        <f t="shared" si="33"/>
        <v>0.53756118959552557</v>
      </c>
      <c r="O717">
        <v>821</v>
      </c>
      <c r="P717" t="str">
        <f t="shared" si="35"/>
        <v>Excellent</v>
      </c>
      <c r="Q717">
        <v>2</v>
      </c>
    </row>
    <row r="718" spans="1:17" x14ac:dyDescent="0.3">
      <c r="A718">
        <v>716</v>
      </c>
      <c r="B718">
        <v>31</v>
      </c>
      <c r="C718">
        <v>70</v>
      </c>
      <c r="D718">
        <v>1988</v>
      </c>
      <c r="E718">
        <v>5</v>
      </c>
      <c r="F718" t="str">
        <f t="shared" si="34"/>
        <v>26-35</v>
      </c>
      <c r="G718" t="s">
        <v>19</v>
      </c>
      <c r="H718" t="s">
        <v>719</v>
      </c>
      <c r="I718">
        <v>33.92</v>
      </c>
      <c r="J718">
        <v>-116.83</v>
      </c>
      <c r="K718" t="s">
        <v>720</v>
      </c>
      <c r="L718" s="4">
        <v>26511</v>
      </c>
      <c r="M718" s="4">
        <v>21869</v>
      </c>
      <c r="N718" s="11">
        <f t="shared" si="33"/>
        <v>0.82490287050658218</v>
      </c>
      <c r="O718">
        <v>769</v>
      </c>
      <c r="P718" t="str">
        <f t="shared" si="35"/>
        <v>Very Good</v>
      </c>
      <c r="Q718">
        <v>6</v>
      </c>
    </row>
    <row r="719" spans="1:17" x14ac:dyDescent="0.3">
      <c r="A719">
        <v>717</v>
      </c>
      <c r="B719">
        <v>23</v>
      </c>
      <c r="C719">
        <v>65</v>
      </c>
      <c r="D719">
        <v>1996</v>
      </c>
      <c r="E719">
        <v>8</v>
      </c>
      <c r="F719" t="str">
        <f t="shared" si="34"/>
        <v>18-25</v>
      </c>
      <c r="G719" t="s">
        <v>14</v>
      </c>
      <c r="H719" t="s">
        <v>1471</v>
      </c>
      <c r="I719">
        <v>28.04</v>
      </c>
      <c r="J719">
        <v>-81.96</v>
      </c>
      <c r="K719" t="s">
        <v>752</v>
      </c>
      <c r="L719" s="4">
        <v>53675</v>
      </c>
      <c r="M719" s="4">
        <v>82373</v>
      </c>
      <c r="N719" s="11">
        <f t="shared" si="33"/>
        <v>1.5346623195156031</v>
      </c>
      <c r="O719">
        <v>659</v>
      </c>
      <c r="P719" t="str">
        <f t="shared" si="35"/>
        <v>Fair</v>
      </c>
      <c r="Q719">
        <v>5</v>
      </c>
    </row>
    <row r="720" spans="1:17" x14ac:dyDescent="0.3">
      <c r="A720">
        <v>718</v>
      </c>
      <c r="B720">
        <v>48</v>
      </c>
      <c r="C720">
        <v>63</v>
      </c>
      <c r="D720">
        <v>1971</v>
      </c>
      <c r="E720">
        <v>8</v>
      </c>
      <c r="F720" t="str">
        <f t="shared" si="34"/>
        <v>36-50</v>
      </c>
      <c r="G720" t="s">
        <v>19</v>
      </c>
      <c r="H720" t="s">
        <v>1866</v>
      </c>
      <c r="I720">
        <v>41.64</v>
      </c>
      <c r="J720">
        <v>-85.41</v>
      </c>
      <c r="K720" t="s">
        <v>1867</v>
      </c>
      <c r="L720" s="4">
        <v>29081</v>
      </c>
      <c r="M720" s="4">
        <v>56301</v>
      </c>
      <c r="N720" s="11">
        <f t="shared" si="33"/>
        <v>1.9360063271551873</v>
      </c>
      <c r="O720">
        <v>655</v>
      </c>
      <c r="P720" t="str">
        <f t="shared" si="35"/>
        <v>Fair</v>
      </c>
      <c r="Q720">
        <v>3</v>
      </c>
    </row>
    <row r="721" spans="1:17" x14ac:dyDescent="0.3">
      <c r="A721">
        <v>719</v>
      </c>
      <c r="B721">
        <v>53</v>
      </c>
      <c r="C721">
        <v>66</v>
      </c>
      <c r="D721">
        <v>1966</v>
      </c>
      <c r="E721">
        <v>11</v>
      </c>
      <c r="F721" t="str">
        <f t="shared" si="34"/>
        <v>51-60</v>
      </c>
      <c r="G721" t="s">
        <v>14</v>
      </c>
      <c r="H721" t="s">
        <v>248</v>
      </c>
      <c r="I721">
        <v>42.27</v>
      </c>
      <c r="J721">
        <v>-89.06</v>
      </c>
      <c r="K721" t="s">
        <v>249</v>
      </c>
      <c r="L721" s="4">
        <v>50139</v>
      </c>
      <c r="M721" s="4">
        <v>109623</v>
      </c>
      <c r="N721" s="11">
        <f t="shared" si="33"/>
        <v>2.1863818584335548</v>
      </c>
      <c r="O721">
        <v>767</v>
      </c>
      <c r="P721" t="str">
        <f t="shared" si="35"/>
        <v>Very Good</v>
      </c>
      <c r="Q721">
        <v>3</v>
      </c>
    </row>
    <row r="722" spans="1:17" x14ac:dyDescent="0.3">
      <c r="A722">
        <v>720</v>
      </c>
      <c r="B722">
        <v>36</v>
      </c>
      <c r="C722">
        <v>65</v>
      </c>
      <c r="D722">
        <v>1983</v>
      </c>
      <c r="E722">
        <v>5</v>
      </c>
      <c r="F722" t="str">
        <f t="shared" si="34"/>
        <v>36-50</v>
      </c>
      <c r="G722" t="s">
        <v>14</v>
      </c>
      <c r="H722" t="s">
        <v>1629</v>
      </c>
      <c r="I722">
        <v>42.38</v>
      </c>
      <c r="J722">
        <v>-83.1</v>
      </c>
      <c r="K722" t="s">
        <v>1630</v>
      </c>
      <c r="L722" s="4">
        <v>19800</v>
      </c>
      <c r="M722" s="4">
        <v>40038</v>
      </c>
      <c r="N722" s="11">
        <f t="shared" si="33"/>
        <v>2.022121212121212</v>
      </c>
      <c r="O722">
        <v>682</v>
      </c>
      <c r="P722" t="str">
        <f t="shared" si="35"/>
        <v>Good</v>
      </c>
      <c r="Q722">
        <v>3</v>
      </c>
    </row>
    <row r="723" spans="1:17" x14ac:dyDescent="0.3">
      <c r="A723">
        <v>721</v>
      </c>
      <c r="B723">
        <v>39</v>
      </c>
      <c r="C723">
        <v>67</v>
      </c>
      <c r="D723">
        <v>1980</v>
      </c>
      <c r="E723">
        <v>5</v>
      </c>
      <c r="F723" t="str">
        <f t="shared" si="34"/>
        <v>36-50</v>
      </c>
      <c r="G723" t="s">
        <v>19</v>
      </c>
      <c r="H723" t="s">
        <v>643</v>
      </c>
      <c r="I723">
        <v>25.77</v>
      </c>
      <c r="J723">
        <v>-80.2</v>
      </c>
      <c r="K723" t="s">
        <v>52</v>
      </c>
      <c r="L723" s="4">
        <v>38386</v>
      </c>
      <c r="M723" s="4">
        <v>74820</v>
      </c>
      <c r="N723" s="11">
        <f t="shared" si="33"/>
        <v>1.9491481269212734</v>
      </c>
      <c r="O723">
        <v>850</v>
      </c>
      <c r="P723" t="str">
        <f t="shared" si="35"/>
        <v>Excellent</v>
      </c>
      <c r="Q723">
        <v>6</v>
      </c>
    </row>
    <row r="724" spans="1:17" x14ac:dyDescent="0.3">
      <c r="A724">
        <v>722</v>
      </c>
      <c r="B724">
        <v>25</v>
      </c>
      <c r="C724">
        <v>66</v>
      </c>
      <c r="D724">
        <v>1995</v>
      </c>
      <c r="E724">
        <v>1</v>
      </c>
      <c r="F724" t="str">
        <f t="shared" si="34"/>
        <v>18-25</v>
      </c>
      <c r="G724" t="s">
        <v>19</v>
      </c>
      <c r="H724" t="s">
        <v>915</v>
      </c>
      <c r="I724">
        <v>41.01</v>
      </c>
      <c r="J724">
        <v>-75.89</v>
      </c>
      <c r="K724" t="s">
        <v>916</v>
      </c>
      <c r="L724" s="4">
        <v>32966</v>
      </c>
      <c r="M724" s="4">
        <v>73741</v>
      </c>
      <c r="N724" s="11">
        <f t="shared" si="33"/>
        <v>2.2368804222532308</v>
      </c>
      <c r="O724">
        <v>707</v>
      </c>
      <c r="P724" t="str">
        <f t="shared" si="35"/>
        <v>Good</v>
      </c>
      <c r="Q724">
        <v>1</v>
      </c>
    </row>
    <row r="725" spans="1:17" x14ac:dyDescent="0.3">
      <c r="A725">
        <v>723</v>
      </c>
      <c r="B725">
        <v>59</v>
      </c>
      <c r="C725">
        <v>68</v>
      </c>
      <c r="D725">
        <v>1960</v>
      </c>
      <c r="E725">
        <v>5</v>
      </c>
      <c r="F725" t="str">
        <f t="shared" si="34"/>
        <v>51-60</v>
      </c>
      <c r="G725" t="s">
        <v>14</v>
      </c>
      <c r="H725" t="s">
        <v>1452</v>
      </c>
      <c r="I725">
        <v>29.76</v>
      </c>
      <c r="J725">
        <v>-95.38</v>
      </c>
      <c r="K725" t="s">
        <v>1453</v>
      </c>
      <c r="L725" s="4">
        <v>35397</v>
      </c>
      <c r="M725" s="4">
        <v>55112</v>
      </c>
      <c r="N725" s="11">
        <f t="shared" si="33"/>
        <v>1.5569681046416364</v>
      </c>
      <c r="O725">
        <v>828</v>
      </c>
      <c r="P725" t="str">
        <f t="shared" si="35"/>
        <v>Excellent</v>
      </c>
      <c r="Q725">
        <v>5</v>
      </c>
    </row>
    <row r="726" spans="1:17" x14ac:dyDescent="0.3">
      <c r="A726">
        <v>724</v>
      </c>
      <c r="B726">
        <v>45</v>
      </c>
      <c r="C726">
        <v>72</v>
      </c>
      <c r="D726">
        <v>1974</v>
      </c>
      <c r="E726">
        <v>5</v>
      </c>
      <c r="F726" t="str">
        <f t="shared" si="34"/>
        <v>36-50</v>
      </c>
      <c r="G726" t="s">
        <v>14</v>
      </c>
      <c r="H726" t="s">
        <v>192</v>
      </c>
      <c r="I726">
        <v>35.97</v>
      </c>
      <c r="J726">
        <v>-96.76</v>
      </c>
      <c r="K726" t="s">
        <v>193</v>
      </c>
      <c r="L726" s="4">
        <v>35142</v>
      </c>
      <c r="M726" s="4">
        <v>107898</v>
      </c>
      <c r="N726" s="11">
        <f t="shared" si="33"/>
        <v>3.0703431791019291</v>
      </c>
      <c r="O726">
        <v>731</v>
      </c>
      <c r="P726" t="str">
        <f t="shared" si="35"/>
        <v>Good</v>
      </c>
      <c r="Q726">
        <v>4</v>
      </c>
    </row>
    <row r="727" spans="1:17" x14ac:dyDescent="0.3">
      <c r="A727">
        <v>725</v>
      </c>
      <c r="B727">
        <v>18</v>
      </c>
      <c r="C727">
        <v>68</v>
      </c>
      <c r="D727">
        <v>2002</v>
      </c>
      <c r="E727">
        <v>1</v>
      </c>
      <c r="F727" t="str">
        <f t="shared" si="34"/>
        <v>18-25</v>
      </c>
      <c r="G727" t="s">
        <v>19</v>
      </c>
      <c r="H727" t="s">
        <v>1102</v>
      </c>
      <c r="I727">
        <v>42.35</v>
      </c>
      <c r="J727">
        <v>-71.06</v>
      </c>
      <c r="K727" t="s">
        <v>1103</v>
      </c>
      <c r="L727" s="4">
        <v>44466</v>
      </c>
      <c r="M727" s="4">
        <v>3096</v>
      </c>
      <c r="N727" s="11">
        <f t="shared" si="33"/>
        <v>6.9626231277830256E-2</v>
      </c>
      <c r="O727">
        <v>709</v>
      </c>
      <c r="P727" t="str">
        <f t="shared" si="35"/>
        <v>Good</v>
      </c>
      <c r="Q727">
        <v>2</v>
      </c>
    </row>
    <row r="728" spans="1:17" x14ac:dyDescent="0.3">
      <c r="A728">
        <v>726</v>
      </c>
      <c r="B728">
        <v>58</v>
      </c>
      <c r="C728">
        <v>67</v>
      </c>
      <c r="D728">
        <v>1961</v>
      </c>
      <c r="E728">
        <v>8</v>
      </c>
      <c r="F728" t="str">
        <f t="shared" si="34"/>
        <v>51-60</v>
      </c>
      <c r="G728" t="s">
        <v>19</v>
      </c>
      <c r="H728" t="s">
        <v>1380</v>
      </c>
      <c r="I728">
        <v>33.79</v>
      </c>
      <c r="J728">
        <v>-118.29</v>
      </c>
      <c r="K728" t="s">
        <v>1381</v>
      </c>
      <c r="L728" s="4">
        <v>44924</v>
      </c>
      <c r="M728" s="4">
        <v>27297</v>
      </c>
      <c r="N728" s="11">
        <f t="shared" si="33"/>
        <v>0.60762621316000354</v>
      </c>
      <c r="O728">
        <v>717</v>
      </c>
      <c r="P728" t="str">
        <f t="shared" si="35"/>
        <v>Good</v>
      </c>
      <c r="Q728">
        <v>3</v>
      </c>
    </row>
    <row r="729" spans="1:17" x14ac:dyDescent="0.3">
      <c r="A729">
        <v>727</v>
      </c>
      <c r="B729">
        <v>44</v>
      </c>
      <c r="C729">
        <v>68</v>
      </c>
      <c r="D729">
        <v>1975</v>
      </c>
      <c r="E729">
        <v>5</v>
      </c>
      <c r="F729" t="str">
        <f t="shared" si="34"/>
        <v>36-50</v>
      </c>
      <c r="G729" t="s">
        <v>19</v>
      </c>
      <c r="H729" t="s">
        <v>1240</v>
      </c>
      <c r="I729">
        <v>38.630000000000003</v>
      </c>
      <c r="J729">
        <v>-90.24</v>
      </c>
      <c r="K729" t="s">
        <v>1241</v>
      </c>
      <c r="L729" s="4">
        <v>40522</v>
      </c>
      <c r="M729" s="4">
        <v>81572</v>
      </c>
      <c r="N729" s="11">
        <f t="shared" si="33"/>
        <v>2.0130299590345984</v>
      </c>
      <c r="O729">
        <v>801</v>
      </c>
      <c r="P729" t="str">
        <f t="shared" si="35"/>
        <v>Excellent</v>
      </c>
      <c r="Q729">
        <v>5</v>
      </c>
    </row>
    <row r="730" spans="1:17" x14ac:dyDescent="0.3">
      <c r="A730">
        <v>728</v>
      </c>
      <c r="B730">
        <v>30</v>
      </c>
      <c r="C730">
        <v>67</v>
      </c>
      <c r="D730">
        <v>1989</v>
      </c>
      <c r="E730">
        <v>7</v>
      </c>
      <c r="F730" t="str">
        <f t="shared" si="34"/>
        <v>26-35</v>
      </c>
      <c r="G730" t="s">
        <v>14</v>
      </c>
      <c r="H730" t="s">
        <v>681</v>
      </c>
      <c r="I730">
        <v>39.08</v>
      </c>
      <c r="J730">
        <v>-94.35</v>
      </c>
      <c r="K730" t="s">
        <v>682</v>
      </c>
      <c r="L730" s="4">
        <v>33076</v>
      </c>
      <c r="M730" s="4">
        <v>50117</v>
      </c>
      <c r="N730" s="11">
        <f t="shared" si="33"/>
        <v>1.515207401136776</v>
      </c>
      <c r="O730">
        <v>721</v>
      </c>
      <c r="P730" t="str">
        <f t="shared" si="35"/>
        <v>Good</v>
      </c>
      <c r="Q730">
        <v>3</v>
      </c>
    </row>
    <row r="731" spans="1:17" x14ac:dyDescent="0.3">
      <c r="A731">
        <v>729</v>
      </c>
      <c r="B731">
        <v>80</v>
      </c>
      <c r="C731">
        <v>67</v>
      </c>
      <c r="D731">
        <v>1939</v>
      </c>
      <c r="E731">
        <v>4</v>
      </c>
      <c r="F731" t="str">
        <f t="shared" si="34"/>
        <v>65+</v>
      </c>
      <c r="G731" t="s">
        <v>14</v>
      </c>
      <c r="H731" t="s">
        <v>701</v>
      </c>
      <c r="I731">
        <v>40.28</v>
      </c>
      <c r="J731">
        <v>-86.51</v>
      </c>
      <c r="K731" t="s">
        <v>702</v>
      </c>
      <c r="L731" s="4">
        <v>24884</v>
      </c>
      <c r="M731" s="4">
        <v>1828</v>
      </c>
      <c r="N731" s="11">
        <f t="shared" si="33"/>
        <v>7.3460858382896635E-2</v>
      </c>
      <c r="O731">
        <v>850</v>
      </c>
      <c r="P731" t="str">
        <f t="shared" si="35"/>
        <v>Excellent</v>
      </c>
      <c r="Q731">
        <v>6</v>
      </c>
    </row>
    <row r="732" spans="1:17" x14ac:dyDescent="0.3">
      <c r="A732">
        <v>730</v>
      </c>
      <c r="B732">
        <v>51</v>
      </c>
      <c r="C732">
        <v>69</v>
      </c>
      <c r="D732">
        <v>1968</v>
      </c>
      <c r="E732">
        <v>8</v>
      </c>
      <c r="F732" t="str">
        <f t="shared" si="34"/>
        <v>51-60</v>
      </c>
      <c r="G732" t="s">
        <v>19</v>
      </c>
      <c r="H732" t="s">
        <v>1620</v>
      </c>
      <c r="I732">
        <v>38.9</v>
      </c>
      <c r="J732">
        <v>-94.68</v>
      </c>
      <c r="K732" t="s">
        <v>1621</v>
      </c>
      <c r="L732" s="4">
        <v>84944</v>
      </c>
      <c r="M732" s="4">
        <v>57746</v>
      </c>
      <c r="N732" s="11">
        <f t="shared" si="33"/>
        <v>0.67981258240723297</v>
      </c>
      <c r="O732">
        <v>713</v>
      </c>
      <c r="P732" t="str">
        <f t="shared" si="35"/>
        <v>Good</v>
      </c>
      <c r="Q732">
        <v>3</v>
      </c>
    </row>
    <row r="733" spans="1:17" x14ac:dyDescent="0.3">
      <c r="A733">
        <v>731</v>
      </c>
      <c r="B733">
        <v>31</v>
      </c>
      <c r="C733">
        <v>73</v>
      </c>
      <c r="D733">
        <v>1988</v>
      </c>
      <c r="E733">
        <v>7</v>
      </c>
      <c r="F733" t="str">
        <f t="shared" si="34"/>
        <v>26-35</v>
      </c>
      <c r="G733" t="s">
        <v>19</v>
      </c>
      <c r="H733" t="s">
        <v>588</v>
      </c>
      <c r="I733">
        <v>40.32</v>
      </c>
      <c r="J733">
        <v>-118.2</v>
      </c>
      <c r="K733" t="s">
        <v>589</v>
      </c>
      <c r="L733" s="4">
        <v>38193</v>
      </c>
      <c r="M733" s="4">
        <v>39874</v>
      </c>
      <c r="N733" s="11">
        <f t="shared" si="33"/>
        <v>1.044013300866651</v>
      </c>
      <c r="O733">
        <v>703</v>
      </c>
      <c r="P733" t="str">
        <f t="shared" si="35"/>
        <v>Good</v>
      </c>
      <c r="Q733">
        <v>3</v>
      </c>
    </row>
    <row r="734" spans="1:17" x14ac:dyDescent="0.3">
      <c r="A734">
        <v>732</v>
      </c>
      <c r="B734">
        <v>60</v>
      </c>
      <c r="C734">
        <v>68</v>
      </c>
      <c r="D734">
        <v>1959</v>
      </c>
      <c r="E734">
        <v>8</v>
      </c>
      <c r="F734" t="str">
        <f t="shared" si="34"/>
        <v>51-60</v>
      </c>
      <c r="G734" t="s">
        <v>19</v>
      </c>
      <c r="H734" t="s">
        <v>1303</v>
      </c>
      <c r="I734">
        <v>37.68</v>
      </c>
      <c r="J734">
        <v>-97.34</v>
      </c>
      <c r="K734" t="s">
        <v>1304</v>
      </c>
      <c r="L734" s="4">
        <v>39191</v>
      </c>
      <c r="M734" s="4">
        <v>43396</v>
      </c>
      <c r="N734" s="11">
        <f t="shared" si="33"/>
        <v>1.1072950422290833</v>
      </c>
      <c r="O734">
        <v>756</v>
      </c>
      <c r="P734" t="str">
        <f t="shared" si="35"/>
        <v>Very Good</v>
      </c>
      <c r="Q734">
        <v>6</v>
      </c>
    </row>
    <row r="735" spans="1:17" x14ac:dyDescent="0.3">
      <c r="A735">
        <v>733</v>
      </c>
      <c r="B735">
        <v>36</v>
      </c>
      <c r="C735">
        <v>68</v>
      </c>
      <c r="D735">
        <v>1983</v>
      </c>
      <c r="E735">
        <v>7</v>
      </c>
      <c r="F735" t="str">
        <f t="shared" si="34"/>
        <v>36-50</v>
      </c>
      <c r="G735" t="s">
        <v>19</v>
      </c>
      <c r="H735" t="s">
        <v>350</v>
      </c>
      <c r="I735">
        <v>31.49</v>
      </c>
      <c r="J735">
        <v>-97.23</v>
      </c>
      <c r="K735" t="s">
        <v>351</v>
      </c>
      <c r="L735" s="4">
        <v>53138</v>
      </c>
      <c r="M735" s="4">
        <v>153374</v>
      </c>
      <c r="N735" s="11">
        <f t="shared" si="33"/>
        <v>2.88633369716587</v>
      </c>
      <c r="O735">
        <v>606</v>
      </c>
      <c r="P735" t="str">
        <f t="shared" si="35"/>
        <v>Fair</v>
      </c>
      <c r="Q735">
        <v>4</v>
      </c>
    </row>
    <row r="736" spans="1:17" x14ac:dyDescent="0.3">
      <c r="A736">
        <v>734</v>
      </c>
      <c r="B736">
        <v>43</v>
      </c>
      <c r="C736">
        <v>61</v>
      </c>
      <c r="D736">
        <v>1976</v>
      </c>
      <c r="E736">
        <v>7</v>
      </c>
      <c r="F736" t="str">
        <f t="shared" si="34"/>
        <v>36-50</v>
      </c>
      <c r="G736" t="s">
        <v>14</v>
      </c>
      <c r="H736" t="s">
        <v>1122</v>
      </c>
      <c r="I736">
        <v>42.88</v>
      </c>
      <c r="J736">
        <v>-78.849999999999994</v>
      </c>
      <c r="K736" t="s">
        <v>1123</v>
      </c>
      <c r="L736" s="4">
        <v>24917</v>
      </c>
      <c r="M736" s="4">
        <v>36101</v>
      </c>
      <c r="N736" s="11">
        <f t="shared" si="33"/>
        <v>1.4488501826062528</v>
      </c>
      <c r="O736">
        <v>693</v>
      </c>
      <c r="P736" t="str">
        <f t="shared" si="35"/>
        <v>Good</v>
      </c>
      <c r="Q736">
        <v>2</v>
      </c>
    </row>
    <row r="737" spans="1:17" x14ac:dyDescent="0.3">
      <c r="A737">
        <v>735</v>
      </c>
      <c r="B737">
        <v>49</v>
      </c>
      <c r="C737">
        <v>67</v>
      </c>
      <c r="D737">
        <v>1970</v>
      </c>
      <c r="E737">
        <v>12</v>
      </c>
      <c r="F737" t="str">
        <f t="shared" si="34"/>
        <v>36-50</v>
      </c>
      <c r="G737" t="s">
        <v>14</v>
      </c>
      <c r="H737" t="s">
        <v>1246</v>
      </c>
      <c r="I737">
        <v>47.79</v>
      </c>
      <c r="J737">
        <v>-122.2</v>
      </c>
      <c r="K737" t="s">
        <v>1247</v>
      </c>
      <c r="L737" s="4">
        <v>67743</v>
      </c>
      <c r="M737" s="4">
        <v>67132</v>
      </c>
      <c r="N737" s="11">
        <f t="shared" si="33"/>
        <v>0.99098061792362313</v>
      </c>
      <c r="O737">
        <v>752</v>
      </c>
      <c r="P737" t="str">
        <f t="shared" si="35"/>
        <v>Very Good</v>
      </c>
      <c r="Q737">
        <v>3</v>
      </c>
    </row>
    <row r="738" spans="1:17" x14ac:dyDescent="0.3">
      <c r="A738">
        <v>736</v>
      </c>
      <c r="B738">
        <v>27</v>
      </c>
      <c r="C738">
        <v>66</v>
      </c>
      <c r="D738">
        <v>1992</v>
      </c>
      <c r="E738">
        <v>9</v>
      </c>
      <c r="F738" t="str">
        <f t="shared" si="34"/>
        <v>26-35</v>
      </c>
      <c r="G738" t="s">
        <v>14</v>
      </c>
      <c r="H738" t="s">
        <v>438</v>
      </c>
      <c r="I738">
        <v>39.99</v>
      </c>
      <c r="J738">
        <v>-105.09</v>
      </c>
      <c r="K738" t="s">
        <v>439</v>
      </c>
      <c r="L738" s="4">
        <v>61317</v>
      </c>
      <c r="M738" s="4">
        <v>0</v>
      </c>
      <c r="N738" s="11">
        <f t="shared" si="33"/>
        <v>0</v>
      </c>
      <c r="O738">
        <v>741</v>
      </c>
      <c r="P738" t="str">
        <f t="shared" si="35"/>
        <v>Very Good</v>
      </c>
      <c r="Q738">
        <v>3</v>
      </c>
    </row>
    <row r="739" spans="1:17" x14ac:dyDescent="0.3">
      <c r="A739">
        <v>737</v>
      </c>
      <c r="B739">
        <v>61</v>
      </c>
      <c r="C739">
        <v>60</v>
      </c>
      <c r="D739">
        <v>1958</v>
      </c>
      <c r="E739">
        <v>3</v>
      </c>
      <c r="F739" t="str">
        <f t="shared" si="34"/>
        <v>51-60</v>
      </c>
      <c r="G739" t="s">
        <v>14</v>
      </c>
      <c r="H739" t="s">
        <v>1759</v>
      </c>
      <c r="I739">
        <v>42.33</v>
      </c>
      <c r="J739">
        <v>-122.79</v>
      </c>
      <c r="K739" t="s">
        <v>540</v>
      </c>
      <c r="L739" s="4">
        <v>30359</v>
      </c>
      <c r="M739" s="4">
        <v>16552</v>
      </c>
      <c r="N739" s="11">
        <f t="shared" si="33"/>
        <v>0.54520899897888597</v>
      </c>
      <c r="O739">
        <v>758</v>
      </c>
      <c r="P739" t="str">
        <f t="shared" si="35"/>
        <v>Very Good</v>
      </c>
      <c r="Q739">
        <v>2</v>
      </c>
    </row>
    <row r="740" spans="1:17" x14ac:dyDescent="0.3">
      <c r="A740">
        <v>738</v>
      </c>
      <c r="B740">
        <v>57</v>
      </c>
      <c r="C740">
        <v>67</v>
      </c>
      <c r="D740">
        <v>1962</v>
      </c>
      <c r="E740">
        <v>10</v>
      </c>
      <c r="F740" t="str">
        <f t="shared" si="34"/>
        <v>51-60</v>
      </c>
      <c r="G740" t="s">
        <v>14</v>
      </c>
      <c r="H740" t="s">
        <v>1900</v>
      </c>
      <c r="I740">
        <v>40.020000000000003</v>
      </c>
      <c r="J740">
        <v>-105.25</v>
      </c>
      <c r="K740" t="s">
        <v>46</v>
      </c>
      <c r="L740" s="4">
        <v>63974</v>
      </c>
      <c r="M740" s="4">
        <v>131731</v>
      </c>
      <c r="N740" s="11">
        <f t="shared" si="33"/>
        <v>2.0591333979429143</v>
      </c>
      <c r="O740">
        <v>707</v>
      </c>
      <c r="P740" t="str">
        <f t="shared" si="35"/>
        <v>Good</v>
      </c>
      <c r="Q740">
        <v>4</v>
      </c>
    </row>
    <row r="741" spans="1:17" x14ac:dyDescent="0.3">
      <c r="A741">
        <v>739</v>
      </c>
      <c r="B741">
        <v>38</v>
      </c>
      <c r="C741">
        <v>64</v>
      </c>
      <c r="D741">
        <v>1981</v>
      </c>
      <c r="E741">
        <v>7</v>
      </c>
      <c r="F741" t="str">
        <f t="shared" si="34"/>
        <v>36-50</v>
      </c>
      <c r="G741" t="s">
        <v>14</v>
      </c>
      <c r="H741" t="s">
        <v>1031</v>
      </c>
      <c r="I741">
        <v>29.76</v>
      </c>
      <c r="J741">
        <v>-95.38</v>
      </c>
      <c r="K741" t="s">
        <v>1032</v>
      </c>
      <c r="L741" s="4">
        <v>69171</v>
      </c>
      <c r="M741" s="4">
        <v>102537</v>
      </c>
      <c r="N741" s="11">
        <f t="shared" si="33"/>
        <v>1.4823697792427462</v>
      </c>
      <c r="O741">
        <v>622</v>
      </c>
      <c r="P741" t="str">
        <f t="shared" si="35"/>
        <v>Fair</v>
      </c>
      <c r="Q741">
        <v>1</v>
      </c>
    </row>
    <row r="742" spans="1:17" x14ac:dyDescent="0.3">
      <c r="A742">
        <v>740</v>
      </c>
      <c r="B742">
        <v>30</v>
      </c>
      <c r="C742">
        <v>62</v>
      </c>
      <c r="D742">
        <v>1989</v>
      </c>
      <c r="E742">
        <v>8</v>
      </c>
      <c r="F742" t="str">
        <f t="shared" si="34"/>
        <v>26-35</v>
      </c>
      <c r="G742" t="s">
        <v>14</v>
      </c>
      <c r="H742" t="s">
        <v>1090</v>
      </c>
      <c r="I742">
        <v>29.76</v>
      </c>
      <c r="J742">
        <v>-95.38</v>
      </c>
      <c r="K742" t="s">
        <v>1091</v>
      </c>
      <c r="L742" s="4">
        <v>32343</v>
      </c>
      <c r="M742" s="4">
        <v>39656</v>
      </c>
      <c r="N742" s="11">
        <f t="shared" si="33"/>
        <v>1.2261076585350772</v>
      </c>
      <c r="O742">
        <v>683</v>
      </c>
      <c r="P742" t="str">
        <f t="shared" si="35"/>
        <v>Good</v>
      </c>
      <c r="Q742">
        <v>3</v>
      </c>
    </row>
    <row r="743" spans="1:17" x14ac:dyDescent="0.3">
      <c r="A743">
        <v>741</v>
      </c>
      <c r="B743">
        <v>75</v>
      </c>
      <c r="C743">
        <v>66</v>
      </c>
      <c r="D743">
        <v>1944</v>
      </c>
      <c r="E743">
        <v>9</v>
      </c>
      <c r="F743" t="str">
        <f t="shared" si="34"/>
        <v>65+</v>
      </c>
      <c r="G743" t="s">
        <v>19</v>
      </c>
      <c r="H743" t="s">
        <v>1259</v>
      </c>
      <c r="I743">
        <v>42.35</v>
      </c>
      <c r="J743">
        <v>-71.06</v>
      </c>
      <c r="K743" t="s">
        <v>1260</v>
      </c>
      <c r="L743" s="4">
        <v>41316</v>
      </c>
      <c r="M743" s="4">
        <v>22629</v>
      </c>
      <c r="N743" s="11">
        <f t="shared" si="33"/>
        <v>0.54770548939878017</v>
      </c>
      <c r="O743">
        <v>826</v>
      </c>
      <c r="P743" t="str">
        <f t="shared" si="35"/>
        <v>Excellent</v>
      </c>
      <c r="Q743">
        <v>1</v>
      </c>
    </row>
    <row r="744" spans="1:17" x14ac:dyDescent="0.3">
      <c r="A744">
        <v>742</v>
      </c>
      <c r="B744">
        <v>69</v>
      </c>
      <c r="C744">
        <v>67</v>
      </c>
      <c r="D744">
        <v>1950</v>
      </c>
      <c r="E744">
        <v>12</v>
      </c>
      <c r="F744" t="str">
        <f t="shared" si="34"/>
        <v>65+</v>
      </c>
      <c r="G744" t="s">
        <v>14</v>
      </c>
      <c r="H744" t="s">
        <v>1854</v>
      </c>
      <c r="I744">
        <v>38.74</v>
      </c>
      <c r="J744">
        <v>-77.48</v>
      </c>
      <c r="K744" t="s">
        <v>1855</v>
      </c>
      <c r="L744" s="4">
        <v>50753</v>
      </c>
      <c r="M744" s="4">
        <v>20226</v>
      </c>
      <c r="N744" s="11">
        <f t="shared" si="33"/>
        <v>0.39851831418832384</v>
      </c>
      <c r="O744">
        <v>698</v>
      </c>
      <c r="P744" t="str">
        <f t="shared" si="35"/>
        <v>Good</v>
      </c>
      <c r="Q744">
        <v>4</v>
      </c>
    </row>
    <row r="745" spans="1:17" x14ac:dyDescent="0.3">
      <c r="A745">
        <v>743</v>
      </c>
      <c r="B745">
        <v>44</v>
      </c>
      <c r="C745">
        <v>66</v>
      </c>
      <c r="D745">
        <v>1975</v>
      </c>
      <c r="E745">
        <v>4</v>
      </c>
      <c r="F745" t="str">
        <f t="shared" si="34"/>
        <v>36-50</v>
      </c>
      <c r="G745" t="s">
        <v>14</v>
      </c>
      <c r="H745" t="s">
        <v>960</v>
      </c>
      <c r="I745">
        <v>35.64</v>
      </c>
      <c r="J745">
        <v>-78</v>
      </c>
      <c r="K745" t="s">
        <v>961</v>
      </c>
      <c r="L745" s="4">
        <v>32491</v>
      </c>
      <c r="M745" s="4">
        <v>24515</v>
      </c>
      <c r="N745" s="11">
        <f t="shared" si="33"/>
        <v>0.75451663537595026</v>
      </c>
      <c r="O745">
        <v>682</v>
      </c>
      <c r="P745" t="str">
        <f t="shared" si="35"/>
        <v>Good</v>
      </c>
      <c r="Q745">
        <v>3</v>
      </c>
    </row>
    <row r="746" spans="1:17" x14ac:dyDescent="0.3">
      <c r="A746">
        <v>744</v>
      </c>
      <c r="B746">
        <v>58</v>
      </c>
      <c r="C746">
        <v>67</v>
      </c>
      <c r="D746">
        <v>1961</v>
      </c>
      <c r="E746">
        <v>10</v>
      </c>
      <c r="F746" t="str">
        <f t="shared" si="34"/>
        <v>51-60</v>
      </c>
      <c r="G746" t="s">
        <v>14</v>
      </c>
      <c r="H746" t="s">
        <v>603</v>
      </c>
      <c r="I746">
        <v>25.77</v>
      </c>
      <c r="J746">
        <v>-80.2</v>
      </c>
      <c r="K746" t="s">
        <v>604</v>
      </c>
      <c r="L746" s="4">
        <v>44699</v>
      </c>
      <c r="M746" s="4">
        <v>21685</v>
      </c>
      <c r="N746" s="11">
        <f t="shared" si="33"/>
        <v>0.48513389561287723</v>
      </c>
      <c r="O746">
        <v>842</v>
      </c>
      <c r="P746" t="str">
        <f t="shared" si="35"/>
        <v>Excellent</v>
      </c>
      <c r="Q746">
        <v>5</v>
      </c>
    </row>
    <row r="747" spans="1:17" x14ac:dyDescent="0.3">
      <c r="A747">
        <v>745</v>
      </c>
      <c r="B747">
        <v>18</v>
      </c>
      <c r="C747">
        <v>72</v>
      </c>
      <c r="D747">
        <v>2001</v>
      </c>
      <c r="E747">
        <v>12</v>
      </c>
      <c r="F747" t="str">
        <f t="shared" si="34"/>
        <v>18-25</v>
      </c>
      <c r="G747" t="s">
        <v>19</v>
      </c>
      <c r="H747" t="s">
        <v>188</v>
      </c>
      <c r="I747">
        <v>34.06</v>
      </c>
      <c r="J747">
        <v>-117.17</v>
      </c>
      <c r="K747" t="s">
        <v>189</v>
      </c>
      <c r="L747" s="4">
        <v>48561</v>
      </c>
      <c r="M747" s="4">
        <v>0</v>
      </c>
      <c r="N747" s="11">
        <f t="shared" si="33"/>
        <v>0</v>
      </c>
      <c r="O747">
        <v>752</v>
      </c>
      <c r="P747" t="str">
        <f t="shared" si="35"/>
        <v>Very Good</v>
      </c>
      <c r="Q747">
        <v>1</v>
      </c>
    </row>
    <row r="748" spans="1:17" x14ac:dyDescent="0.3">
      <c r="A748">
        <v>746</v>
      </c>
      <c r="B748">
        <v>63</v>
      </c>
      <c r="C748">
        <v>67</v>
      </c>
      <c r="D748">
        <v>1956</v>
      </c>
      <c r="E748">
        <v>10</v>
      </c>
      <c r="F748" t="str">
        <f t="shared" si="34"/>
        <v>51-60</v>
      </c>
      <c r="G748" t="s">
        <v>19</v>
      </c>
      <c r="H748" t="s">
        <v>157</v>
      </c>
      <c r="I748">
        <v>40.64</v>
      </c>
      <c r="J748">
        <v>-73.94</v>
      </c>
      <c r="K748" t="s">
        <v>158</v>
      </c>
      <c r="L748" s="4">
        <v>30288</v>
      </c>
      <c r="M748" s="4">
        <v>42745</v>
      </c>
      <c r="N748" s="11">
        <f t="shared" si="33"/>
        <v>1.4112849973586898</v>
      </c>
      <c r="O748">
        <v>689</v>
      </c>
      <c r="P748" t="str">
        <f t="shared" si="35"/>
        <v>Good</v>
      </c>
      <c r="Q748">
        <v>4</v>
      </c>
    </row>
    <row r="749" spans="1:17" x14ac:dyDescent="0.3">
      <c r="A749">
        <v>747</v>
      </c>
      <c r="B749">
        <v>63</v>
      </c>
      <c r="C749">
        <v>64</v>
      </c>
      <c r="D749">
        <v>1956</v>
      </c>
      <c r="E749">
        <v>4</v>
      </c>
      <c r="F749" t="str">
        <f t="shared" si="34"/>
        <v>51-60</v>
      </c>
      <c r="G749" t="s">
        <v>19</v>
      </c>
      <c r="H749" t="s">
        <v>796</v>
      </c>
      <c r="I749">
        <v>39.33</v>
      </c>
      <c r="J749">
        <v>-82.23</v>
      </c>
      <c r="K749" t="s">
        <v>797</v>
      </c>
      <c r="L749" s="4">
        <v>28828</v>
      </c>
      <c r="M749" s="4">
        <v>49793</v>
      </c>
      <c r="N749" s="11">
        <f t="shared" si="33"/>
        <v>1.7272443457749411</v>
      </c>
      <c r="O749">
        <v>687</v>
      </c>
      <c r="P749" t="str">
        <f t="shared" si="35"/>
        <v>Good</v>
      </c>
      <c r="Q749">
        <v>4</v>
      </c>
    </row>
    <row r="750" spans="1:17" x14ac:dyDescent="0.3">
      <c r="A750">
        <v>748</v>
      </c>
      <c r="B750">
        <v>55</v>
      </c>
      <c r="C750">
        <v>69</v>
      </c>
      <c r="D750">
        <v>1965</v>
      </c>
      <c r="E750">
        <v>1</v>
      </c>
      <c r="F750" t="str">
        <f t="shared" si="34"/>
        <v>51-60</v>
      </c>
      <c r="G750" t="s">
        <v>19</v>
      </c>
      <c r="H750" t="s">
        <v>1149</v>
      </c>
      <c r="I750">
        <v>29.76</v>
      </c>
      <c r="J750">
        <v>-95.38</v>
      </c>
      <c r="K750" t="s">
        <v>1150</v>
      </c>
      <c r="L750" s="4">
        <v>37534</v>
      </c>
      <c r="M750" s="4">
        <v>99840</v>
      </c>
      <c r="N750" s="11">
        <f t="shared" si="33"/>
        <v>2.6599882772952523</v>
      </c>
      <c r="O750">
        <v>706</v>
      </c>
      <c r="P750" t="str">
        <f t="shared" si="35"/>
        <v>Good</v>
      </c>
      <c r="Q750">
        <v>3</v>
      </c>
    </row>
    <row r="751" spans="1:17" x14ac:dyDescent="0.3">
      <c r="A751">
        <v>749</v>
      </c>
      <c r="B751">
        <v>22</v>
      </c>
      <c r="C751">
        <v>68</v>
      </c>
      <c r="D751">
        <v>1997</v>
      </c>
      <c r="E751">
        <v>10</v>
      </c>
      <c r="F751" t="str">
        <f t="shared" si="34"/>
        <v>18-25</v>
      </c>
      <c r="G751" t="s">
        <v>19</v>
      </c>
      <c r="H751" t="s">
        <v>80</v>
      </c>
      <c r="I751">
        <v>32.75</v>
      </c>
      <c r="J751">
        <v>-97.33</v>
      </c>
      <c r="K751" t="s">
        <v>81</v>
      </c>
      <c r="L751" s="4">
        <v>24574</v>
      </c>
      <c r="M751" s="4">
        <v>80667</v>
      </c>
      <c r="N751" s="11">
        <f t="shared" si="33"/>
        <v>3.2826157727679663</v>
      </c>
      <c r="O751">
        <v>674</v>
      </c>
      <c r="P751" t="str">
        <f t="shared" si="35"/>
        <v>Good</v>
      </c>
      <c r="Q751">
        <v>3</v>
      </c>
    </row>
    <row r="752" spans="1:17" x14ac:dyDescent="0.3">
      <c r="A752">
        <v>750</v>
      </c>
      <c r="B752">
        <v>61</v>
      </c>
      <c r="C752">
        <v>68</v>
      </c>
      <c r="D752">
        <v>1959</v>
      </c>
      <c r="E752">
        <v>1</v>
      </c>
      <c r="F752" t="str">
        <f t="shared" si="34"/>
        <v>51-60</v>
      </c>
      <c r="G752" t="s">
        <v>14</v>
      </c>
      <c r="H752" t="s">
        <v>564</v>
      </c>
      <c r="I752">
        <v>35.19</v>
      </c>
      <c r="J752">
        <v>-80.83</v>
      </c>
      <c r="K752" t="s">
        <v>565</v>
      </c>
      <c r="L752" s="4">
        <v>30165</v>
      </c>
      <c r="M752" s="4">
        <v>36972</v>
      </c>
      <c r="N752" s="11">
        <f t="shared" si="33"/>
        <v>1.2256588761810046</v>
      </c>
      <c r="O752">
        <v>694</v>
      </c>
      <c r="P752" t="str">
        <f t="shared" si="35"/>
        <v>Good</v>
      </c>
      <c r="Q752">
        <v>2</v>
      </c>
    </row>
    <row r="753" spans="1:17" x14ac:dyDescent="0.3">
      <c r="A753">
        <v>751</v>
      </c>
      <c r="B753">
        <v>61</v>
      </c>
      <c r="C753">
        <v>64</v>
      </c>
      <c r="D753">
        <v>1958</v>
      </c>
      <c r="E753">
        <v>8</v>
      </c>
      <c r="F753" t="str">
        <f t="shared" si="34"/>
        <v>51-60</v>
      </c>
      <c r="G753" t="s">
        <v>14</v>
      </c>
      <c r="H753" t="s">
        <v>1394</v>
      </c>
      <c r="I753">
        <v>33.450000000000003</v>
      </c>
      <c r="J753">
        <v>-96.74</v>
      </c>
      <c r="K753" t="s">
        <v>1395</v>
      </c>
      <c r="L753" s="4">
        <v>49677</v>
      </c>
      <c r="M753" s="4">
        <v>108399</v>
      </c>
      <c r="N753" s="11">
        <f t="shared" si="33"/>
        <v>2.1820762123316624</v>
      </c>
      <c r="O753">
        <v>593</v>
      </c>
      <c r="P753" t="str">
        <f t="shared" si="35"/>
        <v>Fair</v>
      </c>
      <c r="Q753">
        <v>4</v>
      </c>
    </row>
    <row r="754" spans="1:17" x14ac:dyDescent="0.3">
      <c r="A754">
        <v>752</v>
      </c>
      <c r="B754">
        <v>65</v>
      </c>
      <c r="C754">
        <v>64</v>
      </c>
      <c r="D754">
        <v>1954</v>
      </c>
      <c r="E754">
        <v>6</v>
      </c>
      <c r="F754" t="str">
        <f t="shared" si="34"/>
        <v>51-60</v>
      </c>
      <c r="G754" t="s">
        <v>14</v>
      </c>
      <c r="H754" t="s">
        <v>1532</v>
      </c>
      <c r="I754">
        <v>40.82</v>
      </c>
      <c r="J754">
        <v>-72.98</v>
      </c>
      <c r="K754" t="s">
        <v>1533</v>
      </c>
      <c r="L754" s="4">
        <v>64829</v>
      </c>
      <c r="M754" s="4">
        <v>15537</v>
      </c>
      <c r="N754" s="11">
        <f t="shared" si="33"/>
        <v>0.23966126270650481</v>
      </c>
      <c r="O754">
        <v>664</v>
      </c>
      <c r="P754" t="str">
        <f t="shared" si="35"/>
        <v>Fair</v>
      </c>
      <c r="Q754">
        <v>3</v>
      </c>
    </row>
    <row r="755" spans="1:17" x14ac:dyDescent="0.3">
      <c r="A755">
        <v>753</v>
      </c>
      <c r="B755">
        <v>53</v>
      </c>
      <c r="C755">
        <v>66</v>
      </c>
      <c r="D755">
        <v>1967</v>
      </c>
      <c r="E755">
        <v>2</v>
      </c>
      <c r="F755" t="str">
        <f t="shared" si="34"/>
        <v>51-60</v>
      </c>
      <c r="G755" t="s">
        <v>14</v>
      </c>
      <c r="H755" t="s">
        <v>1762</v>
      </c>
      <c r="I755">
        <v>33.24</v>
      </c>
      <c r="J755">
        <v>-87.59</v>
      </c>
      <c r="K755" t="s">
        <v>1763</v>
      </c>
      <c r="L755" s="4">
        <v>31688</v>
      </c>
      <c r="M755" s="4">
        <v>66776</v>
      </c>
      <c r="N755" s="11">
        <f t="shared" si="33"/>
        <v>2.107296137339056</v>
      </c>
      <c r="O755">
        <v>605</v>
      </c>
      <c r="P755" t="str">
        <f t="shared" si="35"/>
        <v>Fair</v>
      </c>
      <c r="Q755">
        <v>3</v>
      </c>
    </row>
    <row r="756" spans="1:17" x14ac:dyDescent="0.3">
      <c r="A756">
        <v>754</v>
      </c>
      <c r="B756">
        <v>76</v>
      </c>
      <c r="C756">
        <v>69</v>
      </c>
      <c r="D756">
        <v>1943</v>
      </c>
      <c r="E756">
        <v>3</v>
      </c>
      <c r="F756" t="str">
        <f t="shared" si="34"/>
        <v>65+</v>
      </c>
      <c r="G756" t="s">
        <v>14</v>
      </c>
      <c r="H756" t="s">
        <v>790</v>
      </c>
      <c r="I756">
        <v>33.69</v>
      </c>
      <c r="J756">
        <v>-78.89</v>
      </c>
      <c r="K756" t="s">
        <v>791</v>
      </c>
      <c r="L756" s="4">
        <v>32817</v>
      </c>
      <c r="M756" s="4">
        <v>27209</v>
      </c>
      <c r="N756" s="11">
        <f t="shared" si="33"/>
        <v>0.82911295974647281</v>
      </c>
      <c r="O756">
        <v>705</v>
      </c>
      <c r="P756" t="str">
        <f t="shared" si="35"/>
        <v>Good</v>
      </c>
      <c r="Q756">
        <v>6</v>
      </c>
    </row>
    <row r="757" spans="1:17" x14ac:dyDescent="0.3">
      <c r="A757">
        <v>755</v>
      </c>
      <c r="B757">
        <v>74</v>
      </c>
      <c r="C757">
        <v>67</v>
      </c>
      <c r="D757">
        <v>1945</v>
      </c>
      <c r="E757">
        <v>11</v>
      </c>
      <c r="F757" t="str">
        <f t="shared" si="34"/>
        <v>65+</v>
      </c>
      <c r="G757" t="s">
        <v>14</v>
      </c>
      <c r="H757" t="s">
        <v>864</v>
      </c>
      <c r="I757">
        <v>33.82</v>
      </c>
      <c r="J757">
        <v>-78.67</v>
      </c>
      <c r="K757" t="s">
        <v>865</v>
      </c>
      <c r="L757" s="4">
        <v>23137</v>
      </c>
      <c r="M757" s="4">
        <v>4871</v>
      </c>
      <c r="N757" s="11">
        <f t="shared" si="33"/>
        <v>0.21052859056921813</v>
      </c>
      <c r="O757">
        <v>642</v>
      </c>
      <c r="P757" t="str">
        <f t="shared" si="35"/>
        <v>Fair</v>
      </c>
      <c r="Q757">
        <v>5</v>
      </c>
    </row>
    <row r="758" spans="1:17" x14ac:dyDescent="0.3">
      <c r="A758">
        <v>756</v>
      </c>
      <c r="B758">
        <v>66</v>
      </c>
      <c r="C758">
        <v>65</v>
      </c>
      <c r="D758">
        <v>1953</v>
      </c>
      <c r="E758">
        <v>10</v>
      </c>
      <c r="F758" t="str">
        <f t="shared" si="34"/>
        <v>65+</v>
      </c>
      <c r="G758" t="s">
        <v>14</v>
      </c>
      <c r="H758" t="s">
        <v>1954</v>
      </c>
      <c r="I758">
        <v>39.64</v>
      </c>
      <c r="J758">
        <v>-84.08</v>
      </c>
      <c r="K758" t="s">
        <v>1955</v>
      </c>
      <c r="L758" s="4">
        <v>59251</v>
      </c>
      <c r="M758" s="4">
        <v>29300</v>
      </c>
      <c r="N758" s="11">
        <f t="shared" si="33"/>
        <v>0.4945064218325429</v>
      </c>
      <c r="O758">
        <v>679</v>
      </c>
      <c r="P758" t="str">
        <f t="shared" si="35"/>
        <v>Good</v>
      </c>
      <c r="Q758">
        <v>1</v>
      </c>
    </row>
    <row r="759" spans="1:17" x14ac:dyDescent="0.3">
      <c r="A759">
        <v>757</v>
      </c>
      <c r="B759">
        <v>62</v>
      </c>
      <c r="C759">
        <v>65</v>
      </c>
      <c r="D759">
        <v>1957</v>
      </c>
      <c r="E759">
        <v>9</v>
      </c>
      <c r="F759" t="str">
        <f t="shared" si="34"/>
        <v>51-60</v>
      </c>
      <c r="G759" t="s">
        <v>14</v>
      </c>
      <c r="H759" t="s">
        <v>448</v>
      </c>
      <c r="I759">
        <v>40.64</v>
      </c>
      <c r="J759">
        <v>-73.94</v>
      </c>
      <c r="K759" t="s">
        <v>449</v>
      </c>
      <c r="L759" s="4">
        <v>46232</v>
      </c>
      <c r="M759" s="4">
        <v>68957</v>
      </c>
      <c r="N759" s="11">
        <f t="shared" si="33"/>
        <v>1.4915426544384842</v>
      </c>
      <c r="O759">
        <v>691</v>
      </c>
      <c r="P759" t="str">
        <f t="shared" si="35"/>
        <v>Good</v>
      </c>
      <c r="Q759">
        <v>4</v>
      </c>
    </row>
    <row r="760" spans="1:17" x14ac:dyDescent="0.3">
      <c r="A760">
        <v>758</v>
      </c>
      <c r="B760">
        <v>63</v>
      </c>
      <c r="C760">
        <v>68</v>
      </c>
      <c r="D760">
        <v>1956</v>
      </c>
      <c r="E760">
        <v>12</v>
      </c>
      <c r="F760" t="str">
        <f t="shared" si="34"/>
        <v>51-60</v>
      </c>
      <c r="G760" t="s">
        <v>19</v>
      </c>
      <c r="H760" t="s">
        <v>803</v>
      </c>
      <c r="I760">
        <v>34.090000000000003</v>
      </c>
      <c r="J760">
        <v>-118.13</v>
      </c>
      <c r="K760" t="s">
        <v>804</v>
      </c>
      <c r="L760" s="4">
        <v>43180</v>
      </c>
      <c r="M760" s="4">
        <v>36832</v>
      </c>
      <c r="N760" s="11">
        <f t="shared" si="33"/>
        <v>0.85298749421028253</v>
      </c>
      <c r="O760">
        <v>764</v>
      </c>
      <c r="P760" t="str">
        <f t="shared" si="35"/>
        <v>Very Good</v>
      </c>
      <c r="Q760">
        <v>5</v>
      </c>
    </row>
    <row r="761" spans="1:17" x14ac:dyDescent="0.3">
      <c r="A761">
        <v>759</v>
      </c>
      <c r="B761">
        <v>60</v>
      </c>
      <c r="C761">
        <v>65</v>
      </c>
      <c r="D761">
        <v>1959</v>
      </c>
      <c r="E761">
        <v>12</v>
      </c>
      <c r="F761" t="str">
        <f t="shared" si="34"/>
        <v>51-60</v>
      </c>
      <c r="G761" t="s">
        <v>19</v>
      </c>
      <c r="H761" t="s">
        <v>1888</v>
      </c>
      <c r="I761">
        <v>35.92</v>
      </c>
      <c r="J761">
        <v>-86.84</v>
      </c>
      <c r="K761" t="s">
        <v>169</v>
      </c>
      <c r="L761" s="4">
        <v>74550</v>
      </c>
      <c r="M761" s="4">
        <v>37427</v>
      </c>
      <c r="N761" s="11">
        <f t="shared" si="33"/>
        <v>0.50203890006706908</v>
      </c>
      <c r="O761">
        <v>687</v>
      </c>
      <c r="P761" t="str">
        <f t="shared" si="35"/>
        <v>Good</v>
      </c>
      <c r="Q761">
        <v>4</v>
      </c>
    </row>
    <row r="762" spans="1:17" x14ac:dyDescent="0.3">
      <c r="A762">
        <v>760</v>
      </c>
      <c r="B762">
        <v>56</v>
      </c>
      <c r="C762">
        <v>64</v>
      </c>
      <c r="D762">
        <v>1964</v>
      </c>
      <c r="E762">
        <v>2</v>
      </c>
      <c r="F762" t="str">
        <f t="shared" si="34"/>
        <v>51-60</v>
      </c>
      <c r="G762" t="s">
        <v>14</v>
      </c>
      <c r="H762" t="s">
        <v>873</v>
      </c>
      <c r="I762">
        <v>39.979999999999997</v>
      </c>
      <c r="J762">
        <v>-82.98</v>
      </c>
      <c r="K762" t="s">
        <v>874</v>
      </c>
      <c r="L762" s="4">
        <v>37558</v>
      </c>
      <c r="M762" s="4">
        <v>72514</v>
      </c>
      <c r="N762" s="11">
        <f t="shared" si="33"/>
        <v>1.9307204856488631</v>
      </c>
      <c r="O762">
        <v>778</v>
      </c>
      <c r="P762" t="str">
        <f t="shared" si="35"/>
        <v>Very Good</v>
      </c>
      <c r="Q762">
        <v>3</v>
      </c>
    </row>
    <row r="763" spans="1:17" x14ac:dyDescent="0.3">
      <c r="A763">
        <v>761</v>
      </c>
      <c r="B763">
        <v>18</v>
      </c>
      <c r="C763">
        <v>69</v>
      </c>
      <c r="D763">
        <v>2001</v>
      </c>
      <c r="E763">
        <v>3</v>
      </c>
      <c r="F763" t="str">
        <f t="shared" si="34"/>
        <v>18-25</v>
      </c>
      <c r="G763" t="s">
        <v>14</v>
      </c>
      <c r="H763" t="s">
        <v>1463</v>
      </c>
      <c r="I763">
        <v>21.45</v>
      </c>
      <c r="J763">
        <v>-158.01</v>
      </c>
      <c r="K763" t="s">
        <v>1464</v>
      </c>
      <c r="L763" s="4">
        <v>56222</v>
      </c>
      <c r="M763" s="4">
        <v>63846</v>
      </c>
      <c r="N763" s="11">
        <f t="shared" si="33"/>
        <v>1.1356052790722493</v>
      </c>
      <c r="O763">
        <v>726</v>
      </c>
      <c r="P763" t="str">
        <f t="shared" si="35"/>
        <v>Good</v>
      </c>
      <c r="Q763">
        <v>4</v>
      </c>
    </row>
    <row r="764" spans="1:17" x14ac:dyDescent="0.3">
      <c r="A764">
        <v>762</v>
      </c>
      <c r="B764">
        <v>49</v>
      </c>
      <c r="C764">
        <v>59</v>
      </c>
      <c r="D764">
        <v>1970</v>
      </c>
      <c r="E764">
        <v>9</v>
      </c>
      <c r="F764" t="str">
        <f t="shared" si="34"/>
        <v>36-50</v>
      </c>
      <c r="G764" t="s">
        <v>19</v>
      </c>
      <c r="H764" t="s">
        <v>218</v>
      </c>
      <c r="I764">
        <v>40.630000000000003</v>
      </c>
      <c r="J764">
        <v>-82.96</v>
      </c>
      <c r="K764" t="s">
        <v>219</v>
      </c>
      <c r="L764" s="4">
        <v>37298</v>
      </c>
      <c r="M764" s="4">
        <v>52134</v>
      </c>
      <c r="N764" s="11">
        <f t="shared" si="33"/>
        <v>1.3977693173896724</v>
      </c>
      <c r="O764">
        <v>683</v>
      </c>
      <c r="P764" t="str">
        <f t="shared" si="35"/>
        <v>Good</v>
      </c>
      <c r="Q764">
        <v>1</v>
      </c>
    </row>
    <row r="765" spans="1:17" x14ac:dyDescent="0.3">
      <c r="A765">
        <v>763</v>
      </c>
      <c r="B765">
        <v>35</v>
      </c>
      <c r="C765">
        <v>61</v>
      </c>
      <c r="D765">
        <v>1985</v>
      </c>
      <c r="E765">
        <v>1</v>
      </c>
      <c r="F765" t="str">
        <f t="shared" si="34"/>
        <v>26-35</v>
      </c>
      <c r="G765" t="s">
        <v>19</v>
      </c>
      <c r="H765" t="s">
        <v>695</v>
      </c>
      <c r="I765">
        <v>39.99</v>
      </c>
      <c r="J765">
        <v>-75.27</v>
      </c>
      <c r="K765" t="s">
        <v>696</v>
      </c>
      <c r="L765" s="4">
        <v>103126</v>
      </c>
      <c r="M765" s="4">
        <v>130160</v>
      </c>
      <c r="N765" s="11">
        <f t="shared" si="33"/>
        <v>1.262145336772492</v>
      </c>
      <c r="O765">
        <v>642</v>
      </c>
      <c r="P765" t="str">
        <f t="shared" si="35"/>
        <v>Fair</v>
      </c>
      <c r="Q765">
        <v>1</v>
      </c>
    </row>
    <row r="766" spans="1:17" x14ac:dyDescent="0.3">
      <c r="A766">
        <v>764</v>
      </c>
      <c r="B766">
        <v>77</v>
      </c>
      <c r="C766">
        <v>68</v>
      </c>
      <c r="D766">
        <v>1943</v>
      </c>
      <c r="E766">
        <v>1</v>
      </c>
      <c r="F766" t="str">
        <f t="shared" si="34"/>
        <v>65+</v>
      </c>
      <c r="G766" t="s">
        <v>14</v>
      </c>
      <c r="H766" t="s">
        <v>1136</v>
      </c>
      <c r="I766">
        <v>32.61</v>
      </c>
      <c r="J766">
        <v>-83.63</v>
      </c>
      <c r="K766" t="s">
        <v>1137</v>
      </c>
      <c r="L766" s="4">
        <v>31066</v>
      </c>
      <c r="M766" s="4">
        <v>20902</v>
      </c>
      <c r="N766" s="11">
        <f t="shared" si="33"/>
        <v>0.67282559711581791</v>
      </c>
      <c r="O766">
        <v>712</v>
      </c>
      <c r="P766" t="str">
        <f t="shared" si="35"/>
        <v>Good</v>
      </c>
      <c r="Q766">
        <v>4</v>
      </c>
    </row>
    <row r="767" spans="1:17" x14ac:dyDescent="0.3">
      <c r="A767">
        <v>765</v>
      </c>
      <c r="B767">
        <v>18</v>
      </c>
      <c r="C767">
        <v>68</v>
      </c>
      <c r="D767">
        <v>2002</v>
      </c>
      <c r="E767">
        <v>2</v>
      </c>
      <c r="F767" t="str">
        <f t="shared" si="34"/>
        <v>18-25</v>
      </c>
      <c r="G767" t="s">
        <v>19</v>
      </c>
      <c r="H767" t="s">
        <v>1008</v>
      </c>
      <c r="I767">
        <v>37.78</v>
      </c>
      <c r="J767">
        <v>-90.42</v>
      </c>
      <c r="K767" t="s">
        <v>1009</v>
      </c>
      <c r="L767" s="4">
        <v>36101</v>
      </c>
      <c r="M767" s="4">
        <v>46425</v>
      </c>
      <c r="N767" s="11">
        <f t="shared" si="33"/>
        <v>1.2859754577435527</v>
      </c>
      <c r="O767">
        <v>778</v>
      </c>
      <c r="P767" t="str">
        <f t="shared" si="35"/>
        <v>Very Good</v>
      </c>
      <c r="Q767">
        <v>2</v>
      </c>
    </row>
    <row r="768" spans="1:17" x14ac:dyDescent="0.3">
      <c r="A768">
        <v>766</v>
      </c>
      <c r="B768">
        <v>44</v>
      </c>
      <c r="C768">
        <v>63</v>
      </c>
      <c r="D768">
        <v>1975</v>
      </c>
      <c r="E768">
        <v>8</v>
      </c>
      <c r="F768" t="str">
        <f t="shared" si="34"/>
        <v>36-50</v>
      </c>
      <c r="G768" t="s">
        <v>14</v>
      </c>
      <c r="H768" t="s">
        <v>1354</v>
      </c>
      <c r="I768">
        <v>28.23</v>
      </c>
      <c r="J768">
        <v>-82.17</v>
      </c>
      <c r="K768" t="s">
        <v>1355</v>
      </c>
      <c r="L768" s="4">
        <v>30967</v>
      </c>
      <c r="M768" s="4">
        <v>61201</v>
      </c>
      <c r="N768" s="11">
        <f t="shared" si="33"/>
        <v>1.9763296412309879</v>
      </c>
      <c r="O768">
        <v>685</v>
      </c>
      <c r="P768" t="str">
        <f t="shared" si="35"/>
        <v>Good</v>
      </c>
      <c r="Q768">
        <v>3</v>
      </c>
    </row>
    <row r="769" spans="1:17" x14ac:dyDescent="0.3">
      <c r="A769">
        <v>767</v>
      </c>
      <c r="B769">
        <v>32</v>
      </c>
      <c r="C769">
        <v>63</v>
      </c>
      <c r="D769">
        <v>1988</v>
      </c>
      <c r="E769">
        <v>1</v>
      </c>
      <c r="F769" t="str">
        <f t="shared" si="34"/>
        <v>26-35</v>
      </c>
      <c r="G769" t="s">
        <v>14</v>
      </c>
      <c r="H769" t="s">
        <v>442</v>
      </c>
      <c r="I769">
        <v>43.28</v>
      </c>
      <c r="J769">
        <v>-72.47</v>
      </c>
      <c r="K769" t="s">
        <v>443</v>
      </c>
      <c r="L769" s="4">
        <v>36729</v>
      </c>
      <c r="M769" s="4">
        <v>48624</v>
      </c>
      <c r="N769" s="11">
        <f t="shared" si="33"/>
        <v>1.3238585314057012</v>
      </c>
      <c r="O769">
        <v>686</v>
      </c>
      <c r="P769" t="str">
        <f t="shared" si="35"/>
        <v>Good</v>
      </c>
      <c r="Q769">
        <v>3</v>
      </c>
    </row>
    <row r="770" spans="1:17" x14ac:dyDescent="0.3">
      <c r="A770">
        <v>768</v>
      </c>
      <c r="B770">
        <v>53</v>
      </c>
      <c r="C770">
        <v>67</v>
      </c>
      <c r="D770">
        <v>1966</v>
      </c>
      <c r="E770">
        <v>10</v>
      </c>
      <c r="F770" t="str">
        <f t="shared" si="34"/>
        <v>51-60</v>
      </c>
      <c r="G770" t="s">
        <v>14</v>
      </c>
      <c r="H770" t="s">
        <v>356</v>
      </c>
      <c r="I770">
        <v>40.130000000000003</v>
      </c>
      <c r="J770">
        <v>-75.06</v>
      </c>
      <c r="K770" t="s">
        <v>357</v>
      </c>
      <c r="L770" s="4">
        <v>69412</v>
      </c>
      <c r="M770" s="4">
        <v>177225</v>
      </c>
      <c r="N770" s="11">
        <f t="shared" ref="N770:N833" si="36">(M770/L770)</f>
        <v>2.5532328703970495</v>
      </c>
      <c r="O770">
        <v>620</v>
      </c>
      <c r="P770" t="str">
        <f t="shared" si="35"/>
        <v>Fair</v>
      </c>
      <c r="Q770">
        <v>1</v>
      </c>
    </row>
    <row r="771" spans="1:17" x14ac:dyDescent="0.3">
      <c r="A771">
        <v>769</v>
      </c>
      <c r="B771">
        <v>53</v>
      </c>
      <c r="C771">
        <v>66</v>
      </c>
      <c r="D771">
        <v>1966</v>
      </c>
      <c r="E771">
        <v>10</v>
      </c>
      <c r="F771" t="str">
        <f t="shared" ref="F771:F834" si="37">IF(B771&lt;26,"18-25",
   IF(B771&lt;36,"26-35",
   IF(B771&lt;51,"36-50",
   IF(B771&lt;66,"51-60","65+"))))</f>
        <v>51-60</v>
      </c>
      <c r="G771" t="s">
        <v>14</v>
      </c>
      <c r="H771" t="s">
        <v>1878</v>
      </c>
      <c r="I771">
        <v>36.200000000000003</v>
      </c>
      <c r="J771">
        <v>-81.66</v>
      </c>
      <c r="K771" t="s">
        <v>1199</v>
      </c>
      <c r="L771" s="4">
        <v>39974</v>
      </c>
      <c r="M771" s="4">
        <v>77967</v>
      </c>
      <c r="N771" s="11">
        <f t="shared" si="36"/>
        <v>1.9504427878120778</v>
      </c>
      <c r="O771">
        <v>644</v>
      </c>
      <c r="P771" t="str">
        <f t="shared" ref="P771:P834" si="38">IF(O771&lt;580,"Poor",
   IF(O771&lt;670,"Fair",
   IF(O771&lt;740,"Good",
   IF(O771&lt;800,"Very Good","Excellent"))))</f>
        <v>Fair</v>
      </c>
      <c r="Q771">
        <v>2</v>
      </c>
    </row>
    <row r="772" spans="1:17" x14ac:dyDescent="0.3">
      <c r="A772">
        <v>770</v>
      </c>
      <c r="B772">
        <v>35</v>
      </c>
      <c r="C772">
        <v>66</v>
      </c>
      <c r="D772">
        <v>1984</v>
      </c>
      <c r="E772">
        <v>8</v>
      </c>
      <c r="F772" t="str">
        <f t="shared" si="37"/>
        <v>26-35</v>
      </c>
      <c r="G772" t="s">
        <v>19</v>
      </c>
      <c r="H772" t="s">
        <v>1020</v>
      </c>
      <c r="I772">
        <v>33.04</v>
      </c>
      <c r="J772">
        <v>-96.74</v>
      </c>
      <c r="K772" t="s">
        <v>1021</v>
      </c>
      <c r="L772" s="4">
        <v>60746</v>
      </c>
      <c r="M772" s="4">
        <v>88165</v>
      </c>
      <c r="N772" s="11">
        <f t="shared" si="36"/>
        <v>1.4513712837059229</v>
      </c>
      <c r="O772">
        <v>706</v>
      </c>
      <c r="P772" t="str">
        <f t="shared" si="38"/>
        <v>Good</v>
      </c>
      <c r="Q772">
        <v>4</v>
      </c>
    </row>
    <row r="773" spans="1:17" x14ac:dyDescent="0.3">
      <c r="A773">
        <v>771</v>
      </c>
      <c r="B773">
        <v>44</v>
      </c>
      <c r="C773">
        <v>69</v>
      </c>
      <c r="D773">
        <v>1975</v>
      </c>
      <c r="E773">
        <v>9</v>
      </c>
      <c r="F773" t="str">
        <f t="shared" si="37"/>
        <v>36-50</v>
      </c>
      <c r="G773" t="s">
        <v>19</v>
      </c>
      <c r="H773" t="s">
        <v>539</v>
      </c>
      <c r="I773">
        <v>42.33</v>
      </c>
      <c r="J773">
        <v>-122.79</v>
      </c>
      <c r="K773" t="s">
        <v>540</v>
      </c>
      <c r="L773" s="4">
        <v>38661</v>
      </c>
      <c r="M773" s="4">
        <v>88636</v>
      </c>
      <c r="N773" s="11">
        <f t="shared" si="36"/>
        <v>2.2926463361009803</v>
      </c>
      <c r="O773">
        <v>765</v>
      </c>
      <c r="P773" t="str">
        <f t="shared" si="38"/>
        <v>Very Good</v>
      </c>
      <c r="Q773">
        <v>3</v>
      </c>
    </row>
    <row r="774" spans="1:17" x14ac:dyDescent="0.3">
      <c r="A774">
        <v>772</v>
      </c>
      <c r="B774">
        <v>62</v>
      </c>
      <c r="C774">
        <v>65</v>
      </c>
      <c r="D774">
        <v>1957</v>
      </c>
      <c r="E774">
        <v>10</v>
      </c>
      <c r="F774" t="str">
        <f t="shared" si="37"/>
        <v>51-60</v>
      </c>
      <c r="G774" t="s">
        <v>14</v>
      </c>
      <c r="H774" t="s">
        <v>1590</v>
      </c>
      <c r="I774">
        <v>45.47</v>
      </c>
      <c r="J774">
        <v>-122.37</v>
      </c>
      <c r="K774" t="s">
        <v>332</v>
      </c>
      <c r="L774" s="4">
        <v>46075</v>
      </c>
      <c r="M774" s="4">
        <v>139335</v>
      </c>
      <c r="N774" s="11">
        <f t="shared" si="36"/>
        <v>3.0240911557243626</v>
      </c>
      <c r="O774">
        <v>741</v>
      </c>
      <c r="P774" t="str">
        <f t="shared" si="38"/>
        <v>Very Good</v>
      </c>
      <c r="Q774">
        <v>3</v>
      </c>
    </row>
    <row r="775" spans="1:17" x14ac:dyDescent="0.3">
      <c r="A775">
        <v>773</v>
      </c>
      <c r="B775">
        <v>67</v>
      </c>
      <c r="C775">
        <v>65</v>
      </c>
      <c r="D775">
        <v>1952</v>
      </c>
      <c r="E775">
        <v>9</v>
      </c>
      <c r="F775" t="str">
        <f t="shared" si="37"/>
        <v>65+</v>
      </c>
      <c r="G775" t="s">
        <v>19</v>
      </c>
      <c r="H775" t="s">
        <v>1396</v>
      </c>
      <c r="I775">
        <v>34.49</v>
      </c>
      <c r="J775">
        <v>-85.84</v>
      </c>
      <c r="K775" t="s">
        <v>1397</v>
      </c>
      <c r="L775" s="4">
        <v>11029</v>
      </c>
      <c r="M775" s="4">
        <v>3225</v>
      </c>
      <c r="N775" s="11">
        <f t="shared" si="36"/>
        <v>0.29241091667422253</v>
      </c>
      <c r="O775">
        <v>786</v>
      </c>
      <c r="P775" t="str">
        <f t="shared" si="38"/>
        <v>Very Good</v>
      </c>
      <c r="Q775">
        <v>3</v>
      </c>
    </row>
    <row r="776" spans="1:17" x14ac:dyDescent="0.3">
      <c r="A776">
        <v>774</v>
      </c>
      <c r="B776">
        <v>46</v>
      </c>
      <c r="C776">
        <v>61</v>
      </c>
      <c r="D776">
        <v>1973</v>
      </c>
      <c r="E776">
        <v>7</v>
      </c>
      <c r="F776" t="str">
        <f t="shared" si="37"/>
        <v>36-50</v>
      </c>
      <c r="G776" t="s">
        <v>19</v>
      </c>
      <c r="H776" t="s">
        <v>885</v>
      </c>
      <c r="I776">
        <v>42.41</v>
      </c>
      <c r="J776">
        <v>-114.59</v>
      </c>
      <c r="K776" t="s">
        <v>886</v>
      </c>
      <c r="L776" s="4">
        <v>33395</v>
      </c>
      <c r="M776" s="4">
        <v>57774</v>
      </c>
      <c r="N776" s="11">
        <f t="shared" si="36"/>
        <v>1.7300194639916155</v>
      </c>
      <c r="O776">
        <v>588</v>
      </c>
      <c r="P776" t="str">
        <f t="shared" si="38"/>
        <v>Fair</v>
      </c>
      <c r="Q776">
        <v>2</v>
      </c>
    </row>
    <row r="777" spans="1:17" x14ac:dyDescent="0.3">
      <c r="A777">
        <v>775</v>
      </c>
      <c r="B777">
        <v>37</v>
      </c>
      <c r="C777">
        <v>58</v>
      </c>
      <c r="D777">
        <v>1982</v>
      </c>
      <c r="E777">
        <v>9</v>
      </c>
      <c r="F777" t="str">
        <f t="shared" si="37"/>
        <v>36-50</v>
      </c>
      <c r="G777" t="s">
        <v>19</v>
      </c>
      <c r="H777" t="s">
        <v>47</v>
      </c>
      <c r="I777">
        <v>34.17</v>
      </c>
      <c r="J777">
        <v>-118.46</v>
      </c>
      <c r="K777" t="s">
        <v>48</v>
      </c>
      <c r="L777" s="4">
        <v>43638</v>
      </c>
      <c r="M777" s="4">
        <v>104052</v>
      </c>
      <c r="N777" s="11">
        <f t="shared" si="36"/>
        <v>2.3844355836656126</v>
      </c>
      <c r="O777">
        <v>627</v>
      </c>
      <c r="P777" t="str">
        <f t="shared" si="38"/>
        <v>Fair</v>
      </c>
      <c r="Q777">
        <v>1</v>
      </c>
    </row>
    <row r="778" spans="1:17" x14ac:dyDescent="0.3">
      <c r="A778">
        <v>776</v>
      </c>
      <c r="B778">
        <v>55</v>
      </c>
      <c r="C778">
        <v>73</v>
      </c>
      <c r="D778">
        <v>1964</v>
      </c>
      <c r="E778">
        <v>12</v>
      </c>
      <c r="F778" t="str">
        <f t="shared" si="37"/>
        <v>51-60</v>
      </c>
      <c r="G778" t="s">
        <v>19</v>
      </c>
      <c r="H778" t="s">
        <v>756</v>
      </c>
      <c r="I778">
        <v>35.1</v>
      </c>
      <c r="J778">
        <v>-90</v>
      </c>
      <c r="K778" t="s">
        <v>757</v>
      </c>
      <c r="L778" s="4">
        <v>97455</v>
      </c>
      <c r="M778" s="4">
        <v>219213</v>
      </c>
      <c r="N778" s="11">
        <f t="shared" si="36"/>
        <v>2.249376635370171</v>
      </c>
      <c r="O778">
        <v>616</v>
      </c>
      <c r="P778" t="str">
        <f t="shared" si="38"/>
        <v>Fair</v>
      </c>
      <c r="Q778">
        <v>2</v>
      </c>
    </row>
    <row r="779" spans="1:17" x14ac:dyDescent="0.3">
      <c r="A779">
        <v>777</v>
      </c>
      <c r="B779">
        <v>18</v>
      </c>
      <c r="C779">
        <v>65</v>
      </c>
      <c r="D779">
        <v>2002</v>
      </c>
      <c r="E779">
        <v>1</v>
      </c>
      <c r="F779" t="str">
        <f t="shared" si="37"/>
        <v>18-25</v>
      </c>
      <c r="G779" t="s">
        <v>19</v>
      </c>
      <c r="H779" t="s">
        <v>38</v>
      </c>
      <c r="I779">
        <v>37.369999999999997</v>
      </c>
      <c r="J779">
        <v>-122.21</v>
      </c>
      <c r="K779" t="s">
        <v>39</v>
      </c>
      <c r="L779" s="4">
        <v>216740</v>
      </c>
      <c r="M779" s="4">
        <v>0</v>
      </c>
      <c r="N779" s="11">
        <f t="shared" si="36"/>
        <v>0</v>
      </c>
      <c r="O779">
        <v>700</v>
      </c>
      <c r="P779" t="str">
        <f t="shared" si="38"/>
        <v>Good</v>
      </c>
      <c r="Q779">
        <v>2</v>
      </c>
    </row>
    <row r="780" spans="1:17" x14ac:dyDescent="0.3">
      <c r="A780">
        <v>778</v>
      </c>
      <c r="B780">
        <v>60</v>
      </c>
      <c r="C780">
        <v>60</v>
      </c>
      <c r="D780">
        <v>1959</v>
      </c>
      <c r="E780">
        <v>12</v>
      </c>
      <c r="F780" t="str">
        <f t="shared" si="37"/>
        <v>51-60</v>
      </c>
      <c r="G780" t="s">
        <v>19</v>
      </c>
      <c r="H780" t="s">
        <v>612</v>
      </c>
      <c r="I780">
        <v>40.520000000000003</v>
      </c>
      <c r="J780">
        <v>-81.47</v>
      </c>
      <c r="K780" t="s">
        <v>613</v>
      </c>
      <c r="L780" s="4">
        <v>31003</v>
      </c>
      <c r="M780" s="4">
        <v>23000</v>
      </c>
      <c r="N780" s="11">
        <f t="shared" si="36"/>
        <v>0.7418636906105861</v>
      </c>
      <c r="O780">
        <v>699</v>
      </c>
      <c r="P780" t="str">
        <f t="shared" si="38"/>
        <v>Good</v>
      </c>
      <c r="Q780">
        <v>3</v>
      </c>
    </row>
    <row r="781" spans="1:17" x14ac:dyDescent="0.3">
      <c r="A781">
        <v>779</v>
      </c>
      <c r="B781">
        <v>81</v>
      </c>
      <c r="C781">
        <v>69</v>
      </c>
      <c r="D781">
        <v>1938</v>
      </c>
      <c r="E781">
        <v>3</v>
      </c>
      <c r="F781" t="str">
        <f t="shared" si="37"/>
        <v>65+</v>
      </c>
      <c r="G781" t="s">
        <v>14</v>
      </c>
      <c r="H781" t="s">
        <v>1889</v>
      </c>
      <c r="I781">
        <v>33.770000000000003</v>
      </c>
      <c r="J781">
        <v>-96.67</v>
      </c>
      <c r="K781" t="s">
        <v>1155</v>
      </c>
      <c r="L781" s="4">
        <v>32669</v>
      </c>
      <c r="M781" s="4">
        <v>1433</v>
      </c>
      <c r="N781" s="11">
        <f t="shared" si="36"/>
        <v>4.3864213780648323E-2</v>
      </c>
      <c r="O781">
        <v>755</v>
      </c>
      <c r="P781" t="str">
        <f t="shared" si="38"/>
        <v>Very Good</v>
      </c>
      <c r="Q781">
        <v>5</v>
      </c>
    </row>
    <row r="782" spans="1:17" x14ac:dyDescent="0.3">
      <c r="A782">
        <v>780</v>
      </c>
      <c r="B782">
        <v>74</v>
      </c>
      <c r="C782">
        <v>66</v>
      </c>
      <c r="D782">
        <v>1945</v>
      </c>
      <c r="E782">
        <v>11</v>
      </c>
      <c r="F782" t="str">
        <f t="shared" si="37"/>
        <v>65+</v>
      </c>
      <c r="G782" t="s">
        <v>19</v>
      </c>
      <c r="H782" t="s">
        <v>365</v>
      </c>
      <c r="I782">
        <v>42.35</v>
      </c>
      <c r="J782">
        <v>-71.22</v>
      </c>
      <c r="K782" t="s">
        <v>366</v>
      </c>
      <c r="L782" s="4">
        <v>58378</v>
      </c>
      <c r="M782" s="4">
        <v>73124</v>
      </c>
      <c r="N782" s="11">
        <f t="shared" si="36"/>
        <v>1.2525951557093427</v>
      </c>
      <c r="O782">
        <v>652</v>
      </c>
      <c r="P782" t="str">
        <f t="shared" si="38"/>
        <v>Fair</v>
      </c>
      <c r="Q782">
        <v>1</v>
      </c>
    </row>
    <row r="783" spans="1:17" x14ac:dyDescent="0.3">
      <c r="A783">
        <v>781</v>
      </c>
      <c r="B783">
        <v>30</v>
      </c>
      <c r="C783">
        <v>74</v>
      </c>
      <c r="D783">
        <v>1989</v>
      </c>
      <c r="E783">
        <v>9</v>
      </c>
      <c r="F783" t="str">
        <f t="shared" si="37"/>
        <v>26-35</v>
      </c>
      <c r="G783" t="s">
        <v>19</v>
      </c>
      <c r="H783" t="s">
        <v>1831</v>
      </c>
      <c r="I783">
        <v>32.33</v>
      </c>
      <c r="J783">
        <v>-106.75</v>
      </c>
      <c r="K783" t="s">
        <v>1832</v>
      </c>
      <c r="L783" s="4">
        <v>33993</v>
      </c>
      <c r="M783" s="4">
        <v>45149</v>
      </c>
      <c r="N783" s="11">
        <f t="shared" si="36"/>
        <v>1.3281852146030064</v>
      </c>
      <c r="O783">
        <v>602</v>
      </c>
      <c r="P783" t="str">
        <f t="shared" si="38"/>
        <v>Fair</v>
      </c>
      <c r="Q783">
        <v>4</v>
      </c>
    </row>
    <row r="784" spans="1:17" x14ac:dyDescent="0.3">
      <c r="A784">
        <v>782</v>
      </c>
      <c r="B784">
        <v>51</v>
      </c>
      <c r="C784">
        <v>66</v>
      </c>
      <c r="D784">
        <v>1968</v>
      </c>
      <c r="E784">
        <v>7</v>
      </c>
      <c r="F784" t="str">
        <f t="shared" si="37"/>
        <v>51-60</v>
      </c>
      <c r="G784" t="s">
        <v>14</v>
      </c>
      <c r="H784" t="s">
        <v>627</v>
      </c>
      <c r="I784">
        <v>41.28</v>
      </c>
      <c r="J784">
        <v>-84.36</v>
      </c>
      <c r="K784" t="s">
        <v>628</v>
      </c>
      <c r="L784" s="4">
        <v>37169</v>
      </c>
      <c r="M784" s="4">
        <v>93844</v>
      </c>
      <c r="N784" s="11">
        <f t="shared" si="36"/>
        <v>2.5247921655142727</v>
      </c>
      <c r="O784">
        <v>722</v>
      </c>
      <c r="P784" t="str">
        <f t="shared" si="38"/>
        <v>Good</v>
      </c>
      <c r="Q784">
        <v>3</v>
      </c>
    </row>
    <row r="785" spans="1:17" x14ac:dyDescent="0.3">
      <c r="A785">
        <v>783</v>
      </c>
      <c r="B785">
        <v>62</v>
      </c>
      <c r="C785">
        <v>61</v>
      </c>
      <c r="D785">
        <v>1957</v>
      </c>
      <c r="E785">
        <v>9</v>
      </c>
      <c r="F785" t="str">
        <f t="shared" si="37"/>
        <v>51-60</v>
      </c>
      <c r="G785" t="s">
        <v>19</v>
      </c>
      <c r="H785" t="s">
        <v>1806</v>
      </c>
      <c r="I785">
        <v>35.31</v>
      </c>
      <c r="J785">
        <v>-106.55</v>
      </c>
      <c r="K785" t="s">
        <v>1279</v>
      </c>
      <c r="L785" s="4">
        <v>29769</v>
      </c>
      <c r="M785" s="4">
        <v>14542</v>
      </c>
      <c r="N785" s="11">
        <f t="shared" si="36"/>
        <v>0.4884947428533038</v>
      </c>
      <c r="O785">
        <v>693</v>
      </c>
      <c r="P785" t="str">
        <f t="shared" si="38"/>
        <v>Good</v>
      </c>
      <c r="Q785">
        <v>3</v>
      </c>
    </row>
    <row r="786" spans="1:17" x14ac:dyDescent="0.3">
      <c r="A786">
        <v>784</v>
      </c>
      <c r="B786">
        <v>44</v>
      </c>
      <c r="C786">
        <v>67</v>
      </c>
      <c r="D786">
        <v>1975</v>
      </c>
      <c r="E786">
        <v>6</v>
      </c>
      <c r="F786" t="str">
        <f t="shared" si="37"/>
        <v>36-50</v>
      </c>
      <c r="G786" t="s">
        <v>19</v>
      </c>
      <c r="H786" t="s">
        <v>737</v>
      </c>
      <c r="I786">
        <v>30.19</v>
      </c>
      <c r="J786">
        <v>-90.78</v>
      </c>
      <c r="K786" t="s">
        <v>738</v>
      </c>
      <c r="L786" s="4">
        <v>49523</v>
      </c>
      <c r="M786" s="4">
        <v>89129</v>
      </c>
      <c r="N786" s="11">
        <f t="shared" si="36"/>
        <v>1.7997496112917231</v>
      </c>
      <c r="O786">
        <v>688</v>
      </c>
      <c r="P786" t="str">
        <f t="shared" si="38"/>
        <v>Good</v>
      </c>
      <c r="Q786">
        <v>4</v>
      </c>
    </row>
    <row r="787" spans="1:17" x14ac:dyDescent="0.3">
      <c r="A787">
        <v>785</v>
      </c>
      <c r="B787">
        <v>18</v>
      </c>
      <c r="C787">
        <v>67</v>
      </c>
      <c r="D787">
        <v>2001</v>
      </c>
      <c r="E787">
        <v>11</v>
      </c>
      <c r="F787" t="str">
        <f t="shared" si="37"/>
        <v>18-25</v>
      </c>
      <c r="G787" t="s">
        <v>19</v>
      </c>
      <c r="H787" t="s">
        <v>419</v>
      </c>
      <c r="I787">
        <v>38.159999999999997</v>
      </c>
      <c r="J787">
        <v>-121.93</v>
      </c>
      <c r="K787" t="s">
        <v>420</v>
      </c>
      <c r="L787" s="4">
        <v>48909</v>
      </c>
      <c r="M787" s="4">
        <v>71310</v>
      </c>
      <c r="N787" s="11">
        <f t="shared" si="36"/>
        <v>1.4580138624792982</v>
      </c>
      <c r="O787">
        <v>740</v>
      </c>
      <c r="P787" t="str">
        <f t="shared" si="38"/>
        <v>Very Good</v>
      </c>
      <c r="Q787">
        <v>2</v>
      </c>
    </row>
    <row r="788" spans="1:17" x14ac:dyDescent="0.3">
      <c r="A788">
        <v>786</v>
      </c>
      <c r="B788">
        <v>18</v>
      </c>
      <c r="C788">
        <v>62</v>
      </c>
      <c r="D788">
        <v>2002</v>
      </c>
      <c r="E788">
        <v>2</v>
      </c>
      <c r="F788" t="str">
        <f t="shared" si="37"/>
        <v>18-25</v>
      </c>
      <c r="G788" t="s">
        <v>19</v>
      </c>
      <c r="H788" t="s">
        <v>597</v>
      </c>
      <c r="I788">
        <v>34.9</v>
      </c>
      <c r="J788">
        <v>-79.010000000000005</v>
      </c>
      <c r="K788" t="s">
        <v>598</v>
      </c>
      <c r="L788" s="4">
        <v>31259</v>
      </c>
      <c r="M788" s="4">
        <v>40701</v>
      </c>
      <c r="N788" s="11">
        <f t="shared" si="36"/>
        <v>1.3020570075818165</v>
      </c>
      <c r="O788">
        <v>798</v>
      </c>
      <c r="P788" t="str">
        <f t="shared" si="38"/>
        <v>Very Good</v>
      </c>
      <c r="Q788">
        <v>2</v>
      </c>
    </row>
    <row r="789" spans="1:17" x14ac:dyDescent="0.3">
      <c r="A789">
        <v>787</v>
      </c>
      <c r="B789">
        <v>19</v>
      </c>
      <c r="C789">
        <v>67</v>
      </c>
      <c r="D789">
        <v>2000</v>
      </c>
      <c r="E789">
        <v>3</v>
      </c>
      <c r="F789" t="str">
        <f t="shared" si="37"/>
        <v>18-25</v>
      </c>
      <c r="G789" t="s">
        <v>14</v>
      </c>
      <c r="H789" t="s">
        <v>631</v>
      </c>
      <c r="I789">
        <v>29.61</v>
      </c>
      <c r="J789">
        <v>-95.61</v>
      </c>
      <c r="K789" t="s">
        <v>632</v>
      </c>
      <c r="L789" s="4">
        <v>71740</v>
      </c>
      <c r="M789" s="4">
        <v>38238</v>
      </c>
      <c r="N789" s="11">
        <f t="shared" si="36"/>
        <v>0.53300808475048789</v>
      </c>
      <c r="O789">
        <v>767</v>
      </c>
      <c r="P789" t="str">
        <f t="shared" si="38"/>
        <v>Very Good</v>
      </c>
      <c r="Q789">
        <v>2</v>
      </c>
    </row>
    <row r="790" spans="1:17" x14ac:dyDescent="0.3">
      <c r="A790">
        <v>788</v>
      </c>
      <c r="B790">
        <v>19</v>
      </c>
      <c r="C790">
        <v>66</v>
      </c>
      <c r="D790">
        <v>2001</v>
      </c>
      <c r="E790">
        <v>1</v>
      </c>
      <c r="F790" t="str">
        <f t="shared" si="37"/>
        <v>18-25</v>
      </c>
      <c r="G790" t="s">
        <v>14</v>
      </c>
      <c r="H790" t="s">
        <v>679</v>
      </c>
      <c r="I790">
        <v>40.71</v>
      </c>
      <c r="J790">
        <v>-73.989999999999995</v>
      </c>
      <c r="K790" t="s">
        <v>680</v>
      </c>
      <c r="L790" s="4">
        <v>54477</v>
      </c>
      <c r="M790" s="4">
        <v>72241</v>
      </c>
      <c r="N790" s="11">
        <f t="shared" si="36"/>
        <v>1.3260825669548617</v>
      </c>
      <c r="O790">
        <v>802</v>
      </c>
      <c r="P790" t="str">
        <f t="shared" si="38"/>
        <v>Excellent</v>
      </c>
      <c r="Q790">
        <v>2</v>
      </c>
    </row>
    <row r="791" spans="1:17" x14ac:dyDescent="0.3">
      <c r="A791">
        <v>789</v>
      </c>
      <c r="B791">
        <v>43</v>
      </c>
      <c r="C791">
        <v>60</v>
      </c>
      <c r="D791">
        <v>1976</v>
      </c>
      <c r="E791">
        <v>11</v>
      </c>
      <c r="F791" t="str">
        <f t="shared" si="37"/>
        <v>36-50</v>
      </c>
      <c r="G791" t="s">
        <v>14</v>
      </c>
      <c r="H791" t="s">
        <v>1852</v>
      </c>
      <c r="I791">
        <v>39.590000000000003</v>
      </c>
      <c r="J791">
        <v>-75.17</v>
      </c>
      <c r="K791" t="s">
        <v>1853</v>
      </c>
      <c r="L791" s="4">
        <v>49788</v>
      </c>
      <c r="M791" s="4">
        <v>83932</v>
      </c>
      <c r="N791" s="11">
        <f t="shared" si="36"/>
        <v>1.6857877400176748</v>
      </c>
      <c r="O791">
        <v>690</v>
      </c>
      <c r="P791" t="str">
        <f t="shared" si="38"/>
        <v>Good</v>
      </c>
      <c r="Q791">
        <v>3</v>
      </c>
    </row>
    <row r="792" spans="1:17" x14ac:dyDescent="0.3">
      <c r="A792">
        <v>790</v>
      </c>
      <c r="B792">
        <v>34</v>
      </c>
      <c r="C792">
        <v>65</v>
      </c>
      <c r="D792">
        <v>1985</v>
      </c>
      <c r="E792">
        <v>3</v>
      </c>
      <c r="F792" t="str">
        <f t="shared" si="37"/>
        <v>26-35</v>
      </c>
      <c r="G792" t="s">
        <v>14</v>
      </c>
      <c r="H792" t="s">
        <v>1285</v>
      </c>
      <c r="I792">
        <v>32.9</v>
      </c>
      <c r="J792">
        <v>-116.89</v>
      </c>
      <c r="K792" t="s">
        <v>1286</v>
      </c>
      <c r="L792" s="4">
        <v>46361</v>
      </c>
      <c r="M792" s="4">
        <v>69620</v>
      </c>
      <c r="N792" s="11">
        <f t="shared" si="36"/>
        <v>1.5016932335368089</v>
      </c>
      <c r="O792">
        <v>743</v>
      </c>
      <c r="P792" t="str">
        <f t="shared" si="38"/>
        <v>Very Good</v>
      </c>
      <c r="Q792">
        <v>2</v>
      </c>
    </row>
    <row r="793" spans="1:17" x14ac:dyDescent="0.3">
      <c r="A793">
        <v>791</v>
      </c>
      <c r="B793">
        <v>78</v>
      </c>
      <c r="C793">
        <v>57</v>
      </c>
      <c r="D793">
        <v>1941</v>
      </c>
      <c r="E793">
        <v>11</v>
      </c>
      <c r="F793" t="str">
        <f t="shared" si="37"/>
        <v>65+</v>
      </c>
      <c r="G793" t="s">
        <v>14</v>
      </c>
      <c r="H793" t="s">
        <v>1012</v>
      </c>
      <c r="I793">
        <v>33.979999999999997</v>
      </c>
      <c r="J793">
        <v>-117.65</v>
      </c>
      <c r="K793" t="s">
        <v>640</v>
      </c>
      <c r="L793" s="4">
        <v>39263</v>
      </c>
      <c r="M793" s="4">
        <v>24246</v>
      </c>
      <c r="N793" s="11">
        <f t="shared" si="36"/>
        <v>0.61752795252527826</v>
      </c>
      <c r="O793">
        <v>645</v>
      </c>
      <c r="P793" t="str">
        <f t="shared" si="38"/>
        <v>Fair</v>
      </c>
      <c r="Q793">
        <v>4</v>
      </c>
    </row>
    <row r="794" spans="1:17" x14ac:dyDescent="0.3">
      <c r="A794">
        <v>792</v>
      </c>
      <c r="B794">
        <v>28</v>
      </c>
      <c r="C794">
        <v>65</v>
      </c>
      <c r="D794">
        <v>1992</v>
      </c>
      <c r="E794">
        <v>1</v>
      </c>
      <c r="F794" t="str">
        <f t="shared" si="37"/>
        <v>26-35</v>
      </c>
      <c r="G794" t="s">
        <v>14</v>
      </c>
      <c r="H794" t="s">
        <v>150</v>
      </c>
      <c r="I794">
        <v>38.71</v>
      </c>
      <c r="J794">
        <v>-95.08</v>
      </c>
      <c r="K794" t="s">
        <v>132</v>
      </c>
      <c r="L794" s="4">
        <v>45180</v>
      </c>
      <c r="M794" s="4">
        <v>13168</v>
      </c>
      <c r="N794" s="11">
        <f t="shared" si="36"/>
        <v>0.29145639663567952</v>
      </c>
      <c r="O794">
        <v>698</v>
      </c>
      <c r="P794" t="str">
        <f t="shared" si="38"/>
        <v>Good</v>
      </c>
      <c r="Q794">
        <v>2</v>
      </c>
    </row>
    <row r="795" spans="1:17" x14ac:dyDescent="0.3">
      <c r="A795">
        <v>793</v>
      </c>
      <c r="B795">
        <v>73</v>
      </c>
      <c r="C795">
        <v>60</v>
      </c>
      <c r="D795">
        <v>1946</v>
      </c>
      <c r="E795">
        <v>8</v>
      </c>
      <c r="F795" t="str">
        <f t="shared" si="37"/>
        <v>65+</v>
      </c>
      <c r="G795" t="s">
        <v>14</v>
      </c>
      <c r="H795" t="s">
        <v>1833</v>
      </c>
      <c r="I795">
        <v>26.14</v>
      </c>
      <c r="J795">
        <v>-80.13</v>
      </c>
      <c r="K795" t="s">
        <v>1834</v>
      </c>
      <c r="L795" s="4">
        <v>42593</v>
      </c>
      <c r="M795" s="4">
        <v>16083</v>
      </c>
      <c r="N795" s="11">
        <f t="shared" si="36"/>
        <v>0.37759725776536052</v>
      </c>
      <c r="O795">
        <v>703</v>
      </c>
      <c r="P795" t="str">
        <f t="shared" si="38"/>
        <v>Good</v>
      </c>
      <c r="Q795">
        <v>2</v>
      </c>
    </row>
    <row r="796" spans="1:17" x14ac:dyDescent="0.3">
      <c r="A796">
        <v>794</v>
      </c>
      <c r="B796">
        <v>49</v>
      </c>
      <c r="C796">
        <v>67</v>
      </c>
      <c r="D796">
        <v>1970</v>
      </c>
      <c r="E796">
        <v>11</v>
      </c>
      <c r="F796" t="str">
        <f t="shared" si="37"/>
        <v>36-50</v>
      </c>
      <c r="G796" t="s">
        <v>14</v>
      </c>
      <c r="H796" t="s">
        <v>1275</v>
      </c>
      <c r="I796">
        <v>33.94</v>
      </c>
      <c r="J796">
        <v>-118.2</v>
      </c>
      <c r="K796" t="s">
        <v>406</v>
      </c>
      <c r="L796" s="4">
        <v>29621</v>
      </c>
      <c r="M796" s="4">
        <v>0</v>
      </c>
      <c r="N796" s="11">
        <f t="shared" si="36"/>
        <v>0</v>
      </c>
      <c r="O796">
        <v>730</v>
      </c>
      <c r="P796" t="str">
        <f t="shared" si="38"/>
        <v>Good</v>
      </c>
      <c r="Q796">
        <v>3</v>
      </c>
    </row>
    <row r="797" spans="1:17" x14ac:dyDescent="0.3">
      <c r="A797">
        <v>795</v>
      </c>
      <c r="B797">
        <v>40</v>
      </c>
      <c r="C797">
        <v>58</v>
      </c>
      <c r="D797">
        <v>1979</v>
      </c>
      <c r="E797">
        <v>3</v>
      </c>
      <c r="F797" t="str">
        <f t="shared" si="37"/>
        <v>36-50</v>
      </c>
      <c r="G797" t="s">
        <v>14</v>
      </c>
      <c r="H797" t="s">
        <v>1871</v>
      </c>
      <c r="I797">
        <v>32.79</v>
      </c>
      <c r="J797">
        <v>-96.76</v>
      </c>
      <c r="K797" t="s">
        <v>1872</v>
      </c>
      <c r="L797" s="4">
        <v>75918</v>
      </c>
      <c r="M797" s="4">
        <v>94579</v>
      </c>
      <c r="N797" s="11">
        <f t="shared" si="36"/>
        <v>1.2458046840011592</v>
      </c>
      <c r="O797">
        <v>759</v>
      </c>
      <c r="P797" t="str">
        <f t="shared" si="38"/>
        <v>Very Good</v>
      </c>
      <c r="Q797">
        <v>2</v>
      </c>
    </row>
    <row r="798" spans="1:17" x14ac:dyDescent="0.3">
      <c r="A798">
        <v>796</v>
      </c>
      <c r="B798">
        <v>25</v>
      </c>
      <c r="C798">
        <v>70</v>
      </c>
      <c r="D798">
        <v>1994</v>
      </c>
      <c r="E798">
        <v>5</v>
      </c>
      <c r="F798" t="str">
        <f t="shared" si="37"/>
        <v>18-25</v>
      </c>
      <c r="G798" t="s">
        <v>14</v>
      </c>
      <c r="H798" t="s">
        <v>1416</v>
      </c>
      <c r="I798">
        <v>39.42</v>
      </c>
      <c r="J798">
        <v>-76.290000000000006</v>
      </c>
      <c r="K798" t="s">
        <v>1417</v>
      </c>
      <c r="L798" s="4">
        <v>43178</v>
      </c>
      <c r="M798" s="4">
        <v>74257</v>
      </c>
      <c r="N798" s="11">
        <f t="shared" si="36"/>
        <v>1.7197878549261199</v>
      </c>
      <c r="O798">
        <v>746</v>
      </c>
      <c r="P798" t="str">
        <f t="shared" si="38"/>
        <v>Very Good</v>
      </c>
      <c r="Q798">
        <v>3</v>
      </c>
    </row>
    <row r="799" spans="1:17" x14ac:dyDescent="0.3">
      <c r="A799">
        <v>797</v>
      </c>
      <c r="B799">
        <v>61</v>
      </c>
      <c r="C799">
        <v>69</v>
      </c>
      <c r="D799">
        <v>1958</v>
      </c>
      <c r="E799">
        <v>9</v>
      </c>
      <c r="F799" t="str">
        <f t="shared" si="37"/>
        <v>51-60</v>
      </c>
      <c r="G799" t="s">
        <v>14</v>
      </c>
      <c r="H799" t="s">
        <v>762</v>
      </c>
      <c r="I799">
        <v>21.3</v>
      </c>
      <c r="J799">
        <v>-157.85</v>
      </c>
      <c r="K799" t="s">
        <v>763</v>
      </c>
      <c r="L799" s="4">
        <v>62005</v>
      </c>
      <c r="M799" s="4">
        <v>149968</v>
      </c>
      <c r="N799" s="11">
        <f t="shared" si="36"/>
        <v>2.4186436577695347</v>
      </c>
      <c r="O799">
        <v>651</v>
      </c>
      <c r="P799" t="str">
        <f t="shared" si="38"/>
        <v>Fair</v>
      </c>
      <c r="Q799">
        <v>9</v>
      </c>
    </row>
    <row r="800" spans="1:17" x14ac:dyDescent="0.3">
      <c r="A800">
        <v>798</v>
      </c>
      <c r="B800">
        <v>50</v>
      </c>
      <c r="C800">
        <v>68</v>
      </c>
      <c r="D800">
        <v>1969</v>
      </c>
      <c r="E800">
        <v>9</v>
      </c>
      <c r="F800" t="str">
        <f t="shared" si="37"/>
        <v>36-50</v>
      </c>
      <c r="G800" t="s">
        <v>14</v>
      </c>
      <c r="H800" t="s">
        <v>742</v>
      </c>
      <c r="I800">
        <v>33.57</v>
      </c>
      <c r="J800">
        <v>-117.14</v>
      </c>
      <c r="K800" t="s">
        <v>743</v>
      </c>
      <c r="L800" s="4">
        <v>49076</v>
      </c>
      <c r="M800" s="4">
        <v>56547</v>
      </c>
      <c r="N800" s="11">
        <f t="shared" si="36"/>
        <v>1.1522332708452196</v>
      </c>
      <c r="O800">
        <v>715</v>
      </c>
      <c r="P800" t="str">
        <f t="shared" si="38"/>
        <v>Good</v>
      </c>
      <c r="Q800">
        <v>4</v>
      </c>
    </row>
    <row r="801" spans="1:17" x14ac:dyDescent="0.3">
      <c r="A801">
        <v>799</v>
      </c>
      <c r="B801">
        <v>34</v>
      </c>
      <c r="C801">
        <v>68</v>
      </c>
      <c r="D801">
        <v>1985</v>
      </c>
      <c r="E801">
        <v>7</v>
      </c>
      <c r="F801" t="str">
        <f t="shared" si="37"/>
        <v>26-35</v>
      </c>
      <c r="G801" t="s">
        <v>14</v>
      </c>
      <c r="H801" t="s">
        <v>1827</v>
      </c>
      <c r="I801">
        <v>42.88</v>
      </c>
      <c r="J801">
        <v>-78.849999999999994</v>
      </c>
      <c r="K801" t="s">
        <v>1828</v>
      </c>
      <c r="L801" s="4">
        <v>31525</v>
      </c>
      <c r="M801" s="4">
        <v>57818</v>
      </c>
      <c r="N801" s="11">
        <f t="shared" si="36"/>
        <v>1.8340364789849326</v>
      </c>
      <c r="O801">
        <v>686</v>
      </c>
      <c r="P801" t="str">
        <f t="shared" si="38"/>
        <v>Good</v>
      </c>
      <c r="Q801">
        <v>2</v>
      </c>
    </row>
    <row r="802" spans="1:17" x14ac:dyDescent="0.3">
      <c r="A802">
        <v>800</v>
      </c>
      <c r="B802">
        <v>28</v>
      </c>
      <c r="C802">
        <v>73</v>
      </c>
      <c r="D802">
        <v>1991</v>
      </c>
      <c r="E802">
        <v>10</v>
      </c>
      <c r="F802" t="str">
        <f t="shared" si="37"/>
        <v>26-35</v>
      </c>
      <c r="G802" t="s">
        <v>14</v>
      </c>
      <c r="H802" t="s">
        <v>134</v>
      </c>
      <c r="I802">
        <v>30.44</v>
      </c>
      <c r="J802">
        <v>-87.18</v>
      </c>
      <c r="K802" t="s">
        <v>135</v>
      </c>
      <c r="L802" s="4">
        <v>26025</v>
      </c>
      <c r="M802" s="4">
        <v>23971</v>
      </c>
      <c r="N802" s="11">
        <f t="shared" si="36"/>
        <v>0.92107588856868394</v>
      </c>
      <c r="O802">
        <v>723</v>
      </c>
      <c r="P802" t="str">
        <f t="shared" si="38"/>
        <v>Good</v>
      </c>
      <c r="Q802">
        <v>4</v>
      </c>
    </row>
    <row r="803" spans="1:17" x14ac:dyDescent="0.3">
      <c r="A803">
        <v>801</v>
      </c>
      <c r="B803">
        <v>82</v>
      </c>
      <c r="C803">
        <v>69</v>
      </c>
      <c r="D803">
        <v>1938</v>
      </c>
      <c r="E803">
        <v>2</v>
      </c>
      <c r="F803" t="str">
        <f t="shared" si="37"/>
        <v>65+</v>
      </c>
      <c r="G803" t="s">
        <v>14</v>
      </c>
      <c r="H803" t="s">
        <v>1430</v>
      </c>
      <c r="I803">
        <v>32.729999999999997</v>
      </c>
      <c r="J803">
        <v>-101.95</v>
      </c>
      <c r="K803" t="s">
        <v>1431</v>
      </c>
      <c r="L803" s="4">
        <v>23175</v>
      </c>
      <c r="M803" s="4">
        <v>1626</v>
      </c>
      <c r="N803" s="11">
        <f t="shared" si="36"/>
        <v>7.0161812297734633E-2</v>
      </c>
      <c r="O803">
        <v>723</v>
      </c>
      <c r="P803" t="str">
        <f t="shared" si="38"/>
        <v>Good</v>
      </c>
      <c r="Q803">
        <v>5</v>
      </c>
    </row>
    <row r="804" spans="1:17" x14ac:dyDescent="0.3">
      <c r="A804">
        <v>802</v>
      </c>
      <c r="B804">
        <v>35</v>
      </c>
      <c r="C804">
        <v>67</v>
      </c>
      <c r="D804">
        <v>1984</v>
      </c>
      <c r="E804">
        <v>3</v>
      </c>
      <c r="F804" t="str">
        <f t="shared" si="37"/>
        <v>26-35</v>
      </c>
      <c r="G804" t="s">
        <v>14</v>
      </c>
      <c r="H804" t="s">
        <v>1499</v>
      </c>
      <c r="I804">
        <v>38.74</v>
      </c>
      <c r="J804">
        <v>-121.25</v>
      </c>
      <c r="K804" t="s">
        <v>1500</v>
      </c>
      <c r="L804" s="4">
        <v>59872</v>
      </c>
      <c r="M804" s="4">
        <v>95927</v>
      </c>
      <c r="N804" s="11">
        <f t="shared" si="36"/>
        <v>1.602201362907536</v>
      </c>
      <c r="O804">
        <v>752</v>
      </c>
      <c r="P804" t="str">
        <f t="shared" si="38"/>
        <v>Very Good</v>
      </c>
      <c r="Q804">
        <v>4</v>
      </c>
    </row>
    <row r="805" spans="1:17" x14ac:dyDescent="0.3">
      <c r="A805">
        <v>803</v>
      </c>
      <c r="B805">
        <v>69</v>
      </c>
      <c r="C805">
        <v>73</v>
      </c>
      <c r="D805">
        <v>1951</v>
      </c>
      <c r="E805">
        <v>2</v>
      </c>
      <c r="F805" t="str">
        <f t="shared" si="37"/>
        <v>65+</v>
      </c>
      <c r="G805" t="s">
        <v>14</v>
      </c>
      <c r="H805" t="s">
        <v>497</v>
      </c>
      <c r="I805">
        <v>37.53</v>
      </c>
      <c r="J805">
        <v>-120.84</v>
      </c>
      <c r="K805" t="s">
        <v>498</v>
      </c>
      <c r="L805" s="4">
        <v>46487</v>
      </c>
      <c r="M805" s="4">
        <v>57336</v>
      </c>
      <c r="N805" s="11">
        <f t="shared" si="36"/>
        <v>1.2333770731602383</v>
      </c>
      <c r="O805">
        <v>635</v>
      </c>
      <c r="P805" t="str">
        <f t="shared" si="38"/>
        <v>Fair</v>
      </c>
      <c r="Q805">
        <v>3</v>
      </c>
    </row>
    <row r="806" spans="1:17" x14ac:dyDescent="0.3">
      <c r="A806">
        <v>804</v>
      </c>
      <c r="B806">
        <v>64</v>
      </c>
      <c r="C806">
        <v>67</v>
      </c>
      <c r="D806">
        <v>1955</v>
      </c>
      <c r="E806">
        <v>7</v>
      </c>
      <c r="F806" t="str">
        <f t="shared" si="37"/>
        <v>51-60</v>
      </c>
      <c r="G806" t="s">
        <v>19</v>
      </c>
      <c r="H806" t="s">
        <v>1352</v>
      </c>
      <c r="I806">
        <v>36.97</v>
      </c>
      <c r="J806">
        <v>-86.44</v>
      </c>
      <c r="K806" t="s">
        <v>1353</v>
      </c>
      <c r="L806" s="4">
        <v>30252</v>
      </c>
      <c r="M806" s="4">
        <v>24172</v>
      </c>
      <c r="N806" s="11">
        <f t="shared" si="36"/>
        <v>0.79902155229406324</v>
      </c>
      <c r="O806">
        <v>812</v>
      </c>
      <c r="P806" t="str">
        <f t="shared" si="38"/>
        <v>Excellent</v>
      </c>
      <c r="Q806">
        <v>5</v>
      </c>
    </row>
    <row r="807" spans="1:17" x14ac:dyDescent="0.3">
      <c r="A807">
        <v>805</v>
      </c>
      <c r="B807">
        <v>19</v>
      </c>
      <c r="C807">
        <v>65</v>
      </c>
      <c r="D807">
        <v>2000</v>
      </c>
      <c r="E807">
        <v>3</v>
      </c>
      <c r="F807" t="str">
        <f t="shared" si="37"/>
        <v>18-25</v>
      </c>
      <c r="G807" t="s">
        <v>14</v>
      </c>
      <c r="H807" t="s">
        <v>1688</v>
      </c>
      <c r="I807">
        <v>42.38</v>
      </c>
      <c r="J807">
        <v>-83.1</v>
      </c>
      <c r="K807" t="s">
        <v>1689</v>
      </c>
      <c r="L807" s="4">
        <v>32192</v>
      </c>
      <c r="M807" s="4">
        <v>24074</v>
      </c>
      <c r="N807" s="11">
        <f t="shared" si="36"/>
        <v>0.74782554671968193</v>
      </c>
      <c r="O807">
        <v>686</v>
      </c>
      <c r="P807" t="str">
        <f t="shared" si="38"/>
        <v>Good</v>
      </c>
      <c r="Q807">
        <v>2</v>
      </c>
    </row>
    <row r="808" spans="1:17" x14ac:dyDescent="0.3">
      <c r="A808">
        <v>806</v>
      </c>
      <c r="B808">
        <v>24</v>
      </c>
      <c r="C808">
        <v>67</v>
      </c>
      <c r="D808">
        <v>1995</v>
      </c>
      <c r="E808">
        <v>4</v>
      </c>
      <c r="F808" t="str">
        <f t="shared" si="37"/>
        <v>18-25</v>
      </c>
      <c r="G808" t="s">
        <v>14</v>
      </c>
      <c r="H808" t="s">
        <v>229</v>
      </c>
      <c r="I808">
        <v>40.11</v>
      </c>
      <c r="J808">
        <v>-83.13</v>
      </c>
      <c r="K808" t="s">
        <v>230</v>
      </c>
      <c r="L808" s="4">
        <v>77972</v>
      </c>
      <c r="M808" s="4">
        <v>6128</v>
      </c>
      <c r="N808" s="11">
        <f t="shared" si="36"/>
        <v>7.8592315190068235E-2</v>
      </c>
      <c r="O808">
        <v>686</v>
      </c>
      <c r="P808" t="str">
        <f t="shared" si="38"/>
        <v>Good</v>
      </c>
      <c r="Q808">
        <v>3</v>
      </c>
    </row>
    <row r="809" spans="1:17" x14ac:dyDescent="0.3">
      <c r="A809">
        <v>807</v>
      </c>
      <c r="B809">
        <v>52</v>
      </c>
      <c r="C809">
        <v>71</v>
      </c>
      <c r="D809">
        <v>1967</v>
      </c>
      <c r="E809">
        <v>8</v>
      </c>
      <c r="F809" t="str">
        <f t="shared" si="37"/>
        <v>51-60</v>
      </c>
      <c r="G809" t="s">
        <v>14</v>
      </c>
      <c r="H809" t="s">
        <v>1153</v>
      </c>
      <c r="I809">
        <v>42.77</v>
      </c>
      <c r="J809">
        <v>-86.1</v>
      </c>
      <c r="K809" t="s">
        <v>1154</v>
      </c>
      <c r="L809" s="4">
        <v>38487</v>
      </c>
      <c r="M809" s="4">
        <v>49725</v>
      </c>
      <c r="N809" s="11">
        <f t="shared" si="36"/>
        <v>1.2919946995089251</v>
      </c>
      <c r="O809">
        <v>691</v>
      </c>
      <c r="P809" t="str">
        <f t="shared" si="38"/>
        <v>Good</v>
      </c>
      <c r="Q809">
        <v>3</v>
      </c>
    </row>
    <row r="810" spans="1:17" x14ac:dyDescent="0.3">
      <c r="A810">
        <v>808</v>
      </c>
      <c r="B810">
        <v>38</v>
      </c>
      <c r="C810">
        <v>66</v>
      </c>
      <c r="D810">
        <v>1981</v>
      </c>
      <c r="E810">
        <v>11</v>
      </c>
      <c r="F810" t="str">
        <f t="shared" si="37"/>
        <v>36-50</v>
      </c>
      <c r="G810" t="s">
        <v>14</v>
      </c>
      <c r="H810" t="s">
        <v>452</v>
      </c>
      <c r="I810">
        <v>40.78</v>
      </c>
      <c r="J810">
        <v>-73.239999999999995</v>
      </c>
      <c r="K810" t="s">
        <v>453</v>
      </c>
      <c r="L810" s="4">
        <v>36045</v>
      </c>
      <c r="M810" s="4">
        <v>0</v>
      </c>
      <c r="N810" s="11">
        <f t="shared" si="36"/>
        <v>0</v>
      </c>
      <c r="O810">
        <v>683</v>
      </c>
      <c r="P810" t="str">
        <f t="shared" si="38"/>
        <v>Good</v>
      </c>
      <c r="Q810">
        <v>3</v>
      </c>
    </row>
    <row r="811" spans="1:17" x14ac:dyDescent="0.3">
      <c r="A811">
        <v>809</v>
      </c>
      <c r="B811">
        <v>54</v>
      </c>
      <c r="C811">
        <v>66</v>
      </c>
      <c r="D811">
        <v>1965</v>
      </c>
      <c r="E811">
        <v>5</v>
      </c>
      <c r="F811" t="str">
        <f t="shared" si="37"/>
        <v>51-60</v>
      </c>
      <c r="G811" t="s">
        <v>14</v>
      </c>
      <c r="H811" t="s">
        <v>1845</v>
      </c>
      <c r="I811">
        <v>41.76</v>
      </c>
      <c r="J811">
        <v>-88.15</v>
      </c>
      <c r="K811" t="s">
        <v>1846</v>
      </c>
      <c r="L811" s="4">
        <v>85596</v>
      </c>
      <c r="M811" s="4">
        <v>159101</v>
      </c>
      <c r="N811" s="11">
        <f t="shared" si="36"/>
        <v>1.8587433992242628</v>
      </c>
      <c r="O811">
        <v>618</v>
      </c>
      <c r="P811" t="str">
        <f t="shared" si="38"/>
        <v>Fair</v>
      </c>
      <c r="Q811">
        <v>1</v>
      </c>
    </row>
    <row r="812" spans="1:17" x14ac:dyDescent="0.3">
      <c r="A812">
        <v>810</v>
      </c>
      <c r="B812">
        <v>77</v>
      </c>
      <c r="C812">
        <v>65</v>
      </c>
      <c r="D812">
        <v>1942</v>
      </c>
      <c r="E812">
        <v>5</v>
      </c>
      <c r="F812" t="str">
        <f t="shared" si="37"/>
        <v>65+</v>
      </c>
      <c r="G812" t="s">
        <v>14</v>
      </c>
      <c r="H812" t="s">
        <v>1422</v>
      </c>
      <c r="I812">
        <v>37.68</v>
      </c>
      <c r="J812">
        <v>-85.22</v>
      </c>
      <c r="K812" t="s">
        <v>1423</v>
      </c>
      <c r="L812" s="4">
        <v>22540</v>
      </c>
      <c r="M812" s="4">
        <v>16946</v>
      </c>
      <c r="N812" s="11">
        <f t="shared" si="36"/>
        <v>0.75181898846495121</v>
      </c>
      <c r="O812">
        <v>705</v>
      </c>
      <c r="P812" t="str">
        <f t="shared" si="38"/>
        <v>Good</v>
      </c>
      <c r="Q812">
        <v>6</v>
      </c>
    </row>
    <row r="813" spans="1:17" x14ac:dyDescent="0.3">
      <c r="A813">
        <v>811</v>
      </c>
      <c r="B813">
        <v>91</v>
      </c>
      <c r="C813">
        <v>68</v>
      </c>
      <c r="D813">
        <v>1929</v>
      </c>
      <c r="E813">
        <v>2</v>
      </c>
      <c r="F813" t="str">
        <f t="shared" si="37"/>
        <v>65+</v>
      </c>
      <c r="G813" t="s">
        <v>14</v>
      </c>
      <c r="H813" t="s">
        <v>60</v>
      </c>
      <c r="I813">
        <v>38.9</v>
      </c>
      <c r="J813">
        <v>-94.68</v>
      </c>
      <c r="K813" t="s">
        <v>61</v>
      </c>
      <c r="L813" s="4">
        <v>84694</v>
      </c>
      <c r="M813" s="4">
        <v>2149</v>
      </c>
      <c r="N813" s="11">
        <f t="shared" si="36"/>
        <v>2.5373698254894089E-2</v>
      </c>
      <c r="O813">
        <v>741</v>
      </c>
      <c r="P813" t="str">
        <f t="shared" si="38"/>
        <v>Very Good</v>
      </c>
      <c r="Q813">
        <v>7</v>
      </c>
    </row>
    <row r="814" spans="1:17" x14ac:dyDescent="0.3">
      <c r="A814">
        <v>812</v>
      </c>
      <c r="B814">
        <v>41</v>
      </c>
      <c r="C814">
        <v>67</v>
      </c>
      <c r="D814">
        <v>1978</v>
      </c>
      <c r="E814">
        <v>4</v>
      </c>
      <c r="F814" t="str">
        <f t="shared" si="37"/>
        <v>36-50</v>
      </c>
      <c r="G814" t="s">
        <v>14</v>
      </c>
      <c r="H814" t="s">
        <v>280</v>
      </c>
      <c r="I814">
        <v>42.78</v>
      </c>
      <c r="J814">
        <v>-72.48</v>
      </c>
      <c r="K814" t="s">
        <v>281</v>
      </c>
      <c r="L814" s="4">
        <v>41469</v>
      </c>
      <c r="M814" s="4">
        <v>119423</v>
      </c>
      <c r="N814" s="11">
        <f t="shared" si="36"/>
        <v>2.8798138368419783</v>
      </c>
      <c r="O814">
        <v>659</v>
      </c>
      <c r="P814" t="str">
        <f t="shared" si="38"/>
        <v>Fair</v>
      </c>
      <c r="Q814">
        <v>1</v>
      </c>
    </row>
    <row r="815" spans="1:17" x14ac:dyDescent="0.3">
      <c r="A815">
        <v>813</v>
      </c>
      <c r="B815">
        <v>46</v>
      </c>
      <c r="C815">
        <v>70</v>
      </c>
      <c r="D815">
        <v>1973</v>
      </c>
      <c r="E815">
        <v>6</v>
      </c>
      <c r="F815" t="str">
        <f t="shared" si="37"/>
        <v>36-50</v>
      </c>
      <c r="G815" t="s">
        <v>19</v>
      </c>
      <c r="H815" t="s">
        <v>644</v>
      </c>
      <c r="I815">
        <v>41.99</v>
      </c>
      <c r="J815">
        <v>-71.5</v>
      </c>
      <c r="K815" t="s">
        <v>645</v>
      </c>
      <c r="L815" s="4">
        <v>38872</v>
      </c>
      <c r="M815" s="4">
        <v>86648</v>
      </c>
      <c r="N815" s="11">
        <f t="shared" si="36"/>
        <v>2.2290594772586951</v>
      </c>
      <c r="O815">
        <v>585</v>
      </c>
      <c r="P815" t="str">
        <f t="shared" si="38"/>
        <v>Fair</v>
      </c>
      <c r="Q815">
        <v>1</v>
      </c>
    </row>
    <row r="816" spans="1:17" x14ac:dyDescent="0.3">
      <c r="A816">
        <v>814</v>
      </c>
      <c r="B816">
        <v>72</v>
      </c>
      <c r="C816">
        <v>65</v>
      </c>
      <c r="D816">
        <v>1948</v>
      </c>
      <c r="E816">
        <v>1</v>
      </c>
      <c r="F816" t="str">
        <f t="shared" si="37"/>
        <v>65+</v>
      </c>
      <c r="G816" t="s">
        <v>19</v>
      </c>
      <c r="H816" t="s">
        <v>1925</v>
      </c>
      <c r="I816">
        <v>27.98</v>
      </c>
      <c r="J816">
        <v>-80.66</v>
      </c>
      <c r="K816" t="s">
        <v>1661</v>
      </c>
      <c r="L816" s="4">
        <v>16302</v>
      </c>
      <c r="M816" s="4">
        <v>14408</v>
      </c>
      <c r="N816" s="11">
        <f t="shared" si="36"/>
        <v>0.88381793644951545</v>
      </c>
      <c r="O816">
        <v>748</v>
      </c>
      <c r="P816" t="str">
        <f t="shared" si="38"/>
        <v>Very Good</v>
      </c>
      <c r="Q816">
        <v>4</v>
      </c>
    </row>
    <row r="817" spans="1:17" x14ac:dyDescent="0.3">
      <c r="A817">
        <v>815</v>
      </c>
      <c r="B817">
        <v>19</v>
      </c>
      <c r="C817">
        <v>60</v>
      </c>
      <c r="D817">
        <v>2000</v>
      </c>
      <c r="E817">
        <v>6</v>
      </c>
      <c r="F817" t="str">
        <f t="shared" si="37"/>
        <v>18-25</v>
      </c>
      <c r="G817" t="s">
        <v>19</v>
      </c>
      <c r="H817" t="s">
        <v>748</v>
      </c>
      <c r="I817">
        <v>33.61</v>
      </c>
      <c r="J817">
        <v>-112.46</v>
      </c>
      <c r="K817" t="s">
        <v>749</v>
      </c>
      <c r="L817" s="4">
        <v>48418</v>
      </c>
      <c r="M817" s="4">
        <v>73106</v>
      </c>
      <c r="N817" s="11">
        <f t="shared" si="36"/>
        <v>1.5098930149944236</v>
      </c>
      <c r="O817">
        <v>756</v>
      </c>
      <c r="P817" t="str">
        <f t="shared" si="38"/>
        <v>Very Good</v>
      </c>
      <c r="Q817">
        <v>2</v>
      </c>
    </row>
    <row r="818" spans="1:17" x14ac:dyDescent="0.3">
      <c r="A818">
        <v>816</v>
      </c>
      <c r="B818">
        <v>56</v>
      </c>
      <c r="C818">
        <v>65</v>
      </c>
      <c r="D818">
        <v>1964</v>
      </c>
      <c r="E818">
        <v>2</v>
      </c>
      <c r="F818" t="str">
        <f t="shared" si="37"/>
        <v>51-60</v>
      </c>
      <c r="G818" t="s">
        <v>19</v>
      </c>
      <c r="H818" t="s">
        <v>1187</v>
      </c>
      <c r="I818">
        <v>36.56</v>
      </c>
      <c r="J818">
        <v>-82.19</v>
      </c>
      <c r="K818" t="s">
        <v>1188</v>
      </c>
      <c r="L818" s="4">
        <v>36285</v>
      </c>
      <c r="M818" s="4">
        <v>67244</v>
      </c>
      <c r="N818" s="11">
        <f t="shared" si="36"/>
        <v>1.8532175830232878</v>
      </c>
      <c r="O818">
        <v>759</v>
      </c>
      <c r="P818" t="str">
        <f t="shared" si="38"/>
        <v>Very Good</v>
      </c>
      <c r="Q818">
        <v>5</v>
      </c>
    </row>
    <row r="819" spans="1:17" x14ac:dyDescent="0.3">
      <c r="A819">
        <v>817</v>
      </c>
      <c r="B819">
        <v>26</v>
      </c>
      <c r="C819">
        <v>67</v>
      </c>
      <c r="D819">
        <v>1993</v>
      </c>
      <c r="E819">
        <v>5</v>
      </c>
      <c r="F819" t="str">
        <f t="shared" si="37"/>
        <v>26-35</v>
      </c>
      <c r="G819" t="s">
        <v>19</v>
      </c>
      <c r="H819" t="s">
        <v>358</v>
      </c>
      <c r="I819">
        <v>30.06</v>
      </c>
      <c r="J819">
        <v>-89.93</v>
      </c>
      <c r="K819" t="s">
        <v>359</v>
      </c>
      <c r="L819" s="4">
        <v>65888</v>
      </c>
      <c r="M819" s="4">
        <v>162364</v>
      </c>
      <c r="N819" s="11">
        <f t="shared" si="36"/>
        <v>2.4642423506556579</v>
      </c>
      <c r="O819">
        <v>803</v>
      </c>
      <c r="P819" t="str">
        <f t="shared" si="38"/>
        <v>Excellent</v>
      </c>
      <c r="Q819">
        <v>2</v>
      </c>
    </row>
    <row r="820" spans="1:17" x14ac:dyDescent="0.3">
      <c r="A820">
        <v>818</v>
      </c>
      <c r="B820">
        <v>54</v>
      </c>
      <c r="C820">
        <v>66</v>
      </c>
      <c r="D820">
        <v>1965</v>
      </c>
      <c r="E820">
        <v>3</v>
      </c>
      <c r="F820" t="str">
        <f t="shared" si="37"/>
        <v>51-60</v>
      </c>
      <c r="G820" t="s">
        <v>14</v>
      </c>
      <c r="H820" t="s">
        <v>1660</v>
      </c>
      <c r="I820">
        <v>27.98</v>
      </c>
      <c r="J820">
        <v>-80.66</v>
      </c>
      <c r="K820" t="s">
        <v>1661</v>
      </c>
      <c r="L820" s="4">
        <v>31240</v>
      </c>
      <c r="M820" s="4">
        <v>26005</v>
      </c>
      <c r="N820" s="11">
        <f t="shared" si="36"/>
        <v>0.83242637644046091</v>
      </c>
      <c r="O820">
        <v>770</v>
      </c>
      <c r="P820" t="str">
        <f t="shared" si="38"/>
        <v>Very Good</v>
      </c>
      <c r="Q820">
        <v>5</v>
      </c>
    </row>
    <row r="821" spans="1:17" x14ac:dyDescent="0.3">
      <c r="A821">
        <v>819</v>
      </c>
      <c r="B821">
        <v>55</v>
      </c>
      <c r="C821">
        <v>77</v>
      </c>
      <c r="D821">
        <v>1964</v>
      </c>
      <c r="E821">
        <v>10</v>
      </c>
      <c r="F821" t="str">
        <f t="shared" si="37"/>
        <v>51-60</v>
      </c>
      <c r="G821" t="s">
        <v>14</v>
      </c>
      <c r="H821" t="s">
        <v>1389</v>
      </c>
      <c r="I821">
        <v>40.43</v>
      </c>
      <c r="J821">
        <v>-79.97</v>
      </c>
      <c r="K821" t="s">
        <v>520</v>
      </c>
      <c r="L821" s="4">
        <v>37495</v>
      </c>
      <c r="M821" s="4">
        <v>28449</v>
      </c>
      <c r="N821" s="11">
        <f t="shared" si="36"/>
        <v>0.75874116548873183</v>
      </c>
      <c r="O821">
        <v>687</v>
      </c>
      <c r="P821" t="str">
        <f t="shared" si="38"/>
        <v>Good</v>
      </c>
      <c r="Q821">
        <v>3</v>
      </c>
    </row>
    <row r="822" spans="1:17" x14ac:dyDescent="0.3">
      <c r="A822">
        <v>820</v>
      </c>
      <c r="B822">
        <v>70</v>
      </c>
      <c r="C822">
        <v>59</v>
      </c>
      <c r="D822">
        <v>1949</v>
      </c>
      <c r="E822">
        <v>12</v>
      </c>
      <c r="F822" t="str">
        <f t="shared" si="37"/>
        <v>65+</v>
      </c>
      <c r="G822" t="s">
        <v>14</v>
      </c>
      <c r="H822" t="s">
        <v>210</v>
      </c>
      <c r="I822">
        <v>41.7</v>
      </c>
      <c r="J822">
        <v>-70.3</v>
      </c>
      <c r="K822" t="s">
        <v>211</v>
      </c>
      <c r="L822" s="4">
        <v>41902</v>
      </c>
      <c r="M822" s="4">
        <v>29713</v>
      </c>
      <c r="N822" s="11">
        <f t="shared" si="36"/>
        <v>0.70910696386807315</v>
      </c>
      <c r="O822">
        <v>633</v>
      </c>
      <c r="P822" t="str">
        <f t="shared" si="38"/>
        <v>Fair</v>
      </c>
      <c r="Q822">
        <v>5</v>
      </c>
    </row>
    <row r="823" spans="1:17" x14ac:dyDescent="0.3">
      <c r="A823">
        <v>821</v>
      </c>
      <c r="B823">
        <v>73</v>
      </c>
      <c r="C823">
        <v>60</v>
      </c>
      <c r="D823">
        <v>1946</v>
      </c>
      <c r="E823">
        <v>7</v>
      </c>
      <c r="F823" t="str">
        <f t="shared" si="37"/>
        <v>65+</v>
      </c>
      <c r="G823" t="s">
        <v>19</v>
      </c>
      <c r="H823" t="s">
        <v>397</v>
      </c>
      <c r="I823">
        <v>29.76</v>
      </c>
      <c r="J823">
        <v>-95.38</v>
      </c>
      <c r="K823" t="s">
        <v>398</v>
      </c>
      <c r="L823" s="4">
        <v>18015</v>
      </c>
      <c r="M823" s="4">
        <v>10463</v>
      </c>
      <c r="N823" s="11">
        <f t="shared" si="36"/>
        <v>0.58079378295864559</v>
      </c>
      <c r="O823">
        <v>645</v>
      </c>
      <c r="P823" t="str">
        <f t="shared" si="38"/>
        <v>Fair</v>
      </c>
      <c r="Q823">
        <v>2</v>
      </c>
    </row>
    <row r="824" spans="1:17" x14ac:dyDescent="0.3">
      <c r="A824">
        <v>822</v>
      </c>
      <c r="B824">
        <v>51</v>
      </c>
      <c r="C824">
        <v>68</v>
      </c>
      <c r="D824">
        <v>1968</v>
      </c>
      <c r="E824">
        <v>4</v>
      </c>
      <c r="F824" t="str">
        <f t="shared" si="37"/>
        <v>51-60</v>
      </c>
      <c r="G824" t="s">
        <v>14</v>
      </c>
      <c r="H824" t="s">
        <v>58</v>
      </c>
      <c r="I824">
        <v>32.61</v>
      </c>
      <c r="J824">
        <v>-117.03</v>
      </c>
      <c r="K824" t="s">
        <v>59</v>
      </c>
      <c r="L824" s="4">
        <v>34540</v>
      </c>
      <c r="M824" s="4">
        <v>22641</v>
      </c>
      <c r="N824" s="11">
        <f t="shared" si="36"/>
        <v>0.65550086855819345</v>
      </c>
      <c r="O824">
        <v>793</v>
      </c>
      <c r="P824" t="str">
        <f t="shared" si="38"/>
        <v>Very Good</v>
      </c>
      <c r="Q824">
        <v>5</v>
      </c>
    </row>
    <row r="825" spans="1:17" x14ac:dyDescent="0.3">
      <c r="A825">
        <v>823</v>
      </c>
      <c r="B825">
        <v>41</v>
      </c>
      <c r="C825">
        <v>65</v>
      </c>
      <c r="D825">
        <v>1978</v>
      </c>
      <c r="E825">
        <v>3</v>
      </c>
      <c r="F825" t="str">
        <f t="shared" si="37"/>
        <v>36-50</v>
      </c>
      <c r="G825" t="s">
        <v>14</v>
      </c>
      <c r="H825" t="s">
        <v>481</v>
      </c>
      <c r="I825">
        <v>36.700000000000003</v>
      </c>
      <c r="J825">
        <v>-76.63</v>
      </c>
      <c r="K825" t="s">
        <v>482</v>
      </c>
      <c r="L825" s="4">
        <v>41496</v>
      </c>
      <c r="M825" s="4">
        <v>9222</v>
      </c>
      <c r="N825" s="11">
        <f t="shared" si="36"/>
        <v>0.22223828802776172</v>
      </c>
      <c r="O825">
        <v>807</v>
      </c>
      <c r="P825" t="str">
        <f t="shared" si="38"/>
        <v>Excellent</v>
      </c>
      <c r="Q825">
        <v>2</v>
      </c>
    </row>
    <row r="826" spans="1:17" x14ac:dyDescent="0.3">
      <c r="A826">
        <v>824</v>
      </c>
      <c r="B826">
        <v>32</v>
      </c>
      <c r="C826">
        <v>66</v>
      </c>
      <c r="D826">
        <v>1987</v>
      </c>
      <c r="E826">
        <v>8</v>
      </c>
      <c r="F826" t="str">
        <f t="shared" si="37"/>
        <v>26-35</v>
      </c>
      <c r="G826" t="s">
        <v>14</v>
      </c>
      <c r="H826" t="s">
        <v>238</v>
      </c>
      <c r="I826">
        <v>27.75</v>
      </c>
      <c r="J826">
        <v>-82.64</v>
      </c>
      <c r="K826" t="s">
        <v>239</v>
      </c>
      <c r="L826" s="4">
        <v>36901</v>
      </c>
      <c r="M826" s="4">
        <v>23293</v>
      </c>
      <c r="N826" s="11">
        <f t="shared" si="36"/>
        <v>0.6312295059754478</v>
      </c>
      <c r="O826">
        <v>695</v>
      </c>
      <c r="P826" t="str">
        <f t="shared" si="38"/>
        <v>Good</v>
      </c>
      <c r="Q826">
        <v>4</v>
      </c>
    </row>
    <row r="827" spans="1:17" x14ac:dyDescent="0.3">
      <c r="A827">
        <v>825</v>
      </c>
      <c r="B827">
        <v>53</v>
      </c>
      <c r="C827">
        <v>66</v>
      </c>
      <c r="D827">
        <v>1966</v>
      </c>
      <c r="E827">
        <v>11</v>
      </c>
      <c r="F827" t="str">
        <f t="shared" si="37"/>
        <v>51-60</v>
      </c>
      <c r="G827" t="s">
        <v>14</v>
      </c>
      <c r="H827" t="s">
        <v>15</v>
      </c>
      <c r="I827">
        <v>34.15</v>
      </c>
      <c r="J827">
        <v>-117.76</v>
      </c>
      <c r="K827" t="s">
        <v>16</v>
      </c>
      <c r="L827" s="4">
        <v>59696</v>
      </c>
      <c r="M827" s="4">
        <v>127613</v>
      </c>
      <c r="N827" s="11">
        <f t="shared" si="36"/>
        <v>2.1377144197266147</v>
      </c>
      <c r="O827">
        <v>787</v>
      </c>
      <c r="P827" t="str">
        <f t="shared" si="38"/>
        <v>Very Good</v>
      </c>
      <c r="Q827">
        <v>5</v>
      </c>
    </row>
    <row r="828" spans="1:17" x14ac:dyDescent="0.3">
      <c r="A828">
        <v>826</v>
      </c>
      <c r="B828">
        <v>67</v>
      </c>
      <c r="C828">
        <v>60</v>
      </c>
      <c r="D828">
        <v>1952</v>
      </c>
      <c r="E828">
        <v>11</v>
      </c>
      <c r="F828" t="str">
        <f t="shared" si="37"/>
        <v>65+</v>
      </c>
      <c r="G828" t="s">
        <v>14</v>
      </c>
      <c r="H828" t="s">
        <v>489</v>
      </c>
      <c r="I828">
        <v>33.979999999999997</v>
      </c>
      <c r="J828">
        <v>-83.88</v>
      </c>
      <c r="K828" t="s">
        <v>490</v>
      </c>
      <c r="L828" s="4">
        <v>57705</v>
      </c>
      <c r="M828" s="4">
        <v>22475</v>
      </c>
      <c r="N828" s="11">
        <f t="shared" si="36"/>
        <v>0.38948098085087945</v>
      </c>
      <c r="O828">
        <v>684</v>
      </c>
      <c r="P828" t="str">
        <f t="shared" si="38"/>
        <v>Good</v>
      </c>
      <c r="Q828">
        <v>3</v>
      </c>
    </row>
    <row r="829" spans="1:17" x14ac:dyDescent="0.3">
      <c r="A829">
        <v>827</v>
      </c>
      <c r="B829">
        <v>61</v>
      </c>
      <c r="C829">
        <v>71</v>
      </c>
      <c r="D829">
        <v>1958</v>
      </c>
      <c r="E829">
        <v>4</v>
      </c>
      <c r="F829" t="str">
        <f t="shared" si="37"/>
        <v>51-60</v>
      </c>
      <c r="G829" t="s">
        <v>14</v>
      </c>
      <c r="H829" t="s">
        <v>1633</v>
      </c>
      <c r="I829">
        <v>43.1</v>
      </c>
      <c r="J829">
        <v>-75.23</v>
      </c>
      <c r="K829" t="s">
        <v>1634</v>
      </c>
      <c r="L829" s="4">
        <v>30984</v>
      </c>
      <c r="M829" s="4">
        <v>39222</v>
      </c>
      <c r="N829" s="11">
        <f t="shared" si="36"/>
        <v>1.2658791634391944</v>
      </c>
      <c r="O829">
        <v>616</v>
      </c>
      <c r="P829" t="str">
        <f t="shared" si="38"/>
        <v>Fair</v>
      </c>
      <c r="Q829">
        <v>4</v>
      </c>
    </row>
    <row r="830" spans="1:17" x14ac:dyDescent="0.3">
      <c r="A830">
        <v>828</v>
      </c>
      <c r="B830">
        <v>59</v>
      </c>
      <c r="C830">
        <v>71</v>
      </c>
      <c r="D830">
        <v>1960</v>
      </c>
      <c r="E830">
        <v>3</v>
      </c>
      <c r="F830" t="str">
        <f t="shared" si="37"/>
        <v>51-60</v>
      </c>
      <c r="G830" t="s">
        <v>14</v>
      </c>
      <c r="H830" t="s">
        <v>570</v>
      </c>
      <c r="I830">
        <v>29.45</v>
      </c>
      <c r="J830">
        <v>-98.5</v>
      </c>
      <c r="K830" t="s">
        <v>571</v>
      </c>
      <c r="L830" s="4">
        <v>35906</v>
      </c>
      <c r="M830" s="4">
        <v>69819</v>
      </c>
      <c r="N830" s="11">
        <f t="shared" si="36"/>
        <v>1.9444939564418202</v>
      </c>
      <c r="O830">
        <v>659</v>
      </c>
      <c r="P830" t="str">
        <f t="shared" si="38"/>
        <v>Fair</v>
      </c>
      <c r="Q830">
        <v>3</v>
      </c>
    </row>
    <row r="831" spans="1:17" x14ac:dyDescent="0.3">
      <c r="A831">
        <v>829</v>
      </c>
      <c r="B831">
        <v>29</v>
      </c>
      <c r="C831">
        <v>70</v>
      </c>
      <c r="D831">
        <v>1990</v>
      </c>
      <c r="E831">
        <v>3</v>
      </c>
      <c r="F831" t="str">
        <f t="shared" si="37"/>
        <v>26-35</v>
      </c>
      <c r="G831" t="s">
        <v>14</v>
      </c>
      <c r="H831" t="s">
        <v>493</v>
      </c>
      <c r="I831">
        <v>35.36</v>
      </c>
      <c r="J831">
        <v>-79.13</v>
      </c>
      <c r="K831" t="s">
        <v>494</v>
      </c>
      <c r="L831" s="4">
        <v>36404</v>
      </c>
      <c r="M831" s="4">
        <v>11745</v>
      </c>
      <c r="N831" s="11">
        <f t="shared" si="36"/>
        <v>0.32262938138666081</v>
      </c>
      <c r="O831">
        <v>726</v>
      </c>
      <c r="P831" t="str">
        <f t="shared" si="38"/>
        <v>Good</v>
      </c>
      <c r="Q831">
        <v>3</v>
      </c>
    </row>
    <row r="832" spans="1:17" x14ac:dyDescent="0.3">
      <c r="A832">
        <v>830</v>
      </c>
      <c r="B832">
        <v>29</v>
      </c>
      <c r="C832">
        <v>71</v>
      </c>
      <c r="D832">
        <v>1990</v>
      </c>
      <c r="E832">
        <v>10</v>
      </c>
      <c r="F832" t="str">
        <f t="shared" si="37"/>
        <v>26-35</v>
      </c>
      <c r="G832" t="s">
        <v>14</v>
      </c>
      <c r="H832" t="s">
        <v>1693</v>
      </c>
      <c r="I832">
        <v>29.99</v>
      </c>
      <c r="J832">
        <v>-95.26</v>
      </c>
      <c r="K832" t="s">
        <v>947</v>
      </c>
      <c r="L832" s="4">
        <v>67166</v>
      </c>
      <c r="M832" s="4">
        <v>123932</v>
      </c>
      <c r="N832" s="11">
        <f t="shared" si="36"/>
        <v>1.8451597534466844</v>
      </c>
      <c r="O832">
        <v>688</v>
      </c>
      <c r="P832" t="str">
        <f t="shared" si="38"/>
        <v>Good</v>
      </c>
      <c r="Q832">
        <v>2</v>
      </c>
    </row>
    <row r="833" spans="1:17" x14ac:dyDescent="0.3">
      <c r="A833">
        <v>831</v>
      </c>
      <c r="B833">
        <v>36</v>
      </c>
      <c r="C833">
        <v>66</v>
      </c>
      <c r="D833">
        <v>1983</v>
      </c>
      <c r="E833">
        <v>10</v>
      </c>
      <c r="F833" t="str">
        <f t="shared" si="37"/>
        <v>36-50</v>
      </c>
      <c r="G833" t="s">
        <v>19</v>
      </c>
      <c r="H833" t="s">
        <v>399</v>
      </c>
      <c r="I833">
        <v>41.29</v>
      </c>
      <c r="J833">
        <v>-91.55</v>
      </c>
      <c r="K833" t="s">
        <v>400</v>
      </c>
      <c r="L833" s="4">
        <v>37316</v>
      </c>
      <c r="M833" s="4">
        <v>37515</v>
      </c>
      <c r="N833" s="11">
        <f t="shared" si="36"/>
        <v>1.0053328331010827</v>
      </c>
      <c r="O833">
        <v>726</v>
      </c>
      <c r="P833" t="str">
        <f t="shared" si="38"/>
        <v>Good</v>
      </c>
      <c r="Q833">
        <v>2</v>
      </c>
    </row>
    <row r="834" spans="1:17" x14ac:dyDescent="0.3">
      <c r="A834">
        <v>832</v>
      </c>
      <c r="B834">
        <v>40</v>
      </c>
      <c r="C834">
        <v>67</v>
      </c>
      <c r="D834">
        <v>1979</v>
      </c>
      <c r="E834">
        <v>5</v>
      </c>
      <c r="F834" t="str">
        <f t="shared" si="37"/>
        <v>36-50</v>
      </c>
      <c r="G834" t="s">
        <v>14</v>
      </c>
      <c r="H834" t="s">
        <v>833</v>
      </c>
      <c r="I834">
        <v>33.200000000000003</v>
      </c>
      <c r="J834">
        <v>-96.65</v>
      </c>
      <c r="K834" t="s">
        <v>834</v>
      </c>
      <c r="L834" s="4">
        <v>50329</v>
      </c>
      <c r="M834" s="4">
        <v>76759</v>
      </c>
      <c r="N834" s="11">
        <f t="shared" ref="N834:N897" si="39">(M834/L834)</f>
        <v>1.5251445488684456</v>
      </c>
      <c r="O834">
        <v>625</v>
      </c>
      <c r="P834" t="str">
        <f t="shared" si="38"/>
        <v>Fair</v>
      </c>
      <c r="Q834">
        <v>4</v>
      </c>
    </row>
    <row r="835" spans="1:17" x14ac:dyDescent="0.3">
      <c r="A835">
        <v>833</v>
      </c>
      <c r="B835">
        <v>21</v>
      </c>
      <c r="C835">
        <v>65</v>
      </c>
      <c r="D835">
        <v>1998</v>
      </c>
      <c r="E835">
        <v>11</v>
      </c>
      <c r="F835" t="str">
        <f t="shared" ref="F835:F898" si="40">IF(B835&lt;26,"18-25",
   IF(B835&lt;36,"26-35",
   IF(B835&lt;51,"36-50",
   IF(B835&lt;66,"51-60","65+"))))</f>
        <v>18-25</v>
      </c>
      <c r="G835" t="s">
        <v>14</v>
      </c>
      <c r="H835" t="s">
        <v>1917</v>
      </c>
      <c r="I835">
        <v>40.85</v>
      </c>
      <c r="J835">
        <v>-74.099999999999994</v>
      </c>
      <c r="K835" t="s">
        <v>1918</v>
      </c>
      <c r="L835" s="4">
        <v>44501</v>
      </c>
      <c r="M835" s="4">
        <v>37251</v>
      </c>
      <c r="N835" s="11">
        <f t="shared" si="39"/>
        <v>0.83708231275701672</v>
      </c>
      <c r="O835">
        <v>683</v>
      </c>
      <c r="P835" t="str">
        <f t="shared" ref="P835:P898" si="41">IF(O835&lt;580,"Poor",
   IF(O835&lt;670,"Fair",
   IF(O835&lt;740,"Good",
   IF(O835&lt;800,"Very Good","Excellent"))))</f>
        <v>Good</v>
      </c>
      <c r="Q835">
        <v>2</v>
      </c>
    </row>
    <row r="836" spans="1:17" x14ac:dyDescent="0.3">
      <c r="A836">
        <v>834</v>
      </c>
      <c r="B836">
        <v>19</v>
      </c>
      <c r="C836">
        <v>68</v>
      </c>
      <c r="D836">
        <v>2000</v>
      </c>
      <c r="E836">
        <v>11</v>
      </c>
      <c r="F836" t="str">
        <f t="shared" si="40"/>
        <v>18-25</v>
      </c>
      <c r="G836" t="s">
        <v>19</v>
      </c>
      <c r="H836" t="s">
        <v>811</v>
      </c>
      <c r="I836">
        <v>33.950000000000003</v>
      </c>
      <c r="J836">
        <v>-118.36</v>
      </c>
      <c r="K836" t="s">
        <v>812</v>
      </c>
      <c r="L836" s="4">
        <v>32550</v>
      </c>
      <c r="M836" s="4">
        <v>82878</v>
      </c>
      <c r="N836" s="11">
        <f t="shared" si="39"/>
        <v>2.5461751152073733</v>
      </c>
      <c r="O836">
        <v>746</v>
      </c>
      <c r="P836" t="str">
        <f t="shared" si="41"/>
        <v>Very Good</v>
      </c>
      <c r="Q836">
        <v>6</v>
      </c>
    </row>
    <row r="837" spans="1:17" x14ac:dyDescent="0.3">
      <c r="A837">
        <v>835</v>
      </c>
      <c r="B837">
        <v>32</v>
      </c>
      <c r="C837">
        <v>65</v>
      </c>
      <c r="D837">
        <v>1987</v>
      </c>
      <c r="E837">
        <v>4</v>
      </c>
      <c r="F837" t="str">
        <f t="shared" si="40"/>
        <v>26-35</v>
      </c>
      <c r="G837" t="s">
        <v>19</v>
      </c>
      <c r="H837" t="s">
        <v>801</v>
      </c>
      <c r="I837">
        <v>29.79</v>
      </c>
      <c r="J837">
        <v>-90.82</v>
      </c>
      <c r="K837" t="s">
        <v>802</v>
      </c>
      <c r="L837" s="4">
        <v>45312</v>
      </c>
      <c r="M837" s="4">
        <v>11788</v>
      </c>
      <c r="N837" s="11">
        <f t="shared" si="39"/>
        <v>0.2601518361581921</v>
      </c>
      <c r="O837">
        <v>681</v>
      </c>
      <c r="P837" t="str">
        <f t="shared" si="41"/>
        <v>Good</v>
      </c>
      <c r="Q837">
        <v>4</v>
      </c>
    </row>
    <row r="838" spans="1:17" x14ac:dyDescent="0.3">
      <c r="A838">
        <v>836</v>
      </c>
      <c r="B838">
        <v>18</v>
      </c>
      <c r="C838">
        <v>65</v>
      </c>
      <c r="D838">
        <v>2002</v>
      </c>
      <c r="E838">
        <v>1</v>
      </c>
      <c r="F838" t="str">
        <f t="shared" si="40"/>
        <v>18-25</v>
      </c>
      <c r="G838" t="s">
        <v>19</v>
      </c>
      <c r="H838" t="s">
        <v>1722</v>
      </c>
      <c r="I838">
        <v>34.090000000000003</v>
      </c>
      <c r="J838">
        <v>-117.96</v>
      </c>
      <c r="K838" t="s">
        <v>501</v>
      </c>
      <c r="L838" s="4">
        <v>32165</v>
      </c>
      <c r="M838" s="4">
        <v>25778</v>
      </c>
      <c r="N838" s="11">
        <f t="shared" si="39"/>
        <v>0.80143012591325979</v>
      </c>
      <c r="O838">
        <v>689</v>
      </c>
      <c r="P838" t="str">
        <f t="shared" si="41"/>
        <v>Good</v>
      </c>
      <c r="Q838">
        <v>1</v>
      </c>
    </row>
    <row r="839" spans="1:17" x14ac:dyDescent="0.3">
      <c r="A839">
        <v>837</v>
      </c>
      <c r="B839">
        <v>30</v>
      </c>
      <c r="C839">
        <v>65</v>
      </c>
      <c r="D839">
        <v>1989</v>
      </c>
      <c r="E839">
        <v>4</v>
      </c>
      <c r="F839" t="str">
        <f t="shared" si="40"/>
        <v>26-35</v>
      </c>
      <c r="G839" t="s">
        <v>19</v>
      </c>
      <c r="H839" t="s">
        <v>813</v>
      </c>
      <c r="I839">
        <v>39.15</v>
      </c>
      <c r="J839">
        <v>-80.349999999999994</v>
      </c>
      <c r="K839" t="s">
        <v>814</v>
      </c>
      <c r="L839" s="4">
        <v>36092</v>
      </c>
      <c r="M839" s="4">
        <v>63276</v>
      </c>
      <c r="N839" s="11">
        <f t="shared" si="39"/>
        <v>1.753186301673501</v>
      </c>
      <c r="O839">
        <v>679</v>
      </c>
      <c r="P839" t="str">
        <f t="shared" si="41"/>
        <v>Good</v>
      </c>
      <c r="Q839">
        <v>1</v>
      </c>
    </row>
    <row r="840" spans="1:17" x14ac:dyDescent="0.3">
      <c r="A840">
        <v>838</v>
      </c>
      <c r="B840">
        <v>26</v>
      </c>
      <c r="C840">
        <v>70</v>
      </c>
      <c r="D840">
        <v>1993</v>
      </c>
      <c r="E840">
        <v>7</v>
      </c>
      <c r="F840" t="str">
        <f t="shared" si="40"/>
        <v>26-35</v>
      </c>
      <c r="G840" t="s">
        <v>19</v>
      </c>
      <c r="H840" t="s">
        <v>72</v>
      </c>
      <c r="I840">
        <v>33.78</v>
      </c>
      <c r="J840">
        <v>-84.44</v>
      </c>
      <c r="K840" t="s">
        <v>73</v>
      </c>
      <c r="L840" s="4">
        <v>49713</v>
      </c>
      <c r="M840" s="4">
        <v>91776</v>
      </c>
      <c r="N840" s="11">
        <f t="shared" si="39"/>
        <v>1.8461167099149116</v>
      </c>
      <c r="O840">
        <v>763</v>
      </c>
      <c r="P840" t="str">
        <f t="shared" si="41"/>
        <v>Very Good</v>
      </c>
      <c r="Q840">
        <v>1</v>
      </c>
    </row>
    <row r="841" spans="1:17" x14ac:dyDescent="0.3">
      <c r="A841">
        <v>839</v>
      </c>
      <c r="B841">
        <v>45</v>
      </c>
      <c r="C841">
        <v>63</v>
      </c>
      <c r="D841">
        <v>1975</v>
      </c>
      <c r="E841">
        <v>1</v>
      </c>
      <c r="F841" t="str">
        <f t="shared" si="40"/>
        <v>36-50</v>
      </c>
      <c r="G841" t="s">
        <v>14</v>
      </c>
      <c r="H841" t="s">
        <v>1215</v>
      </c>
      <c r="I841">
        <v>41.63</v>
      </c>
      <c r="J841">
        <v>-73.209999999999994</v>
      </c>
      <c r="K841" t="s">
        <v>1216</v>
      </c>
      <c r="L841" s="4">
        <v>54384</v>
      </c>
      <c r="M841" s="4">
        <v>69717</v>
      </c>
      <c r="N841" s="11">
        <f t="shared" si="39"/>
        <v>1.2819395410414829</v>
      </c>
      <c r="O841">
        <v>622</v>
      </c>
      <c r="P841" t="str">
        <f t="shared" si="41"/>
        <v>Fair</v>
      </c>
      <c r="Q841">
        <v>3</v>
      </c>
    </row>
    <row r="842" spans="1:17" x14ac:dyDescent="0.3">
      <c r="A842">
        <v>840</v>
      </c>
      <c r="B842">
        <v>68</v>
      </c>
      <c r="C842">
        <v>64</v>
      </c>
      <c r="D842">
        <v>1952</v>
      </c>
      <c r="E842">
        <v>1</v>
      </c>
      <c r="F842" t="str">
        <f t="shared" si="40"/>
        <v>65+</v>
      </c>
      <c r="G842" t="s">
        <v>14</v>
      </c>
      <c r="H842" t="s">
        <v>348</v>
      </c>
      <c r="I842">
        <v>37.74</v>
      </c>
      <c r="J842">
        <v>-122.44</v>
      </c>
      <c r="K842" t="s">
        <v>349</v>
      </c>
      <c r="L842" s="4">
        <v>88432</v>
      </c>
      <c r="M842" s="4">
        <v>63075</v>
      </c>
      <c r="N842" s="11">
        <f t="shared" si="39"/>
        <v>0.71325990591641031</v>
      </c>
      <c r="O842">
        <v>694</v>
      </c>
      <c r="P842" t="str">
        <f t="shared" si="41"/>
        <v>Good</v>
      </c>
      <c r="Q842">
        <v>6</v>
      </c>
    </row>
    <row r="843" spans="1:17" x14ac:dyDescent="0.3">
      <c r="A843">
        <v>841</v>
      </c>
      <c r="B843">
        <v>22</v>
      </c>
      <c r="C843">
        <v>67</v>
      </c>
      <c r="D843">
        <v>1997</v>
      </c>
      <c r="E843">
        <v>6</v>
      </c>
      <c r="F843" t="str">
        <f t="shared" si="40"/>
        <v>18-25</v>
      </c>
      <c r="G843" t="s">
        <v>19</v>
      </c>
      <c r="H843" t="s">
        <v>512</v>
      </c>
      <c r="I843">
        <v>44.63</v>
      </c>
      <c r="J843">
        <v>-123</v>
      </c>
      <c r="K843" t="s">
        <v>513</v>
      </c>
      <c r="L843" s="4">
        <v>35800</v>
      </c>
      <c r="M843" s="4">
        <v>65841</v>
      </c>
      <c r="N843" s="11">
        <f t="shared" si="39"/>
        <v>1.8391340782122905</v>
      </c>
      <c r="O843">
        <v>753</v>
      </c>
      <c r="P843" t="str">
        <f t="shared" si="41"/>
        <v>Very Good</v>
      </c>
      <c r="Q843">
        <v>2</v>
      </c>
    </row>
    <row r="844" spans="1:17" x14ac:dyDescent="0.3">
      <c r="A844">
        <v>842</v>
      </c>
      <c r="B844">
        <v>61</v>
      </c>
      <c r="C844">
        <v>65</v>
      </c>
      <c r="D844">
        <v>1959</v>
      </c>
      <c r="E844">
        <v>2</v>
      </c>
      <c r="F844" t="str">
        <f t="shared" si="40"/>
        <v>51-60</v>
      </c>
      <c r="G844" t="s">
        <v>19</v>
      </c>
      <c r="H844" t="s">
        <v>691</v>
      </c>
      <c r="I844">
        <v>47.58</v>
      </c>
      <c r="J844">
        <v>-122.03</v>
      </c>
      <c r="K844" t="s">
        <v>692</v>
      </c>
      <c r="L844" s="4">
        <v>103185</v>
      </c>
      <c r="M844" s="4">
        <v>206422</v>
      </c>
      <c r="N844" s="11">
        <f t="shared" si="39"/>
        <v>2.0005039492174248</v>
      </c>
      <c r="O844">
        <v>564</v>
      </c>
      <c r="P844" t="str">
        <f t="shared" si="41"/>
        <v>Poor</v>
      </c>
      <c r="Q844">
        <v>1</v>
      </c>
    </row>
    <row r="845" spans="1:17" x14ac:dyDescent="0.3">
      <c r="A845">
        <v>843</v>
      </c>
      <c r="B845">
        <v>35</v>
      </c>
      <c r="C845">
        <v>64</v>
      </c>
      <c r="D845">
        <v>1984</v>
      </c>
      <c r="E845">
        <v>8</v>
      </c>
      <c r="F845" t="str">
        <f t="shared" si="40"/>
        <v>26-35</v>
      </c>
      <c r="G845" t="s">
        <v>19</v>
      </c>
      <c r="H845" t="s">
        <v>1637</v>
      </c>
      <c r="I845">
        <v>41.84</v>
      </c>
      <c r="J845">
        <v>-87.75</v>
      </c>
      <c r="K845" t="s">
        <v>373</v>
      </c>
      <c r="L845" s="4">
        <v>28325</v>
      </c>
      <c r="M845" s="4">
        <v>38658</v>
      </c>
      <c r="N845" s="11">
        <f t="shared" si="39"/>
        <v>1.3648014121800529</v>
      </c>
      <c r="O845">
        <v>822</v>
      </c>
      <c r="P845" t="str">
        <f t="shared" si="41"/>
        <v>Excellent</v>
      </c>
      <c r="Q845">
        <v>6</v>
      </c>
    </row>
    <row r="846" spans="1:17" x14ac:dyDescent="0.3">
      <c r="A846">
        <v>844</v>
      </c>
      <c r="B846">
        <v>65</v>
      </c>
      <c r="C846">
        <v>64</v>
      </c>
      <c r="D846">
        <v>1955</v>
      </c>
      <c r="E846">
        <v>2</v>
      </c>
      <c r="F846" t="str">
        <f t="shared" si="40"/>
        <v>51-60</v>
      </c>
      <c r="G846" t="s">
        <v>19</v>
      </c>
      <c r="H846" t="s">
        <v>744</v>
      </c>
      <c r="I846">
        <v>32.75</v>
      </c>
      <c r="J846">
        <v>-97.33</v>
      </c>
      <c r="K846" t="s">
        <v>745</v>
      </c>
      <c r="L846" s="4">
        <v>18149</v>
      </c>
      <c r="M846" s="4">
        <v>26672</v>
      </c>
      <c r="N846" s="11">
        <f t="shared" si="39"/>
        <v>1.4696126508347567</v>
      </c>
      <c r="O846">
        <v>738</v>
      </c>
      <c r="P846" t="str">
        <f t="shared" si="41"/>
        <v>Good</v>
      </c>
      <c r="Q846">
        <v>2</v>
      </c>
    </row>
    <row r="847" spans="1:17" x14ac:dyDescent="0.3">
      <c r="A847">
        <v>845</v>
      </c>
      <c r="B847">
        <v>58</v>
      </c>
      <c r="C847">
        <v>72</v>
      </c>
      <c r="D847">
        <v>1961</v>
      </c>
      <c r="E847">
        <v>8</v>
      </c>
      <c r="F847" t="str">
        <f t="shared" si="40"/>
        <v>51-60</v>
      </c>
      <c r="G847" t="s">
        <v>19</v>
      </c>
      <c r="H847" t="s">
        <v>339</v>
      </c>
      <c r="I847">
        <v>30.42</v>
      </c>
      <c r="J847">
        <v>-86.61</v>
      </c>
      <c r="K847" t="s">
        <v>340</v>
      </c>
      <c r="L847" s="4">
        <v>36710</v>
      </c>
      <c r="M847" s="4">
        <v>116794</v>
      </c>
      <c r="N847" s="11">
        <f t="shared" si="39"/>
        <v>3.181530918005993</v>
      </c>
      <c r="O847">
        <v>786</v>
      </c>
      <c r="P847" t="str">
        <f t="shared" si="41"/>
        <v>Very Good</v>
      </c>
      <c r="Q847">
        <v>5</v>
      </c>
    </row>
    <row r="848" spans="1:17" x14ac:dyDescent="0.3">
      <c r="A848">
        <v>846</v>
      </c>
      <c r="B848">
        <v>48</v>
      </c>
      <c r="C848">
        <v>66</v>
      </c>
      <c r="D848">
        <v>1971</v>
      </c>
      <c r="E848">
        <v>11</v>
      </c>
      <c r="F848" t="str">
        <f t="shared" si="40"/>
        <v>36-50</v>
      </c>
      <c r="G848" t="s">
        <v>14</v>
      </c>
      <c r="H848" t="s">
        <v>572</v>
      </c>
      <c r="I848">
        <v>41.26</v>
      </c>
      <c r="J848">
        <v>-96.01</v>
      </c>
      <c r="K848" t="s">
        <v>573</v>
      </c>
      <c r="L848" s="4">
        <v>67761</v>
      </c>
      <c r="M848" s="4">
        <v>0</v>
      </c>
      <c r="N848" s="11">
        <f t="shared" si="39"/>
        <v>0</v>
      </c>
      <c r="O848">
        <v>745</v>
      </c>
      <c r="P848" t="str">
        <f t="shared" si="41"/>
        <v>Very Good</v>
      </c>
      <c r="Q848">
        <v>4</v>
      </c>
    </row>
    <row r="849" spans="1:17" x14ac:dyDescent="0.3">
      <c r="A849">
        <v>847</v>
      </c>
      <c r="B849">
        <v>81</v>
      </c>
      <c r="C849">
        <v>68</v>
      </c>
      <c r="D849">
        <v>1938</v>
      </c>
      <c r="E849">
        <v>4</v>
      </c>
      <c r="F849" t="str">
        <f t="shared" si="40"/>
        <v>65+</v>
      </c>
      <c r="G849" t="s">
        <v>14</v>
      </c>
      <c r="H849" t="s">
        <v>423</v>
      </c>
      <c r="I849">
        <v>35.78</v>
      </c>
      <c r="J849">
        <v>-95.24</v>
      </c>
      <c r="K849" t="s">
        <v>424</v>
      </c>
      <c r="L849" s="4">
        <v>27864</v>
      </c>
      <c r="M849" s="4">
        <v>1371</v>
      </c>
      <c r="N849" s="11">
        <f t="shared" si="39"/>
        <v>4.9203273040482345E-2</v>
      </c>
      <c r="O849">
        <v>591</v>
      </c>
      <c r="P849" t="str">
        <f t="shared" si="41"/>
        <v>Fair</v>
      </c>
      <c r="Q849">
        <v>6</v>
      </c>
    </row>
    <row r="850" spans="1:17" x14ac:dyDescent="0.3">
      <c r="A850">
        <v>848</v>
      </c>
      <c r="B850">
        <v>51</v>
      </c>
      <c r="C850">
        <v>69</v>
      </c>
      <c r="D850">
        <v>1968</v>
      </c>
      <c r="E850">
        <v>5</v>
      </c>
      <c r="F850" t="str">
        <f t="shared" si="40"/>
        <v>51-60</v>
      </c>
      <c r="G850" t="s">
        <v>19</v>
      </c>
      <c r="H850" t="s">
        <v>1497</v>
      </c>
      <c r="I850">
        <v>38.86</v>
      </c>
      <c r="J850">
        <v>-76.599999999999994</v>
      </c>
      <c r="K850" t="s">
        <v>1498</v>
      </c>
      <c r="L850" s="4">
        <v>68362</v>
      </c>
      <c r="M850" s="4">
        <v>96182</v>
      </c>
      <c r="N850" s="11">
        <f t="shared" si="39"/>
        <v>1.4069512302156169</v>
      </c>
      <c r="O850">
        <v>711</v>
      </c>
      <c r="P850" t="str">
        <f t="shared" si="41"/>
        <v>Good</v>
      </c>
      <c r="Q850">
        <v>2</v>
      </c>
    </row>
    <row r="851" spans="1:17" x14ac:dyDescent="0.3">
      <c r="A851">
        <v>849</v>
      </c>
      <c r="B851">
        <v>67</v>
      </c>
      <c r="C851">
        <v>69</v>
      </c>
      <c r="D851">
        <v>1952</v>
      </c>
      <c r="E851">
        <v>7</v>
      </c>
      <c r="F851" t="str">
        <f t="shared" si="40"/>
        <v>65+</v>
      </c>
      <c r="G851" t="s">
        <v>14</v>
      </c>
      <c r="H851" t="s">
        <v>1221</v>
      </c>
      <c r="I851">
        <v>39.950000000000003</v>
      </c>
      <c r="J851">
        <v>-75.16</v>
      </c>
      <c r="K851" t="s">
        <v>1222</v>
      </c>
      <c r="L851" s="4">
        <v>43828</v>
      </c>
      <c r="M851" s="4">
        <v>60231</v>
      </c>
      <c r="N851" s="11">
        <f t="shared" si="39"/>
        <v>1.3742584649082779</v>
      </c>
      <c r="O851">
        <v>711</v>
      </c>
      <c r="P851" t="str">
        <f t="shared" si="41"/>
        <v>Good</v>
      </c>
      <c r="Q851">
        <v>3</v>
      </c>
    </row>
    <row r="852" spans="1:17" x14ac:dyDescent="0.3">
      <c r="A852">
        <v>850</v>
      </c>
      <c r="B852">
        <v>38</v>
      </c>
      <c r="C852">
        <v>66</v>
      </c>
      <c r="D852">
        <v>1981</v>
      </c>
      <c r="E852">
        <v>12</v>
      </c>
      <c r="F852" t="str">
        <f t="shared" si="40"/>
        <v>36-50</v>
      </c>
      <c r="G852" t="s">
        <v>14</v>
      </c>
      <c r="H852" t="s">
        <v>717</v>
      </c>
      <c r="I852">
        <v>37.979999999999997</v>
      </c>
      <c r="J852">
        <v>-85.71</v>
      </c>
      <c r="K852" t="s">
        <v>718</v>
      </c>
      <c r="L852" s="4">
        <v>40087</v>
      </c>
      <c r="M852" s="4">
        <v>17392</v>
      </c>
      <c r="N852" s="11">
        <f t="shared" si="39"/>
        <v>0.43385636241175446</v>
      </c>
      <c r="O852">
        <v>712</v>
      </c>
      <c r="P852" t="str">
        <f t="shared" si="41"/>
        <v>Good</v>
      </c>
      <c r="Q852">
        <v>2</v>
      </c>
    </row>
    <row r="853" spans="1:17" x14ac:dyDescent="0.3">
      <c r="A853">
        <v>851</v>
      </c>
      <c r="B853">
        <v>88</v>
      </c>
      <c r="C853">
        <v>65</v>
      </c>
      <c r="D853">
        <v>1931</v>
      </c>
      <c r="E853">
        <v>10</v>
      </c>
      <c r="F853" t="str">
        <f t="shared" si="40"/>
        <v>65+</v>
      </c>
      <c r="G853" t="s">
        <v>14</v>
      </c>
      <c r="H853" t="s">
        <v>407</v>
      </c>
      <c r="I853">
        <v>38.21</v>
      </c>
      <c r="J853">
        <v>-85.23</v>
      </c>
      <c r="K853" t="s">
        <v>408</v>
      </c>
      <c r="L853" s="4">
        <v>31399</v>
      </c>
      <c r="M853" s="4">
        <v>2528</v>
      </c>
      <c r="N853" s="11">
        <f t="shared" si="39"/>
        <v>8.0512118220325488E-2</v>
      </c>
      <c r="O853">
        <v>757</v>
      </c>
      <c r="P853" t="str">
        <f t="shared" si="41"/>
        <v>Very Good</v>
      </c>
      <c r="Q853">
        <v>4</v>
      </c>
    </row>
    <row r="854" spans="1:17" x14ac:dyDescent="0.3">
      <c r="A854">
        <v>852</v>
      </c>
      <c r="B854">
        <v>35</v>
      </c>
      <c r="C854">
        <v>68</v>
      </c>
      <c r="D854">
        <v>1985</v>
      </c>
      <c r="E854">
        <v>1</v>
      </c>
      <c r="F854" t="str">
        <f t="shared" si="40"/>
        <v>26-35</v>
      </c>
      <c r="G854" t="s">
        <v>14</v>
      </c>
      <c r="H854" t="s">
        <v>547</v>
      </c>
      <c r="I854">
        <v>29.82</v>
      </c>
      <c r="J854">
        <v>-82.59</v>
      </c>
      <c r="K854" t="s">
        <v>548</v>
      </c>
      <c r="L854" s="4">
        <v>40156</v>
      </c>
      <c r="M854" s="4">
        <v>70128</v>
      </c>
      <c r="N854" s="11">
        <f t="shared" si="39"/>
        <v>1.746389082577946</v>
      </c>
      <c r="O854">
        <v>738</v>
      </c>
      <c r="P854" t="str">
        <f t="shared" si="41"/>
        <v>Good</v>
      </c>
      <c r="Q854">
        <v>3</v>
      </c>
    </row>
    <row r="855" spans="1:17" x14ac:dyDescent="0.3">
      <c r="A855">
        <v>853</v>
      </c>
      <c r="B855">
        <v>29</v>
      </c>
      <c r="C855">
        <v>67</v>
      </c>
      <c r="D855">
        <v>1990</v>
      </c>
      <c r="E855">
        <v>8</v>
      </c>
      <c r="F855" t="str">
        <f t="shared" si="40"/>
        <v>26-35</v>
      </c>
      <c r="G855" t="s">
        <v>14</v>
      </c>
      <c r="H855" t="s">
        <v>1875</v>
      </c>
      <c r="I855">
        <v>42.46</v>
      </c>
      <c r="J855">
        <v>-83.37</v>
      </c>
      <c r="K855" t="s">
        <v>1876</v>
      </c>
      <c r="L855" s="4">
        <v>75070</v>
      </c>
      <c r="M855" s="4">
        <v>161525</v>
      </c>
      <c r="N855" s="11">
        <f t="shared" si="39"/>
        <v>2.1516584521113629</v>
      </c>
      <c r="O855">
        <v>723</v>
      </c>
      <c r="P855" t="str">
        <f t="shared" si="41"/>
        <v>Good</v>
      </c>
      <c r="Q855">
        <v>1</v>
      </c>
    </row>
    <row r="856" spans="1:17" x14ac:dyDescent="0.3">
      <c r="A856">
        <v>854</v>
      </c>
      <c r="B856">
        <v>26</v>
      </c>
      <c r="C856">
        <v>65</v>
      </c>
      <c r="D856">
        <v>1994</v>
      </c>
      <c r="E856">
        <v>2</v>
      </c>
      <c r="F856" t="str">
        <f t="shared" si="40"/>
        <v>26-35</v>
      </c>
      <c r="G856" t="s">
        <v>14</v>
      </c>
      <c r="H856" t="s">
        <v>346</v>
      </c>
      <c r="I856">
        <v>41.64</v>
      </c>
      <c r="J856">
        <v>-88.44</v>
      </c>
      <c r="K856" t="s">
        <v>347</v>
      </c>
      <c r="L856" s="4">
        <v>59699</v>
      </c>
      <c r="M856" s="4">
        <v>71110</v>
      </c>
      <c r="N856" s="11">
        <f t="shared" si="39"/>
        <v>1.1911422301881103</v>
      </c>
      <c r="O856">
        <v>688</v>
      </c>
      <c r="P856" t="str">
        <f t="shared" si="41"/>
        <v>Good</v>
      </c>
      <c r="Q856">
        <v>1</v>
      </c>
    </row>
    <row r="857" spans="1:17" x14ac:dyDescent="0.3">
      <c r="A857">
        <v>855</v>
      </c>
      <c r="B857">
        <v>51</v>
      </c>
      <c r="C857">
        <v>65</v>
      </c>
      <c r="D857">
        <v>1969</v>
      </c>
      <c r="E857">
        <v>1</v>
      </c>
      <c r="F857" t="str">
        <f t="shared" si="40"/>
        <v>51-60</v>
      </c>
      <c r="G857" t="s">
        <v>19</v>
      </c>
      <c r="H857" t="s">
        <v>1651</v>
      </c>
      <c r="I857">
        <v>32.32</v>
      </c>
      <c r="J857">
        <v>-90.2</v>
      </c>
      <c r="K857" t="s">
        <v>149</v>
      </c>
      <c r="L857" s="4">
        <v>22557</v>
      </c>
      <c r="M857" s="4">
        <v>63019</v>
      </c>
      <c r="N857" s="11">
        <f t="shared" si="39"/>
        <v>2.7937669016269893</v>
      </c>
      <c r="O857">
        <v>699</v>
      </c>
      <c r="P857" t="str">
        <f t="shared" si="41"/>
        <v>Good</v>
      </c>
      <c r="Q857">
        <v>5</v>
      </c>
    </row>
    <row r="858" spans="1:17" x14ac:dyDescent="0.3">
      <c r="A858">
        <v>856</v>
      </c>
      <c r="B858">
        <v>54</v>
      </c>
      <c r="C858">
        <v>59</v>
      </c>
      <c r="D858">
        <v>1965</v>
      </c>
      <c r="E858">
        <v>7</v>
      </c>
      <c r="F858" t="str">
        <f t="shared" si="40"/>
        <v>51-60</v>
      </c>
      <c r="G858" t="s">
        <v>19</v>
      </c>
      <c r="H858" t="s">
        <v>777</v>
      </c>
      <c r="I858">
        <v>38.979999999999997</v>
      </c>
      <c r="J858">
        <v>-77.12</v>
      </c>
      <c r="K858" t="s">
        <v>778</v>
      </c>
      <c r="L858" s="4">
        <v>114318</v>
      </c>
      <c r="M858" s="4">
        <v>328089</v>
      </c>
      <c r="N858" s="11">
        <f t="shared" si="39"/>
        <v>2.8699679840445076</v>
      </c>
      <c r="O858">
        <v>748</v>
      </c>
      <c r="P858" t="str">
        <f t="shared" si="41"/>
        <v>Very Good</v>
      </c>
      <c r="Q858">
        <v>3</v>
      </c>
    </row>
    <row r="859" spans="1:17" x14ac:dyDescent="0.3">
      <c r="A859">
        <v>857</v>
      </c>
      <c r="B859">
        <v>90</v>
      </c>
      <c r="C859">
        <v>62</v>
      </c>
      <c r="D859">
        <v>1929</v>
      </c>
      <c r="E859">
        <v>10</v>
      </c>
      <c r="F859" t="str">
        <f t="shared" si="40"/>
        <v>65+</v>
      </c>
      <c r="G859" t="s">
        <v>19</v>
      </c>
      <c r="H859" t="s">
        <v>1120</v>
      </c>
      <c r="I859">
        <v>39.46</v>
      </c>
      <c r="J859">
        <v>-74.989999999999995</v>
      </c>
      <c r="K859" t="s">
        <v>1121</v>
      </c>
      <c r="L859" s="4">
        <v>41831</v>
      </c>
      <c r="M859" s="4">
        <v>1100</v>
      </c>
      <c r="N859" s="11">
        <f t="shared" si="39"/>
        <v>2.6296287442327461E-2</v>
      </c>
      <c r="O859">
        <v>615</v>
      </c>
      <c r="P859" t="str">
        <f t="shared" si="41"/>
        <v>Fair</v>
      </c>
      <c r="Q859">
        <v>1</v>
      </c>
    </row>
    <row r="860" spans="1:17" x14ac:dyDescent="0.3">
      <c r="A860">
        <v>858</v>
      </c>
      <c r="B860">
        <v>47</v>
      </c>
      <c r="C860">
        <v>67</v>
      </c>
      <c r="D860">
        <v>1972</v>
      </c>
      <c r="E860">
        <v>11</v>
      </c>
      <c r="F860" t="str">
        <f t="shared" si="40"/>
        <v>36-50</v>
      </c>
      <c r="G860" t="s">
        <v>19</v>
      </c>
      <c r="H860" t="s">
        <v>138</v>
      </c>
      <c r="I860">
        <v>29.5</v>
      </c>
      <c r="J860">
        <v>-97.44</v>
      </c>
      <c r="K860" t="s">
        <v>84</v>
      </c>
      <c r="L860" s="4">
        <v>30774</v>
      </c>
      <c r="M860" s="4">
        <v>51428</v>
      </c>
      <c r="N860" s="11">
        <f t="shared" si="39"/>
        <v>1.6711509715994022</v>
      </c>
      <c r="O860">
        <v>700</v>
      </c>
      <c r="P860" t="str">
        <f t="shared" si="41"/>
        <v>Good</v>
      </c>
      <c r="Q860">
        <v>3</v>
      </c>
    </row>
    <row r="861" spans="1:17" x14ac:dyDescent="0.3">
      <c r="A861">
        <v>859</v>
      </c>
      <c r="B861">
        <v>51</v>
      </c>
      <c r="C861">
        <v>72</v>
      </c>
      <c r="D861">
        <v>1968</v>
      </c>
      <c r="E861">
        <v>4</v>
      </c>
      <c r="F861" t="str">
        <f t="shared" si="40"/>
        <v>51-60</v>
      </c>
      <c r="G861" t="s">
        <v>19</v>
      </c>
      <c r="H861" t="s">
        <v>1501</v>
      </c>
      <c r="I861">
        <v>36.15</v>
      </c>
      <c r="J861">
        <v>-85.5</v>
      </c>
      <c r="K861" t="s">
        <v>49</v>
      </c>
      <c r="L861" s="4">
        <v>32531</v>
      </c>
      <c r="M861" s="4">
        <v>78193</v>
      </c>
      <c r="N861" s="11">
        <f t="shared" si="39"/>
        <v>2.4036457532814852</v>
      </c>
      <c r="O861">
        <v>631</v>
      </c>
      <c r="P861" t="str">
        <f t="shared" si="41"/>
        <v>Fair</v>
      </c>
      <c r="Q861">
        <v>4</v>
      </c>
    </row>
    <row r="862" spans="1:17" x14ac:dyDescent="0.3">
      <c r="A862">
        <v>860</v>
      </c>
      <c r="B862">
        <v>55</v>
      </c>
      <c r="C862">
        <v>65</v>
      </c>
      <c r="D862">
        <v>1965</v>
      </c>
      <c r="E862">
        <v>2</v>
      </c>
      <c r="F862" t="str">
        <f t="shared" si="40"/>
        <v>51-60</v>
      </c>
      <c r="G862" t="s">
        <v>19</v>
      </c>
      <c r="H862" t="s">
        <v>1252</v>
      </c>
      <c r="I862">
        <v>39.01</v>
      </c>
      <c r="J862">
        <v>-77.02</v>
      </c>
      <c r="K862" t="s">
        <v>1253</v>
      </c>
      <c r="L862" s="4">
        <v>62791</v>
      </c>
      <c r="M862" s="4">
        <v>193215</v>
      </c>
      <c r="N862" s="11">
        <f t="shared" si="39"/>
        <v>3.0771129620487012</v>
      </c>
      <c r="O862">
        <v>692</v>
      </c>
      <c r="P862" t="str">
        <f t="shared" si="41"/>
        <v>Good</v>
      </c>
      <c r="Q862">
        <v>4</v>
      </c>
    </row>
    <row r="863" spans="1:17" x14ac:dyDescent="0.3">
      <c r="A863">
        <v>861</v>
      </c>
      <c r="B863">
        <v>22</v>
      </c>
      <c r="C863">
        <v>67</v>
      </c>
      <c r="D863">
        <v>1997</v>
      </c>
      <c r="E863">
        <v>7</v>
      </c>
      <c r="F863" t="str">
        <f t="shared" si="40"/>
        <v>18-25</v>
      </c>
      <c r="G863" t="s">
        <v>14</v>
      </c>
      <c r="H863" t="s">
        <v>1541</v>
      </c>
      <c r="I863">
        <v>41.99</v>
      </c>
      <c r="J863">
        <v>-89.2</v>
      </c>
      <c r="K863" t="s">
        <v>1542</v>
      </c>
      <c r="L863" s="4">
        <v>41080</v>
      </c>
      <c r="M863" s="4">
        <v>106545</v>
      </c>
      <c r="N863" s="11">
        <f t="shared" si="39"/>
        <v>2.5935978578383643</v>
      </c>
      <c r="O863">
        <v>793</v>
      </c>
      <c r="P863" t="str">
        <f t="shared" si="41"/>
        <v>Very Good</v>
      </c>
      <c r="Q863">
        <v>1</v>
      </c>
    </row>
    <row r="864" spans="1:17" x14ac:dyDescent="0.3">
      <c r="A864">
        <v>862</v>
      </c>
      <c r="B864">
        <v>25</v>
      </c>
      <c r="C864">
        <v>67</v>
      </c>
      <c r="D864">
        <v>1995</v>
      </c>
      <c r="E864">
        <v>1</v>
      </c>
      <c r="F864" t="str">
        <f t="shared" si="40"/>
        <v>18-25</v>
      </c>
      <c r="G864" t="s">
        <v>14</v>
      </c>
      <c r="H864" t="s">
        <v>1729</v>
      </c>
      <c r="I864">
        <v>32.42</v>
      </c>
      <c r="J864">
        <v>-96.67</v>
      </c>
      <c r="K864" t="s">
        <v>1730</v>
      </c>
      <c r="L864" s="4">
        <v>42883</v>
      </c>
      <c r="M864" s="4">
        <v>65917</v>
      </c>
      <c r="N864" s="11">
        <f t="shared" si="39"/>
        <v>1.5371359279901127</v>
      </c>
      <c r="O864">
        <v>807</v>
      </c>
      <c r="P864" t="str">
        <f t="shared" si="41"/>
        <v>Excellent</v>
      </c>
      <c r="Q864">
        <v>3</v>
      </c>
    </row>
    <row r="865" spans="1:17" x14ac:dyDescent="0.3">
      <c r="A865">
        <v>863</v>
      </c>
      <c r="B865">
        <v>60</v>
      </c>
      <c r="C865">
        <v>68</v>
      </c>
      <c r="D865">
        <v>1959</v>
      </c>
      <c r="E865">
        <v>12</v>
      </c>
      <c r="F865" t="str">
        <f t="shared" si="40"/>
        <v>51-60</v>
      </c>
      <c r="G865" t="s">
        <v>14</v>
      </c>
      <c r="H865" t="s">
        <v>1967</v>
      </c>
      <c r="I865">
        <v>35.4</v>
      </c>
      <c r="J865">
        <v>-93.11</v>
      </c>
      <c r="K865" t="s">
        <v>1968</v>
      </c>
      <c r="L865" s="4">
        <v>34406</v>
      </c>
      <c r="M865" s="4">
        <v>1636</v>
      </c>
      <c r="N865" s="11">
        <f t="shared" si="39"/>
        <v>4.7549845957100503E-2</v>
      </c>
      <c r="O865">
        <v>774</v>
      </c>
      <c r="P865" t="str">
        <f t="shared" si="41"/>
        <v>Very Good</v>
      </c>
      <c r="Q865">
        <v>3</v>
      </c>
    </row>
    <row r="866" spans="1:17" x14ac:dyDescent="0.3">
      <c r="A866">
        <v>864</v>
      </c>
      <c r="B866">
        <v>56</v>
      </c>
      <c r="C866">
        <v>69</v>
      </c>
      <c r="D866">
        <v>1963</v>
      </c>
      <c r="E866">
        <v>10</v>
      </c>
      <c r="F866" t="str">
        <f t="shared" si="40"/>
        <v>51-60</v>
      </c>
      <c r="G866" t="s">
        <v>14</v>
      </c>
      <c r="H866" t="s">
        <v>1515</v>
      </c>
      <c r="I866">
        <v>43.43</v>
      </c>
      <c r="J866">
        <v>-116.32</v>
      </c>
      <c r="K866" t="s">
        <v>1516</v>
      </c>
      <c r="L866" s="4">
        <v>39146</v>
      </c>
      <c r="M866" s="4">
        <v>72957</v>
      </c>
      <c r="N866" s="11">
        <f t="shared" si="39"/>
        <v>1.8637153221274205</v>
      </c>
      <c r="O866">
        <v>766</v>
      </c>
      <c r="P866" t="str">
        <f t="shared" si="41"/>
        <v>Very Good</v>
      </c>
      <c r="Q866">
        <v>3</v>
      </c>
    </row>
    <row r="867" spans="1:17" x14ac:dyDescent="0.3">
      <c r="A867">
        <v>865</v>
      </c>
      <c r="B867">
        <v>41</v>
      </c>
      <c r="C867">
        <v>65</v>
      </c>
      <c r="D867">
        <v>1979</v>
      </c>
      <c r="E867">
        <v>2</v>
      </c>
      <c r="F867" t="str">
        <f t="shared" si="40"/>
        <v>36-50</v>
      </c>
      <c r="G867" t="s">
        <v>19</v>
      </c>
      <c r="H867" t="s">
        <v>785</v>
      </c>
      <c r="I867">
        <v>38.06</v>
      </c>
      <c r="J867">
        <v>-78.900000000000006</v>
      </c>
      <c r="K867" t="s">
        <v>263</v>
      </c>
      <c r="L867" s="4">
        <v>37786</v>
      </c>
      <c r="M867" s="4">
        <v>107692</v>
      </c>
      <c r="N867" s="11">
        <f t="shared" si="39"/>
        <v>2.8500502831736623</v>
      </c>
      <c r="O867">
        <v>693</v>
      </c>
      <c r="P867" t="str">
        <f t="shared" si="41"/>
        <v>Good</v>
      </c>
      <c r="Q867">
        <v>5</v>
      </c>
    </row>
    <row r="868" spans="1:17" x14ac:dyDescent="0.3">
      <c r="A868">
        <v>866</v>
      </c>
      <c r="B868">
        <v>34</v>
      </c>
      <c r="C868">
        <v>67</v>
      </c>
      <c r="D868">
        <v>1985</v>
      </c>
      <c r="E868">
        <v>3</v>
      </c>
      <c r="F868" t="str">
        <f t="shared" si="40"/>
        <v>26-35</v>
      </c>
      <c r="G868" t="s">
        <v>19</v>
      </c>
      <c r="H868" t="s">
        <v>327</v>
      </c>
      <c r="I868">
        <v>40.43</v>
      </c>
      <c r="J868">
        <v>-79.97</v>
      </c>
      <c r="K868" t="s">
        <v>328</v>
      </c>
      <c r="L868" s="4">
        <v>61904</v>
      </c>
      <c r="M868" s="4">
        <v>125358</v>
      </c>
      <c r="N868" s="11">
        <f t="shared" si="39"/>
        <v>2.0250387697079351</v>
      </c>
      <c r="O868">
        <v>639</v>
      </c>
      <c r="P868" t="str">
        <f t="shared" si="41"/>
        <v>Fair</v>
      </c>
      <c r="Q868">
        <v>3</v>
      </c>
    </row>
    <row r="869" spans="1:17" x14ac:dyDescent="0.3">
      <c r="A869">
        <v>867</v>
      </c>
      <c r="B869">
        <v>26</v>
      </c>
      <c r="C869">
        <v>71</v>
      </c>
      <c r="D869">
        <v>1993</v>
      </c>
      <c r="E869">
        <v>9</v>
      </c>
      <c r="F869" t="str">
        <f t="shared" si="40"/>
        <v>26-35</v>
      </c>
      <c r="G869" t="s">
        <v>19</v>
      </c>
      <c r="H869" t="s">
        <v>1081</v>
      </c>
      <c r="I869">
        <v>31.07</v>
      </c>
      <c r="J869">
        <v>-97.61</v>
      </c>
      <c r="K869" t="s">
        <v>1082</v>
      </c>
      <c r="L869" s="4">
        <v>38805</v>
      </c>
      <c r="M869" s="4">
        <v>54466</v>
      </c>
      <c r="N869" s="11">
        <f t="shared" si="39"/>
        <v>1.4035820126272387</v>
      </c>
      <c r="O869">
        <v>614</v>
      </c>
      <c r="P869" t="str">
        <f t="shared" si="41"/>
        <v>Fair</v>
      </c>
      <c r="Q869">
        <v>2</v>
      </c>
    </row>
    <row r="870" spans="1:17" x14ac:dyDescent="0.3">
      <c r="A870">
        <v>868</v>
      </c>
      <c r="B870">
        <v>78</v>
      </c>
      <c r="C870">
        <v>64</v>
      </c>
      <c r="D870">
        <v>1941</v>
      </c>
      <c r="E870">
        <v>11</v>
      </c>
      <c r="F870" t="str">
        <f t="shared" si="40"/>
        <v>65+</v>
      </c>
      <c r="G870" t="s">
        <v>19</v>
      </c>
      <c r="H870" t="s">
        <v>1067</v>
      </c>
      <c r="I870">
        <v>35.46</v>
      </c>
      <c r="J870">
        <v>-97.51</v>
      </c>
      <c r="K870" t="s">
        <v>1068</v>
      </c>
      <c r="L870" s="4">
        <v>31046</v>
      </c>
      <c r="M870" s="4">
        <v>11436</v>
      </c>
      <c r="N870" s="11">
        <f t="shared" si="39"/>
        <v>0.36835663209431169</v>
      </c>
      <c r="O870">
        <v>706</v>
      </c>
      <c r="P870" t="str">
        <f t="shared" si="41"/>
        <v>Good</v>
      </c>
      <c r="Q870">
        <v>6</v>
      </c>
    </row>
    <row r="871" spans="1:17" x14ac:dyDescent="0.3">
      <c r="A871">
        <v>869</v>
      </c>
      <c r="B871">
        <v>73</v>
      </c>
      <c r="C871">
        <v>68</v>
      </c>
      <c r="D871">
        <v>1946</v>
      </c>
      <c r="E871">
        <v>9</v>
      </c>
      <c r="F871" t="str">
        <f t="shared" si="40"/>
        <v>65+</v>
      </c>
      <c r="G871" t="s">
        <v>19</v>
      </c>
      <c r="H871" t="s">
        <v>639</v>
      </c>
      <c r="I871">
        <v>33.85</v>
      </c>
      <c r="J871">
        <v>-84.22</v>
      </c>
      <c r="K871" t="s">
        <v>640</v>
      </c>
      <c r="L871" s="4">
        <v>34220</v>
      </c>
      <c r="M871" s="4">
        <v>0</v>
      </c>
      <c r="N871" s="11">
        <f t="shared" si="39"/>
        <v>0</v>
      </c>
      <c r="O871">
        <v>745</v>
      </c>
      <c r="P871" t="str">
        <f t="shared" si="41"/>
        <v>Very Good</v>
      </c>
      <c r="Q871">
        <v>5</v>
      </c>
    </row>
    <row r="872" spans="1:17" x14ac:dyDescent="0.3">
      <c r="A872">
        <v>870</v>
      </c>
      <c r="B872">
        <v>63</v>
      </c>
      <c r="C872">
        <v>64</v>
      </c>
      <c r="D872">
        <v>1956</v>
      </c>
      <c r="E872">
        <v>3</v>
      </c>
      <c r="F872" t="str">
        <f t="shared" si="40"/>
        <v>51-60</v>
      </c>
      <c r="G872" t="s">
        <v>14</v>
      </c>
      <c r="H872" t="s">
        <v>128</v>
      </c>
      <c r="I872">
        <v>38.64</v>
      </c>
      <c r="J872">
        <v>-76.900000000000006</v>
      </c>
      <c r="K872" t="s">
        <v>129</v>
      </c>
      <c r="L872" s="4">
        <v>71593</v>
      </c>
      <c r="M872" s="4">
        <v>132181</v>
      </c>
      <c r="N872" s="11">
        <f t="shared" si="39"/>
        <v>1.8462838545667872</v>
      </c>
      <c r="O872">
        <v>821</v>
      </c>
      <c r="P872" t="str">
        <f t="shared" si="41"/>
        <v>Excellent</v>
      </c>
      <c r="Q872">
        <v>3</v>
      </c>
    </row>
    <row r="873" spans="1:17" x14ac:dyDescent="0.3">
      <c r="A873">
        <v>871</v>
      </c>
      <c r="B873">
        <v>86</v>
      </c>
      <c r="C873">
        <v>71</v>
      </c>
      <c r="D873">
        <v>1933</v>
      </c>
      <c r="E873">
        <v>5</v>
      </c>
      <c r="F873" t="str">
        <f t="shared" si="40"/>
        <v>65+</v>
      </c>
      <c r="G873" t="s">
        <v>14</v>
      </c>
      <c r="H873" t="s">
        <v>155</v>
      </c>
      <c r="I873">
        <v>42.38</v>
      </c>
      <c r="J873">
        <v>-83.1</v>
      </c>
      <c r="K873" t="s">
        <v>156</v>
      </c>
      <c r="L873" s="4">
        <v>22650</v>
      </c>
      <c r="M873" s="4">
        <v>0</v>
      </c>
      <c r="N873" s="11">
        <f t="shared" si="39"/>
        <v>0</v>
      </c>
      <c r="O873">
        <v>690</v>
      </c>
      <c r="P873" t="str">
        <f t="shared" si="41"/>
        <v>Good</v>
      </c>
      <c r="Q873">
        <v>6</v>
      </c>
    </row>
    <row r="874" spans="1:17" x14ac:dyDescent="0.3">
      <c r="A874">
        <v>872</v>
      </c>
      <c r="B874">
        <v>61</v>
      </c>
      <c r="C874">
        <v>66</v>
      </c>
      <c r="D874">
        <v>1959</v>
      </c>
      <c r="E874">
        <v>1</v>
      </c>
      <c r="F874" t="str">
        <f t="shared" si="40"/>
        <v>51-60</v>
      </c>
      <c r="G874" t="s">
        <v>14</v>
      </c>
      <c r="H874" t="s">
        <v>976</v>
      </c>
      <c r="I874">
        <v>41.88</v>
      </c>
      <c r="J874">
        <v>-87.84</v>
      </c>
      <c r="K874" t="s">
        <v>131</v>
      </c>
      <c r="L874" s="4">
        <v>31505</v>
      </c>
      <c r="M874" s="4">
        <v>59730</v>
      </c>
      <c r="N874" s="11">
        <f t="shared" si="39"/>
        <v>1.895889541342644</v>
      </c>
      <c r="O874">
        <v>655</v>
      </c>
      <c r="P874" t="str">
        <f t="shared" si="41"/>
        <v>Fair</v>
      </c>
      <c r="Q874">
        <v>4</v>
      </c>
    </row>
    <row r="875" spans="1:17" x14ac:dyDescent="0.3">
      <c r="A875">
        <v>873</v>
      </c>
      <c r="B875">
        <v>52</v>
      </c>
      <c r="C875">
        <v>68</v>
      </c>
      <c r="D875">
        <v>1967</v>
      </c>
      <c r="E875">
        <v>8</v>
      </c>
      <c r="F875" t="str">
        <f t="shared" si="40"/>
        <v>51-60</v>
      </c>
      <c r="G875" t="s">
        <v>14</v>
      </c>
      <c r="H875" t="s">
        <v>197</v>
      </c>
      <c r="I875">
        <v>28.24</v>
      </c>
      <c r="J875">
        <v>-81.28</v>
      </c>
      <c r="K875" t="s">
        <v>198</v>
      </c>
      <c r="L875" s="4">
        <v>45037</v>
      </c>
      <c r="M875" s="4">
        <v>31792</v>
      </c>
      <c r="N875" s="11">
        <f t="shared" si="39"/>
        <v>0.70590847525368028</v>
      </c>
      <c r="O875">
        <v>710</v>
      </c>
      <c r="P875" t="str">
        <f t="shared" si="41"/>
        <v>Good</v>
      </c>
      <c r="Q875">
        <v>3</v>
      </c>
    </row>
    <row r="876" spans="1:17" x14ac:dyDescent="0.3">
      <c r="A876">
        <v>874</v>
      </c>
      <c r="B876">
        <v>24</v>
      </c>
      <c r="C876">
        <v>68</v>
      </c>
      <c r="D876">
        <v>1995</v>
      </c>
      <c r="E876">
        <v>3</v>
      </c>
      <c r="F876" t="str">
        <f t="shared" si="40"/>
        <v>18-25</v>
      </c>
      <c r="G876" t="s">
        <v>19</v>
      </c>
      <c r="H876" t="s">
        <v>416</v>
      </c>
      <c r="I876">
        <v>39.380000000000003</v>
      </c>
      <c r="J876">
        <v>-119.67</v>
      </c>
      <c r="K876" t="s">
        <v>417</v>
      </c>
      <c r="L876" s="4">
        <v>62711</v>
      </c>
      <c r="M876" s="4">
        <v>68777</v>
      </c>
      <c r="N876" s="11">
        <f t="shared" si="39"/>
        <v>1.096729441405814</v>
      </c>
      <c r="O876">
        <v>798</v>
      </c>
      <c r="P876" t="str">
        <f t="shared" si="41"/>
        <v>Very Good</v>
      </c>
      <c r="Q876">
        <v>3</v>
      </c>
    </row>
    <row r="877" spans="1:17" x14ac:dyDescent="0.3">
      <c r="A877">
        <v>875</v>
      </c>
      <c r="B877">
        <v>39</v>
      </c>
      <c r="C877">
        <v>71</v>
      </c>
      <c r="D877">
        <v>1981</v>
      </c>
      <c r="E877">
        <v>2</v>
      </c>
      <c r="F877" t="str">
        <f t="shared" si="40"/>
        <v>36-50</v>
      </c>
      <c r="G877" t="s">
        <v>19</v>
      </c>
      <c r="H877" t="s">
        <v>383</v>
      </c>
      <c r="I877">
        <v>33.229999999999997</v>
      </c>
      <c r="J877">
        <v>-87.54</v>
      </c>
      <c r="K877" t="s">
        <v>384</v>
      </c>
      <c r="L877" s="4">
        <v>41907</v>
      </c>
      <c r="M877" s="4">
        <v>87163</v>
      </c>
      <c r="N877" s="11">
        <f t="shared" si="39"/>
        <v>2.0799150499916483</v>
      </c>
      <c r="O877">
        <v>728</v>
      </c>
      <c r="P877" t="str">
        <f t="shared" si="41"/>
        <v>Good</v>
      </c>
      <c r="Q877">
        <v>4</v>
      </c>
    </row>
    <row r="878" spans="1:17" x14ac:dyDescent="0.3">
      <c r="A878">
        <v>876</v>
      </c>
      <c r="B878">
        <v>65</v>
      </c>
      <c r="C878">
        <v>62</v>
      </c>
      <c r="D878">
        <v>1954</v>
      </c>
      <c r="E878">
        <v>5</v>
      </c>
      <c r="F878" t="str">
        <f t="shared" si="40"/>
        <v>51-60</v>
      </c>
      <c r="G878" t="s">
        <v>19</v>
      </c>
      <c r="H878" t="s">
        <v>1738</v>
      </c>
      <c r="I878">
        <v>37.68</v>
      </c>
      <c r="J878">
        <v>-97.34</v>
      </c>
      <c r="K878" t="s">
        <v>1407</v>
      </c>
      <c r="L878" s="4">
        <v>49817</v>
      </c>
      <c r="M878" s="4">
        <v>26928</v>
      </c>
      <c r="N878" s="11">
        <f t="shared" si="39"/>
        <v>0.540538370435795</v>
      </c>
      <c r="O878">
        <v>600</v>
      </c>
      <c r="P878" t="str">
        <f t="shared" si="41"/>
        <v>Fair</v>
      </c>
      <c r="Q878">
        <v>2</v>
      </c>
    </row>
    <row r="879" spans="1:17" x14ac:dyDescent="0.3">
      <c r="A879">
        <v>877</v>
      </c>
      <c r="B879">
        <v>36</v>
      </c>
      <c r="C879">
        <v>63</v>
      </c>
      <c r="D879">
        <v>1983</v>
      </c>
      <c r="E879">
        <v>8</v>
      </c>
      <c r="F879" t="str">
        <f t="shared" si="40"/>
        <v>36-50</v>
      </c>
      <c r="G879" t="s">
        <v>14</v>
      </c>
      <c r="H879" t="s">
        <v>42</v>
      </c>
      <c r="I879">
        <v>33.44</v>
      </c>
      <c r="J879">
        <v>-111.85</v>
      </c>
      <c r="K879" t="s">
        <v>43</v>
      </c>
      <c r="L879" s="4">
        <v>34317</v>
      </c>
      <c r="M879" s="4">
        <v>61826</v>
      </c>
      <c r="N879" s="11">
        <f t="shared" si="39"/>
        <v>1.8016143602296237</v>
      </c>
      <c r="O879">
        <v>610</v>
      </c>
      <c r="P879" t="str">
        <f t="shared" si="41"/>
        <v>Fair</v>
      </c>
      <c r="Q879">
        <v>3</v>
      </c>
    </row>
    <row r="880" spans="1:17" x14ac:dyDescent="0.3">
      <c r="A880">
        <v>878</v>
      </c>
      <c r="B880">
        <v>45</v>
      </c>
      <c r="C880">
        <v>65</v>
      </c>
      <c r="D880">
        <v>1974</v>
      </c>
      <c r="E880">
        <v>3</v>
      </c>
      <c r="F880" t="str">
        <f t="shared" si="40"/>
        <v>36-50</v>
      </c>
      <c r="G880" t="s">
        <v>19</v>
      </c>
      <c r="H880" t="s">
        <v>1459</v>
      </c>
      <c r="I880">
        <v>40.03</v>
      </c>
      <c r="J880">
        <v>-76.489999999999995</v>
      </c>
      <c r="K880" t="s">
        <v>1460</v>
      </c>
      <c r="L880" s="4">
        <v>40093</v>
      </c>
      <c r="M880" s="4">
        <v>81752</v>
      </c>
      <c r="N880" s="11">
        <f t="shared" si="39"/>
        <v>2.03905918738932</v>
      </c>
      <c r="O880">
        <v>615</v>
      </c>
      <c r="P880" t="str">
        <f t="shared" si="41"/>
        <v>Fair</v>
      </c>
      <c r="Q880">
        <v>2</v>
      </c>
    </row>
    <row r="881" spans="1:17" x14ac:dyDescent="0.3">
      <c r="A881">
        <v>879</v>
      </c>
      <c r="B881">
        <v>54</v>
      </c>
      <c r="C881">
        <v>66</v>
      </c>
      <c r="D881">
        <v>1966</v>
      </c>
      <c r="E881">
        <v>2</v>
      </c>
      <c r="F881" t="str">
        <f t="shared" si="40"/>
        <v>51-60</v>
      </c>
      <c r="G881" t="s">
        <v>19</v>
      </c>
      <c r="H881" t="s">
        <v>1504</v>
      </c>
      <c r="I881">
        <v>25.92</v>
      </c>
      <c r="J881">
        <v>-97.48</v>
      </c>
      <c r="K881" t="s">
        <v>1505</v>
      </c>
      <c r="L881" s="4">
        <v>22714</v>
      </c>
      <c r="M881" s="4">
        <v>27227</v>
      </c>
      <c r="N881" s="11">
        <f t="shared" si="39"/>
        <v>1.198688033811746</v>
      </c>
      <c r="O881">
        <v>702</v>
      </c>
      <c r="P881" t="str">
        <f t="shared" si="41"/>
        <v>Good</v>
      </c>
      <c r="Q881">
        <v>3</v>
      </c>
    </row>
    <row r="882" spans="1:17" x14ac:dyDescent="0.3">
      <c r="A882">
        <v>880</v>
      </c>
      <c r="B882">
        <v>28</v>
      </c>
      <c r="C882">
        <v>65</v>
      </c>
      <c r="D882">
        <v>1991</v>
      </c>
      <c r="E882">
        <v>3</v>
      </c>
      <c r="F882" t="str">
        <f t="shared" si="40"/>
        <v>26-35</v>
      </c>
      <c r="G882" t="s">
        <v>19</v>
      </c>
      <c r="H882" t="s">
        <v>1018</v>
      </c>
      <c r="I882">
        <v>48.95</v>
      </c>
      <c r="J882">
        <v>-122.43</v>
      </c>
      <c r="K882" t="s">
        <v>1019</v>
      </c>
      <c r="L882" s="4">
        <v>39354</v>
      </c>
      <c r="M882" s="4">
        <v>26700</v>
      </c>
      <c r="N882" s="11">
        <f t="shared" si="39"/>
        <v>0.67845708187223663</v>
      </c>
      <c r="O882">
        <v>685</v>
      </c>
      <c r="P882" t="str">
        <f t="shared" si="41"/>
        <v>Good</v>
      </c>
      <c r="Q882">
        <v>2</v>
      </c>
    </row>
    <row r="883" spans="1:17" x14ac:dyDescent="0.3">
      <c r="A883">
        <v>881</v>
      </c>
      <c r="B883">
        <v>61</v>
      </c>
      <c r="C883">
        <v>70</v>
      </c>
      <c r="D883">
        <v>1958</v>
      </c>
      <c r="E883">
        <v>3</v>
      </c>
      <c r="F883" t="str">
        <f t="shared" si="40"/>
        <v>51-60</v>
      </c>
      <c r="G883" t="s">
        <v>14</v>
      </c>
      <c r="H883" t="s">
        <v>1639</v>
      </c>
      <c r="I883">
        <v>39.85</v>
      </c>
      <c r="J883">
        <v>-75.180000000000007</v>
      </c>
      <c r="K883" t="s">
        <v>1640</v>
      </c>
      <c r="L883" s="4">
        <v>58433</v>
      </c>
      <c r="M883" s="4">
        <v>48231</v>
      </c>
      <c r="N883" s="11">
        <f t="shared" si="39"/>
        <v>0.82540687625143327</v>
      </c>
      <c r="O883">
        <v>696</v>
      </c>
      <c r="P883" t="str">
        <f t="shared" si="41"/>
        <v>Good</v>
      </c>
      <c r="Q883">
        <v>4</v>
      </c>
    </row>
    <row r="884" spans="1:17" x14ac:dyDescent="0.3">
      <c r="A884">
        <v>882</v>
      </c>
      <c r="B884">
        <v>63</v>
      </c>
      <c r="C884">
        <v>65</v>
      </c>
      <c r="D884">
        <v>1956</v>
      </c>
      <c r="E884">
        <v>8</v>
      </c>
      <c r="F884" t="str">
        <f t="shared" si="40"/>
        <v>51-60</v>
      </c>
      <c r="G884" t="s">
        <v>19</v>
      </c>
      <c r="H884" t="s">
        <v>88</v>
      </c>
      <c r="I884">
        <v>40.39</v>
      </c>
      <c r="J884">
        <v>-82.47</v>
      </c>
      <c r="K884" t="s">
        <v>89</v>
      </c>
      <c r="L884" s="4">
        <v>36743</v>
      </c>
      <c r="M884" s="4">
        <v>71719</v>
      </c>
      <c r="N884" s="11">
        <f t="shared" si="39"/>
        <v>1.9519092071959285</v>
      </c>
      <c r="O884">
        <v>612</v>
      </c>
      <c r="P884" t="str">
        <f t="shared" si="41"/>
        <v>Fair</v>
      </c>
      <c r="Q884">
        <v>2</v>
      </c>
    </row>
    <row r="885" spans="1:17" x14ac:dyDescent="0.3">
      <c r="A885">
        <v>883</v>
      </c>
      <c r="B885">
        <v>33</v>
      </c>
      <c r="C885">
        <v>60</v>
      </c>
      <c r="D885">
        <v>1987</v>
      </c>
      <c r="E885">
        <v>2</v>
      </c>
      <c r="F885" t="str">
        <f t="shared" si="40"/>
        <v>26-35</v>
      </c>
      <c r="G885" t="s">
        <v>19</v>
      </c>
      <c r="H885" t="s">
        <v>1292</v>
      </c>
      <c r="I885">
        <v>45.53</v>
      </c>
      <c r="J885">
        <v>-122.6</v>
      </c>
      <c r="K885" t="s">
        <v>1293</v>
      </c>
      <c r="L885" s="4">
        <v>54333</v>
      </c>
      <c r="M885" s="4">
        <v>103224</v>
      </c>
      <c r="N885" s="11">
        <f t="shared" si="39"/>
        <v>1.8998398763182596</v>
      </c>
      <c r="O885">
        <v>584</v>
      </c>
      <c r="P885" t="str">
        <f t="shared" si="41"/>
        <v>Fair</v>
      </c>
      <c r="Q885">
        <v>1</v>
      </c>
    </row>
    <row r="886" spans="1:17" x14ac:dyDescent="0.3">
      <c r="A886">
        <v>884</v>
      </c>
      <c r="B886">
        <v>75</v>
      </c>
      <c r="C886">
        <v>64</v>
      </c>
      <c r="D886">
        <v>1945</v>
      </c>
      <c r="E886">
        <v>2</v>
      </c>
      <c r="F886" t="str">
        <f t="shared" si="40"/>
        <v>65+</v>
      </c>
      <c r="G886" t="s">
        <v>19</v>
      </c>
      <c r="H886" t="s">
        <v>1472</v>
      </c>
      <c r="I886">
        <v>42.97</v>
      </c>
      <c r="J886">
        <v>-85.77</v>
      </c>
      <c r="K886" t="s">
        <v>1473</v>
      </c>
      <c r="L886" s="4">
        <v>42812</v>
      </c>
      <c r="M886" s="4">
        <v>22171</v>
      </c>
      <c r="N886" s="11">
        <f t="shared" si="39"/>
        <v>0.51786882182565641</v>
      </c>
      <c r="O886">
        <v>631</v>
      </c>
      <c r="P886" t="str">
        <f t="shared" si="41"/>
        <v>Fair</v>
      </c>
      <c r="Q886">
        <v>4</v>
      </c>
    </row>
    <row r="887" spans="1:17" x14ac:dyDescent="0.3">
      <c r="A887">
        <v>885</v>
      </c>
      <c r="B887">
        <v>36</v>
      </c>
      <c r="C887">
        <v>66</v>
      </c>
      <c r="D887">
        <v>1983</v>
      </c>
      <c r="E887">
        <v>12</v>
      </c>
      <c r="F887" t="str">
        <f t="shared" si="40"/>
        <v>36-50</v>
      </c>
      <c r="G887" t="s">
        <v>19</v>
      </c>
      <c r="H887" t="s">
        <v>1167</v>
      </c>
      <c r="I887">
        <v>36.67</v>
      </c>
      <c r="J887">
        <v>-93.86</v>
      </c>
      <c r="K887" t="s">
        <v>1168</v>
      </c>
      <c r="L887" s="4">
        <v>28334</v>
      </c>
      <c r="M887" s="4">
        <v>0</v>
      </c>
      <c r="N887" s="11">
        <f t="shared" si="39"/>
        <v>0</v>
      </c>
      <c r="O887">
        <v>700</v>
      </c>
      <c r="P887" t="str">
        <f t="shared" si="41"/>
        <v>Good</v>
      </c>
      <c r="Q887">
        <v>3</v>
      </c>
    </row>
    <row r="888" spans="1:17" x14ac:dyDescent="0.3">
      <c r="A888">
        <v>886</v>
      </c>
      <c r="B888">
        <v>20</v>
      </c>
      <c r="C888">
        <v>67</v>
      </c>
      <c r="D888">
        <v>1999</v>
      </c>
      <c r="E888">
        <v>11</v>
      </c>
      <c r="F888" t="str">
        <f t="shared" si="40"/>
        <v>18-25</v>
      </c>
      <c r="G888" t="s">
        <v>19</v>
      </c>
      <c r="H888" t="s">
        <v>582</v>
      </c>
      <c r="I888">
        <v>40.17</v>
      </c>
      <c r="J888">
        <v>-74.91</v>
      </c>
      <c r="K888" t="s">
        <v>583</v>
      </c>
      <c r="L888" s="4">
        <v>64548</v>
      </c>
      <c r="M888" s="4">
        <v>14864</v>
      </c>
      <c r="N888" s="11">
        <f t="shared" si="39"/>
        <v>0.23027824254818119</v>
      </c>
      <c r="O888">
        <v>726</v>
      </c>
      <c r="P888" t="str">
        <f t="shared" si="41"/>
        <v>Good</v>
      </c>
      <c r="Q888">
        <v>1</v>
      </c>
    </row>
    <row r="889" spans="1:17" x14ac:dyDescent="0.3">
      <c r="A889">
        <v>887</v>
      </c>
      <c r="B889">
        <v>55</v>
      </c>
      <c r="C889">
        <v>66</v>
      </c>
      <c r="D889">
        <v>1964</v>
      </c>
      <c r="E889">
        <v>4</v>
      </c>
      <c r="F889" t="str">
        <f t="shared" si="40"/>
        <v>51-60</v>
      </c>
      <c r="G889" t="s">
        <v>19</v>
      </c>
      <c r="H889" t="s">
        <v>316</v>
      </c>
      <c r="I889">
        <v>42.25</v>
      </c>
      <c r="J889">
        <v>-71.900000000000006</v>
      </c>
      <c r="K889" t="s">
        <v>317</v>
      </c>
      <c r="L889" s="4">
        <v>53287</v>
      </c>
      <c r="M889" s="4">
        <v>51026</v>
      </c>
      <c r="N889" s="11">
        <f t="shared" si="39"/>
        <v>0.95756938840617789</v>
      </c>
      <c r="O889">
        <v>816</v>
      </c>
      <c r="P889" t="str">
        <f t="shared" si="41"/>
        <v>Excellent</v>
      </c>
      <c r="Q889">
        <v>4</v>
      </c>
    </row>
    <row r="890" spans="1:17" x14ac:dyDescent="0.3">
      <c r="A890">
        <v>888</v>
      </c>
      <c r="B890">
        <v>53</v>
      </c>
      <c r="C890">
        <v>67</v>
      </c>
      <c r="D890">
        <v>1966</v>
      </c>
      <c r="E890">
        <v>6</v>
      </c>
      <c r="F890" t="str">
        <f t="shared" si="40"/>
        <v>51-60</v>
      </c>
      <c r="G890" t="s">
        <v>19</v>
      </c>
      <c r="H890" t="s">
        <v>485</v>
      </c>
      <c r="I890">
        <v>34.86</v>
      </c>
      <c r="J890">
        <v>-92.12</v>
      </c>
      <c r="K890" t="s">
        <v>486</v>
      </c>
      <c r="L890" s="4">
        <v>33566</v>
      </c>
      <c r="M890" s="4">
        <v>96597</v>
      </c>
      <c r="N890" s="11">
        <f t="shared" si="39"/>
        <v>2.8778227968777932</v>
      </c>
      <c r="O890">
        <v>698</v>
      </c>
      <c r="P890" t="str">
        <f t="shared" si="41"/>
        <v>Good</v>
      </c>
      <c r="Q890">
        <v>1</v>
      </c>
    </row>
    <row r="891" spans="1:17" x14ac:dyDescent="0.3">
      <c r="A891">
        <v>889</v>
      </c>
      <c r="B891">
        <v>27</v>
      </c>
      <c r="C891">
        <v>65</v>
      </c>
      <c r="D891">
        <v>1992</v>
      </c>
      <c r="E891">
        <v>3</v>
      </c>
      <c r="F891" t="str">
        <f t="shared" si="40"/>
        <v>26-35</v>
      </c>
      <c r="G891" t="s">
        <v>19</v>
      </c>
      <c r="H891" t="s">
        <v>1731</v>
      </c>
      <c r="I891">
        <v>39.61</v>
      </c>
      <c r="J891">
        <v>-86.11</v>
      </c>
      <c r="K891" t="s">
        <v>1732</v>
      </c>
      <c r="L891" s="4">
        <v>52550</v>
      </c>
      <c r="M891" s="4">
        <v>140825</v>
      </c>
      <c r="N891" s="11">
        <f t="shared" si="39"/>
        <v>2.6798287345385345</v>
      </c>
      <c r="O891">
        <v>710</v>
      </c>
      <c r="P891" t="str">
        <f t="shared" si="41"/>
        <v>Good</v>
      </c>
      <c r="Q891">
        <v>1</v>
      </c>
    </row>
    <row r="892" spans="1:17" x14ac:dyDescent="0.3">
      <c r="A892">
        <v>890</v>
      </c>
      <c r="B892">
        <v>37</v>
      </c>
      <c r="C892">
        <v>66</v>
      </c>
      <c r="D892">
        <v>1983</v>
      </c>
      <c r="E892">
        <v>1</v>
      </c>
      <c r="F892" t="str">
        <f t="shared" si="40"/>
        <v>36-50</v>
      </c>
      <c r="G892" t="s">
        <v>14</v>
      </c>
      <c r="H892" t="s">
        <v>758</v>
      </c>
      <c r="I892">
        <v>33.869999999999997</v>
      </c>
      <c r="J892">
        <v>-117.89</v>
      </c>
      <c r="K892" t="s">
        <v>759</v>
      </c>
      <c r="L892" s="4">
        <v>52181</v>
      </c>
      <c r="M892" s="4">
        <v>26792</v>
      </c>
      <c r="N892" s="11">
        <f t="shared" si="39"/>
        <v>0.5134435905789464</v>
      </c>
      <c r="O892">
        <v>727</v>
      </c>
      <c r="P892" t="str">
        <f t="shared" si="41"/>
        <v>Good</v>
      </c>
      <c r="Q892">
        <v>2</v>
      </c>
    </row>
    <row r="893" spans="1:17" x14ac:dyDescent="0.3">
      <c r="A893">
        <v>891</v>
      </c>
      <c r="B893">
        <v>38</v>
      </c>
      <c r="C893">
        <v>66</v>
      </c>
      <c r="D893">
        <v>1981</v>
      </c>
      <c r="E893">
        <v>10</v>
      </c>
      <c r="F893" t="str">
        <f t="shared" si="40"/>
        <v>36-50</v>
      </c>
      <c r="G893" t="s">
        <v>14</v>
      </c>
      <c r="H893" t="s">
        <v>231</v>
      </c>
      <c r="I893">
        <v>35.44</v>
      </c>
      <c r="J893">
        <v>-94.35</v>
      </c>
      <c r="K893" t="s">
        <v>232</v>
      </c>
      <c r="L893" s="4">
        <v>34854</v>
      </c>
      <c r="M893" s="4">
        <v>40722</v>
      </c>
      <c r="N893" s="11">
        <f t="shared" si="39"/>
        <v>1.1683594422447925</v>
      </c>
      <c r="O893">
        <v>746</v>
      </c>
      <c r="P893" t="str">
        <f t="shared" si="41"/>
        <v>Very Good</v>
      </c>
      <c r="Q893">
        <v>5</v>
      </c>
    </row>
    <row r="894" spans="1:17" x14ac:dyDescent="0.3">
      <c r="A894">
        <v>892</v>
      </c>
      <c r="B894">
        <v>38</v>
      </c>
      <c r="C894">
        <v>66</v>
      </c>
      <c r="D894">
        <v>1981</v>
      </c>
      <c r="E894">
        <v>7</v>
      </c>
      <c r="F894" t="str">
        <f t="shared" si="40"/>
        <v>36-50</v>
      </c>
      <c r="G894" t="s">
        <v>14</v>
      </c>
      <c r="H894" t="s">
        <v>1720</v>
      </c>
      <c r="I894">
        <v>40.43</v>
      </c>
      <c r="J894">
        <v>-75.34</v>
      </c>
      <c r="K894" t="s">
        <v>362</v>
      </c>
      <c r="L894" s="4">
        <v>51391</v>
      </c>
      <c r="M894" s="4">
        <v>94145</v>
      </c>
      <c r="N894" s="11">
        <f t="shared" si="39"/>
        <v>1.8319355529178261</v>
      </c>
      <c r="O894">
        <v>656</v>
      </c>
      <c r="P894" t="str">
        <f t="shared" si="41"/>
        <v>Fair</v>
      </c>
      <c r="Q894">
        <v>1</v>
      </c>
    </row>
    <row r="895" spans="1:17" x14ac:dyDescent="0.3">
      <c r="A895">
        <v>893</v>
      </c>
      <c r="B895">
        <v>18</v>
      </c>
      <c r="C895">
        <v>68</v>
      </c>
      <c r="D895">
        <v>2002</v>
      </c>
      <c r="E895">
        <v>2</v>
      </c>
      <c r="F895" t="str">
        <f t="shared" si="40"/>
        <v>18-25</v>
      </c>
      <c r="G895" t="s">
        <v>19</v>
      </c>
      <c r="H895" t="s">
        <v>1336</v>
      </c>
      <c r="I895">
        <v>43.05</v>
      </c>
      <c r="J895">
        <v>-74.34</v>
      </c>
      <c r="K895" t="s">
        <v>1337</v>
      </c>
      <c r="L895" s="4">
        <v>34716</v>
      </c>
      <c r="M895" s="4">
        <v>18962</v>
      </c>
      <c r="N895" s="11">
        <f t="shared" si="39"/>
        <v>0.54620347966355576</v>
      </c>
      <c r="O895">
        <v>850</v>
      </c>
      <c r="P895" t="str">
        <f t="shared" si="41"/>
        <v>Excellent</v>
      </c>
      <c r="Q895">
        <v>3</v>
      </c>
    </row>
    <row r="896" spans="1:17" x14ac:dyDescent="0.3">
      <c r="A896">
        <v>894</v>
      </c>
      <c r="B896">
        <v>41</v>
      </c>
      <c r="C896">
        <v>68</v>
      </c>
      <c r="D896">
        <v>1978</v>
      </c>
      <c r="E896">
        <v>5</v>
      </c>
      <c r="F896" t="str">
        <f t="shared" si="40"/>
        <v>36-50</v>
      </c>
      <c r="G896" t="s">
        <v>14</v>
      </c>
      <c r="H896" t="s">
        <v>1628</v>
      </c>
      <c r="I896">
        <v>43.3</v>
      </c>
      <c r="J896">
        <v>-71.33</v>
      </c>
      <c r="K896" t="s">
        <v>385</v>
      </c>
      <c r="L896" s="4">
        <v>40334</v>
      </c>
      <c r="M896" s="4">
        <v>65793</v>
      </c>
      <c r="N896" s="11">
        <f t="shared" si="39"/>
        <v>1.6312044429017702</v>
      </c>
      <c r="O896">
        <v>597</v>
      </c>
      <c r="P896" t="str">
        <f t="shared" si="41"/>
        <v>Fair</v>
      </c>
      <c r="Q896">
        <v>3</v>
      </c>
    </row>
    <row r="897" spans="1:17" x14ac:dyDescent="0.3">
      <c r="A897">
        <v>895</v>
      </c>
      <c r="B897">
        <v>46</v>
      </c>
      <c r="C897">
        <v>70</v>
      </c>
      <c r="D897">
        <v>1973</v>
      </c>
      <c r="E897">
        <v>8</v>
      </c>
      <c r="F897" t="str">
        <f t="shared" si="40"/>
        <v>36-50</v>
      </c>
      <c r="G897" t="s">
        <v>14</v>
      </c>
      <c r="H897" t="s">
        <v>1593</v>
      </c>
      <c r="I897">
        <v>34.229999999999997</v>
      </c>
      <c r="J897">
        <v>-116.86</v>
      </c>
      <c r="K897" t="s">
        <v>1594</v>
      </c>
      <c r="L897" s="4">
        <v>31632</v>
      </c>
      <c r="M897" s="4">
        <v>76538</v>
      </c>
      <c r="N897" s="11">
        <f t="shared" si="39"/>
        <v>2.4196383409205868</v>
      </c>
      <c r="O897">
        <v>832</v>
      </c>
      <c r="P897" t="str">
        <f t="shared" si="41"/>
        <v>Excellent</v>
      </c>
      <c r="Q897">
        <v>3</v>
      </c>
    </row>
    <row r="898" spans="1:17" x14ac:dyDescent="0.3">
      <c r="A898">
        <v>896</v>
      </c>
      <c r="B898">
        <v>27</v>
      </c>
      <c r="C898">
        <v>65</v>
      </c>
      <c r="D898">
        <v>1993</v>
      </c>
      <c r="E898">
        <v>2</v>
      </c>
      <c r="F898" t="str">
        <f t="shared" si="40"/>
        <v>26-35</v>
      </c>
      <c r="G898" t="s">
        <v>14</v>
      </c>
      <c r="H898" t="s">
        <v>180</v>
      </c>
      <c r="I898">
        <v>38.04</v>
      </c>
      <c r="J898">
        <v>-84.45</v>
      </c>
      <c r="K898" t="s">
        <v>181</v>
      </c>
      <c r="L898" s="4">
        <v>37268</v>
      </c>
      <c r="M898" s="4">
        <v>50388</v>
      </c>
      <c r="N898" s="11">
        <f t="shared" ref="N898:N961" si="42">(M898/L898)</f>
        <v>1.3520446495653107</v>
      </c>
      <c r="O898">
        <v>626</v>
      </c>
      <c r="P898" t="str">
        <f t="shared" si="41"/>
        <v>Fair</v>
      </c>
      <c r="Q898">
        <v>1</v>
      </c>
    </row>
    <row r="899" spans="1:17" x14ac:dyDescent="0.3">
      <c r="A899">
        <v>897</v>
      </c>
      <c r="B899">
        <v>30</v>
      </c>
      <c r="C899">
        <v>64</v>
      </c>
      <c r="D899">
        <v>1989</v>
      </c>
      <c r="E899">
        <v>8</v>
      </c>
      <c r="F899" t="str">
        <f t="shared" ref="F899:F962" si="43">IF(B899&lt;26,"18-25",
   IF(B899&lt;36,"26-35",
   IF(B899&lt;51,"36-50",
   IF(B899&lt;66,"51-60","65+"))))</f>
        <v>26-35</v>
      </c>
      <c r="G899" t="s">
        <v>14</v>
      </c>
      <c r="H899" t="s">
        <v>1909</v>
      </c>
      <c r="I899">
        <v>31.07</v>
      </c>
      <c r="J899">
        <v>-83.19</v>
      </c>
      <c r="K899" t="s">
        <v>1910</v>
      </c>
      <c r="L899" s="4">
        <v>26996</v>
      </c>
      <c r="M899" s="4">
        <v>33332</v>
      </c>
      <c r="N899" s="11">
        <f t="shared" si="42"/>
        <v>1.234701437249963</v>
      </c>
      <c r="O899">
        <v>501</v>
      </c>
      <c r="P899" t="str">
        <f t="shared" ref="P899:P962" si="44">IF(O899&lt;580,"Poor",
   IF(O899&lt;670,"Fair",
   IF(O899&lt;740,"Good",
   IF(O899&lt;800,"Very Good","Excellent"))))</f>
        <v>Poor</v>
      </c>
      <c r="Q899">
        <v>2</v>
      </c>
    </row>
    <row r="900" spans="1:17" x14ac:dyDescent="0.3">
      <c r="A900">
        <v>898</v>
      </c>
      <c r="B900">
        <v>90</v>
      </c>
      <c r="C900">
        <v>66</v>
      </c>
      <c r="D900">
        <v>1929</v>
      </c>
      <c r="E900">
        <v>6</v>
      </c>
      <c r="F900" t="str">
        <f t="shared" si="43"/>
        <v>65+</v>
      </c>
      <c r="G900" t="s">
        <v>14</v>
      </c>
      <c r="H900" t="s">
        <v>85</v>
      </c>
      <c r="I900">
        <v>40.590000000000003</v>
      </c>
      <c r="J900">
        <v>-75.47</v>
      </c>
      <c r="K900" t="s">
        <v>86</v>
      </c>
      <c r="L900" s="4">
        <v>19893</v>
      </c>
      <c r="M900" s="4">
        <v>1712</v>
      </c>
      <c r="N900" s="11">
        <f t="shared" si="42"/>
        <v>8.6060423264464891E-2</v>
      </c>
      <c r="O900">
        <v>566</v>
      </c>
      <c r="P900" t="str">
        <f t="shared" si="44"/>
        <v>Poor</v>
      </c>
      <c r="Q900">
        <v>3</v>
      </c>
    </row>
    <row r="901" spans="1:17" x14ac:dyDescent="0.3">
      <c r="A901">
        <v>899</v>
      </c>
      <c r="B901">
        <v>29</v>
      </c>
      <c r="C901">
        <v>65</v>
      </c>
      <c r="D901">
        <v>1990</v>
      </c>
      <c r="E901">
        <v>6</v>
      </c>
      <c r="F901" t="str">
        <f t="shared" si="43"/>
        <v>26-35</v>
      </c>
      <c r="G901" t="s">
        <v>14</v>
      </c>
      <c r="H901" t="s">
        <v>935</v>
      </c>
      <c r="I901">
        <v>42.24</v>
      </c>
      <c r="J901">
        <v>-83.62</v>
      </c>
      <c r="K901" t="s">
        <v>936</v>
      </c>
      <c r="L901" s="4">
        <v>47891</v>
      </c>
      <c r="M901" s="4">
        <v>114299</v>
      </c>
      <c r="N901" s="11">
        <f t="shared" si="42"/>
        <v>2.3866488484266353</v>
      </c>
      <c r="O901">
        <v>629</v>
      </c>
      <c r="P901" t="str">
        <f t="shared" si="44"/>
        <v>Fair</v>
      </c>
      <c r="Q901">
        <v>1</v>
      </c>
    </row>
    <row r="902" spans="1:17" x14ac:dyDescent="0.3">
      <c r="A902">
        <v>900</v>
      </c>
      <c r="B902">
        <v>36</v>
      </c>
      <c r="C902">
        <v>65</v>
      </c>
      <c r="D902">
        <v>1983</v>
      </c>
      <c r="E902">
        <v>7</v>
      </c>
      <c r="F902" t="str">
        <f t="shared" si="43"/>
        <v>36-50</v>
      </c>
      <c r="G902" t="s">
        <v>19</v>
      </c>
      <c r="H902" t="s">
        <v>116</v>
      </c>
      <c r="I902">
        <v>30.17</v>
      </c>
      <c r="J902">
        <v>-85.67</v>
      </c>
      <c r="K902" t="s">
        <v>117</v>
      </c>
      <c r="L902" s="4">
        <v>32896</v>
      </c>
      <c r="M902" s="4">
        <v>69800</v>
      </c>
      <c r="N902" s="11">
        <f t="shared" si="42"/>
        <v>2.121838521400778</v>
      </c>
      <c r="O902">
        <v>735</v>
      </c>
      <c r="P902" t="str">
        <f t="shared" si="44"/>
        <v>Good</v>
      </c>
      <c r="Q902">
        <v>2</v>
      </c>
    </row>
    <row r="903" spans="1:17" x14ac:dyDescent="0.3">
      <c r="A903">
        <v>901</v>
      </c>
      <c r="B903">
        <v>48</v>
      </c>
      <c r="C903">
        <v>66</v>
      </c>
      <c r="D903">
        <v>1971</v>
      </c>
      <c r="E903">
        <v>9</v>
      </c>
      <c r="F903" t="str">
        <f t="shared" si="43"/>
        <v>36-50</v>
      </c>
      <c r="G903" t="s">
        <v>19</v>
      </c>
      <c r="H903" t="s">
        <v>258</v>
      </c>
      <c r="I903">
        <v>30.44</v>
      </c>
      <c r="J903">
        <v>-87.18</v>
      </c>
      <c r="K903" t="s">
        <v>259</v>
      </c>
      <c r="L903" s="4">
        <v>36671</v>
      </c>
      <c r="M903" s="4">
        <v>39882</v>
      </c>
      <c r="N903" s="11">
        <f t="shared" si="42"/>
        <v>1.0875623789915738</v>
      </c>
      <c r="O903">
        <v>850</v>
      </c>
      <c r="P903" t="str">
        <f t="shared" si="44"/>
        <v>Excellent</v>
      </c>
      <c r="Q903">
        <v>3</v>
      </c>
    </row>
    <row r="904" spans="1:17" x14ac:dyDescent="0.3">
      <c r="A904">
        <v>902</v>
      </c>
      <c r="B904">
        <v>31</v>
      </c>
      <c r="C904">
        <v>64</v>
      </c>
      <c r="D904">
        <v>1988</v>
      </c>
      <c r="E904">
        <v>4</v>
      </c>
      <c r="F904" t="str">
        <f t="shared" si="43"/>
        <v>26-35</v>
      </c>
      <c r="G904" t="s">
        <v>19</v>
      </c>
      <c r="H904" t="s">
        <v>1936</v>
      </c>
      <c r="I904">
        <v>33.15</v>
      </c>
      <c r="J904">
        <v>-117.17</v>
      </c>
      <c r="K904" t="s">
        <v>1162</v>
      </c>
      <c r="L904" s="4">
        <v>45025</v>
      </c>
      <c r="M904" s="4">
        <v>62719</v>
      </c>
      <c r="N904" s="11">
        <f t="shared" si="42"/>
        <v>1.3929816768461964</v>
      </c>
      <c r="O904">
        <v>635</v>
      </c>
      <c r="P904" t="str">
        <f t="shared" si="44"/>
        <v>Fair</v>
      </c>
      <c r="Q904">
        <v>1</v>
      </c>
    </row>
    <row r="905" spans="1:17" x14ac:dyDescent="0.3">
      <c r="A905">
        <v>903</v>
      </c>
      <c r="B905">
        <v>25</v>
      </c>
      <c r="C905">
        <v>67</v>
      </c>
      <c r="D905">
        <v>1994</v>
      </c>
      <c r="E905">
        <v>8</v>
      </c>
      <c r="F905" t="str">
        <f t="shared" si="43"/>
        <v>18-25</v>
      </c>
      <c r="G905" t="s">
        <v>19</v>
      </c>
      <c r="H905" t="s">
        <v>1535</v>
      </c>
      <c r="I905">
        <v>41.38</v>
      </c>
      <c r="J905">
        <v>-72.849999999999994</v>
      </c>
      <c r="K905" t="s">
        <v>1536</v>
      </c>
      <c r="L905" s="4">
        <v>59599</v>
      </c>
      <c r="M905" s="4">
        <v>79126</v>
      </c>
      <c r="N905" s="11">
        <f t="shared" si="42"/>
        <v>1.32763972549875</v>
      </c>
      <c r="O905">
        <v>717</v>
      </c>
      <c r="P905" t="str">
        <f t="shared" si="44"/>
        <v>Good</v>
      </c>
      <c r="Q905">
        <v>5</v>
      </c>
    </row>
    <row r="906" spans="1:17" x14ac:dyDescent="0.3">
      <c r="A906">
        <v>904</v>
      </c>
      <c r="B906">
        <v>32</v>
      </c>
      <c r="C906">
        <v>66</v>
      </c>
      <c r="D906">
        <v>1987</v>
      </c>
      <c r="E906">
        <v>8</v>
      </c>
      <c r="F906" t="str">
        <f t="shared" si="43"/>
        <v>26-35</v>
      </c>
      <c r="G906" t="s">
        <v>19</v>
      </c>
      <c r="H906" t="s">
        <v>246</v>
      </c>
      <c r="I906">
        <v>37.96</v>
      </c>
      <c r="J906">
        <v>-76.510000000000005</v>
      </c>
      <c r="K906" t="s">
        <v>247</v>
      </c>
      <c r="L906" s="4">
        <v>24505</v>
      </c>
      <c r="M906" s="4">
        <v>52405</v>
      </c>
      <c r="N906" s="11">
        <f t="shared" si="42"/>
        <v>2.138543154458274</v>
      </c>
      <c r="O906">
        <v>759</v>
      </c>
      <c r="P906" t="str">
        <f t="shared" si="44"/>
        <v>Very Good</v>
      </c>
      <c r="Q906">
        <v>1</v>
      </c>
    </row>
    <row r="907" spans="1:17" x14ac:dyDescent="0.3">
      <c r="A907">
        <v>905</v>
      </c>
      <c r="B907">
        <v>69</v>
      </c>
      <c r="C907">
        <v>73</v>
      </c>
      <c r="D907">
        <v>1950</v>
      </c>
      <c r="E907">
        <v>11</v>
      </c>
      <c r="F907" t="str">
        <f t="shared" si="43"/>
        <v>65+</v>
      </c>
      <c r="G907" t="s">
        <v>19</v>
      </c>
      <c r="H907" t="s">
        <v>1326</v>
      </c>
      <c r="I907">
        <v>37.549999999999997</v>
      </c>
      <c r="J907">
        <v>-122.26</v>
      </c>
      <c r="K907" t="s">
        <v>1327</v>
      </c>
      <c r="L907" s="4">
        <v>96901</v>
      </c>
      <c r="M907" s="4">
        <v>182809</v>
      </c>
      <c r="N907" s="11">
        <f t="shared" si="42"/>
        <v>1.8865543183248883</v>
      </c>
      <c r="O907">
        <v>701</v>
      </c>
      <c r="P907" t="str">
        <f t="shared" si="44"/>
        <v>Good</v>
      </c>
      <c r="Q907">
        <v>5</v>
      </c>
    </row>
    <row r="908" spans="1:17" x14ac:dyDescent="0.3">
      <c r="A908">
        <v>906</v>
      </c>
      <c r="B908">
        <v>75</v>
      </c>
      <c r="C908">
        <v>69</v>
      </c>
      <c r="D908">
        <v>1945</v>
      </c>
      <c r="E908">
        <v>2</v>
      </c>
      <c r="F908" t="str">
        <f t="shared" si="43"/>
        <v>65+</v>
      </c>
      <c r="G908" t="s">
        <v>19</v>
      </c>
      <c r="H908" t="s">
        <v>204</v>
      </c>
      <c r="I908">
        <v>40.57</v>
      </c>
      <c r="J908">
        <v>-112.33</v>
      </c>
      <c r="K908" t="s">
        <v>205</v>
      </c>
      <c r="L908" s="4">
        <v>21154</v>
      </c>
      <c r="M908" s="4">
        <v>5764</v>
      </c>
      <c r="N908" s="11">
        <f t="shared" si="42"/>
        <v>0.27247801834168478</v>
      </c>
      <c r="O908">
        <v>705</v>
      </c>
      <c r="P908" t="str">
        <f t="shared" si="44"/>
        <v>Good</v>
      </c>
      <c r="Q908">
        <v>6</v>
      </c>
    </row>
    <row r="909" spans="1:17" x14ac:dyDescent="0.3">
      <c r="A909">
        <v>907</v>
      </c>
      <c r="B909">
        <v>32</v>
      </c>
      <c r="C909">
        <v>71</v>
      </c>
      <c r="D909">
        <v>1987</v>
      </c>
      <c r="E909">
        <v>11</v>
      </c>
      <c r="F909" t="str">
        <f t="shared" si="43"/>
        <v>26-35</v>
      </c>
      <c r="G909" t="s">
        <v>19</v>
      </c>
      <c r="H909" t="s">
        <v>1613</v>
      </c>
      <c r="I909">
        <v>44.94</v>
      </c>
      <c r="J909">
        <v>-93.1</v>
      </c>
      <c r="K909" t="s">
        <v>1614</v>
      </c>
      <c r="L909" s="4">
        <v>62492</v>
      </c>
      <c r="M909" s="4">
        <v>18680</v>
      </c>
      <c r="N909" s="11">
        <f t="shared" si="42"/>
        <v>0.2989182615374768</v>
      </c>
      <c r="O909">
        <v>686</v>
      </c>
      <c r="P909" t="str">
        <f t="shared" si="44"/>
        <v>Good</v>
      </c>
      <c r="Q909">
        <v>3</v>
      </c>
    </row>
    <row r="910" spans="1:17" x14ac:dyDescent="0.3">
      <c r="A910">
        <v>908</v>
      </c>
      <c r="B910">
        <v>62</v>
      </c>
      <c r="C910">
        <v>70</v>
      </c>
      <c r="D910">
        <v>1957</v>
      </c>
      <c r="E910">
        <v>8</v>
      </c>
      <c r="F910" t="str">
        <f t="shared" si="43"/>
        <v>51-60</v>
      </c>
      <c r="G910" t="s">
        <v>19</v>
      </c>
      <c r="H910" t="s">
        <v>1016</v>
      </c>
      <c r="I910">
        <v>35.69</v>
      </c>
      <c r="J910">
        <v>-78.62</v>
      </c>
      <c r="K910" t="s">
        <v>1017</v>
      </c>
      <c r="L910" s="4">
        <v>46256</v>
      </c>
      <c r="M910" s="4">
        <v>106753</v>
      </c>
      <c r="N910" s="11">
        <f t="shared" si="42"/>
        <v>2.3078735731580768</v>
      </c>
      <c r="O910">
        <v>650</v>
      </c>
      <c r="P910" t="str">
        <f t="shared" si="44"/>
        <v>Fair</v>
      </c>
      <c r="Q910">
        <v>3</v>
      </c>
    </row>
    <row r="911" spans="1:17" x14ac:dyDescent="0.3">
      <c r="A911">
        <v>909</v>
      </c>
      <c r="B911">
        <v>38</v>
      </c>
      <c r="C911">
        <v>64</v>
      </c>
      <c r="D911">
        <v>1981</v>
      </c>
      <c r="E911">
        <v>5</v>
      </c>
      <c r="F911" t="str">
        <f t="shared" si="43"/>
        <v>36-50</v>
      </c>
      <c r="G911" t="s">
        <v>19</v>
      </c>
      <c r="H911" t="s">
        <v>288</v>
      </c>
      <c r="I911">
        <v>47.11</v>
      </c>
      <c r="J911">
        <v>-122.76</v>
      </c>
      <c r="K911" t="s">
        <v>289</v>
      </c>
      <c r="L911" s="4">
        <v>49023</v>
      </c>
      <c r="M911" s="4">
        <v>66148</v>
      </c>
      <c r="N911" s="11">
        <f t="shared" si="42"/>
        <v>1.3493258266527957</v>
      </c>
      <c r="O911">
        <v>583</v>
      </c>
      <c r="P911" t="str">
        <f t="shared" si="44"/>
        <v>Fair</v>
      </c>
      <c r="Q911">
        <v>5</v>
      </c>
    </row>
    <row r="912" spans="1:17" x14ac:dyDescent="0.3">
      <c r="A912">
        <v>910</v>
      </c>
      <c r="B912">
        <v>31</v>
      </c>
      <c r="C912">
        <v>57</v>
      </c>
      <c r="D912">
        <v>1989</v>
      </c>
      <c r="E912">
        <v>2</v>
      </c>
      <c r="F912" t="str">
        <f t="shared" si="43"/>
        <v>26-35</v>
      </c>
      <c r="G912" t="s">
        <v>19</v>
      </c>
      <c r="H912" t="s">
        <v>1737</v>
      </c>
      <c r="I912">
        <v>37.380000000000003</v>
      </c>
      <c r="J912">
        <v>-121.9</v>
      </c>
      <c r="K912" t="s">
        <v>1454</v>
      </c>
      <c r="L912" s="4">
        <v>76820</v>
      </c>
      <c r="M912" s="4">
        <v>159137</v>
      </c>
      <c r="N912" s="11">
        <f t="shared" si="42"/>
        <v>2.0715568862275449</v>
      </c>
      <c r="O912">
        <v>819</v>
      </c>
      <c r="P912" t="str">
        <f t="shared" si="44"/>
        <v>Excellent</v>
      </c>
      <c r="Q912">
        <v>2</v>
      </c>
    </row>
    <row r="913" spans="1:17" x14ac:dyDescent="0.3">
      <c r="A913">
        <v>911</v>
      </c>
      <c r="B913">
        <v>18</v>
      </c>
      <c r="C913">
        <v>68</v>
      </c>
      <c r="D913">
        <v>2001</v>
      </c>
      <c r="E913">
        <v>11</v>
      </c>
      <c r="F913" t="str">
        <f t="shared" si="43"/>
        <v>18-25</v>
      </c>
      <c r="G913" t="s">
        <v>19</v>
      </c>
      <c r="H913" t="s">
        <v>1709</v>
      </c>
      <c r="I913">
        <v>37.33</v>
      </c>
      <c r="J913">
        <v>-88.07</v>
      </c>
      <c r="K913" t="s">
        <v>1710</v>
      </c>
      <c r="L913" s="4">
        <v>29562</v>
      </c>
      <c r="M913" s="4">
        <v>31509</v>
      </c>
      <c r="N913" s="11">
        <f t="shared" si="42"/>
        <v>1.0658615790541912</v>
      </c>
      <c r="O913">
        <v>757</v>
      </c>
      <c r="P913" t="str">
        <f t="shared" si="44"/>
        <v>Very Good</v>
      </c>
      <c r="Q913">
        <v>1</v>
      </c>
    </row>
    <row r="914" spans="1:17" x14ac:dyDescent="0.3">
      <c r="A914">
        <v>912</v>
      </c>
      <c r="B914">
        <v>46</v>
      </c>
      <c r="C914">
        <v>66</v>
      </c>
      <c r="D914">
        <v>1973</v>
      </c>
      <c r="E914">
        <v>8</v>
      </c>
      <c r="F914" t="str">
        <f t="shared" si="43"/>
        <v>36-50</v>
      </c>
      <c r="G914" t="s">
        <v>19</v>
      </c>
      <c r="H914" t="s">
        <v>818</v>
      </c>
      <c r="I914">
        <v>25.77</v>
      </c>
      <c r="J914">
        <v>-80.2</v>
      </c>
      <c r="K914" t="s">
        <v>819</v>
      </c>
      <c r="L914" s="4">
        <v>47395</v>
      </c>
      <c r="M914" s="4">
        <v>41381</v>
      </c>
      <c r="N914" s="11">
        <f t="shared" si="42"/>
        <v>0.87310897774026797</v>
      </c>
      <c r="O914">
        <v>755</v>
      </c>
      <c r="P914" t="str">
        <f t="shared" si="44"/>
        <v>Very Good</v>
      </c>
      <c r="Q914">
        <v>2</v>
      </c>
    </row>
    <row r="915" spans="1:17" x14ac:dyDescent="0.3">
      <c r="A915">
        <v>913</v>
      </c>
      <c r="B915">
        <v>56</v>
      </c>
      <c r="C915">
        <v>70</v>
      </c>
      <c r="D915">
        <v>1963</v>
      </c>
      <c r="E915">
        <v>5</v>
      </c>
      <c r="F915" t="str">
        <f t="shared" si="43"/>
        <v>51-60</v>
      </c>
      <c r="G915" t="s">
        <v>19</v>
      </c>
      <c r="H915" t="s">
        <v>1350</v>
      </c>
      <c r="I915">
        <v>28.3</v>
      </c>
      <c r="J915">
        <v>-81.41</v>
      </c>
      <c r="K915" t="s">
        <v>1351</v>
      </c>
      <c r="L915" s="4">
        <v>28476</v>
      </c>
      <c r="M915" s="4">
        <v>0</v>
      </c>
      <c r="N915" s="11">
        <f t="shared" si="42"/>
        <v>0</v>
      </c>
      <c r="O915">
        <v>693</v>
      </c>
      <c r="P915" t="str">
        <f t="shared" si="44"/>
        <v>Good</v>
      </c>
      <c r="Q915">
        <v>3</v>
      </c>
    </row>
    <row r="916" spans="1:17" x14ac:dyDescent="0.3">
      <c r="A916">
        <v>914</v>
      </c>
      <c r="B916">
        <v>38</v>
      </c>
      <c r="C916">
        <v>71</v>
      </c>
      <c r="D916">
        <v>1982</v>
      </c>
      <c r="E916">
        <v>1</v>
      </c>
      <c r="F916" t="str">
        <f t="shared" si="43"/>
        <v>36-50</v>
      </c>
      <c r="G916" t="s">
        <v>19</v>
      </c>
      <c r="H916" t="s">
        <v>1406</v>
      </c>
      <c r="I916">
        <v>37.68</v>
      </c>
      <c r="J916">
        <v>-97.34</v>
      </c>
      <c r="K916" t="s">
        <v>1407</v>
      </c>
      <c r="L916" s="4">
        <v>46160</v>
      </c>
      <c r="M916" s="4">
        <v>87459</v>
      </c>
      <c r="N916" s="11">
        <f t="shared" si="42"/>
        <v>1.8946923743500867</v>
      </c>
      <c r="O916">
        <v>763</v>
      </c>
      <c r="P916" t="str">
        <f t="shared" si="44"/>
        <v>Very Good</v>
      </c>
      <c r="Q916">
        <v>4</v>
      </c>
    </row>
    <row r="917" spans="1:17" x14ac:dyDescent="0.3">
      <c r="A917">
        <v>915</v>
      </c>
      <c r="B917">
        <v>44</v>
      </c>
      <c r="C917">
        <v>64</v>
      </c>
      <c r="D917">
        <v>1975</v>
      </c>
      <c r="E917">
        <v>4</v>
      </c>
      <c r="F917" t="str">
        <f t="shared" si="43"/>
        <v>36-50</v>
      </c>
      <c r="G917" t="s">
        <v>19</v>
      </c>
      <c r="H917" t="s">
        <v>371</v>
      </c>
      <c r="I917">
        <v>43.08</v>
      </c>
      <c r="J917">
        <v>-76.37</v>
      </c>
      <c r="K917" t="s">
        <v>372</v>
      </c>
      <c r="L917" s="4">
        <v>44953</v>
      </c>
      <c r="M917" s="4">
        <v>97076</v>
      </c>
      <c r="N917" s="11">
        <f t="shared" si="42"/>
        <v>2.1594999221409026</v>
      </c>
      <c r="O917">
        <v>728</v>
      </c>
      <c r="P917" t="str">
        <f t="shared" si="44"/>
        <v>Good</v>
      </c>
      <c r="Q917">
        <v>1</v>
      </c>
    </row>
    <row r="918" spans="1:17" x14ac:dyDescent="0.3">
      <c r="A918">
        <v>916</v>
      </c>
      <c r="B918">
        <v>21</v>
      </c>
      <c r="C918">
        <v>68</v>
      </c>
      <c r="D918">
        <v>1998</v>
      </c>
      <c r="E918">
        <v>8</v>
      </c>
      <c r="F918" t="str">
        <f t="shared" si="43"/>
        <v>18-25</v>
      </c>
      <c r="G918" t="s">
        <v>19</v>
      </c>
      <c r="H918" t="s">
        <v>1202</v>
      </c>
      <c r="I918">
        <v>36.04</v>
      </c>
      <c r="J918">
        <v>-86.64</v>
      </c>
      <c r="K918" t="s">
        <v>1203</v>
      </c>
      <c r="L918" s="4">
        <v>41260</v>
      </c>
      <c r="M918" s="4">
        <v>80574</v>
      </c>
      <c r="N918" s="11">
        <f t="shared" si="42"/>
        <v>1.9528356761997092</v>
      </c>
      <c r="O918">
        <v>682</v>
      </c>
      <c r="P918" t="str">
        <f t="shared" si="44"/>
        <v>Good</v>
      </c>
      <c r="Q918">
        <v>2</v>
      </c>
    </row>
    <row r="919" spans="1:17" x14ac:dyDescent="0.3">
      <c r="A919">
        <v>917</v>
      </c>
      <c r="B919">
        <v>58</v>
      </c>
      <c r="C919">
        <v>66</v>
      </c>
      <c r="D919">
        <v>1962</v>
      </c>
      <c r="E919">
        <v>1</v>
      </c>
      <c r="F919" t="str">
        <f t="shared" si="43"/>
        <v>51-60</v>
      </c>
      <c r="G919" t="s">
        <v>19</v>
      </c>
      <c r="H919" t="s">
        <v>1748</v>
      </c>
      <c r="I919">
        <v>34.07</v>
      </c>
      <c r="J919">
        <v>-118.14</v>
      </c>
      <c r="K919" t="s">
        <v>1749</v>
      </c>
      <c r="L919" s="4">
        <v>40900</v>
      </c>
      <c r="M919" s="4">
        <v>64420</v>
      </c>
      <c r="N919" s="11">
        <f t="shared" si="42"/>
        <v>1.5750611246943764</v>
      </c>
      <c r="O919">
        <v>678</v>
      </c>
      <c r="P919" t="str">
        <f t="shared" si="44"/>
        <v>Good</v>
      </c>
      <c r="Q919">
        <v>3</v>
      </c>
    </row>
    <row r="920" spans="1:17" x14ac:dyDescent="0.3">
      <c r="A920">
        <v>918</v>
      </c>
      <c r="B920">
        <v>43</v>
      </c>
      <c r="C920">
        <v>75</v>
      </c>
      <c r="D920">
        <v>1976</v>
      </c>
      <c r="E920">
        <v>5</v>
      </c>
      <c r="F920" t="str">
        <f t="shared" si="43"/>
        <v>36-50</v>
      </c>
      <c r="G920" t="s">
        <v>14</v>
      </c>
      <c r="H920" t="s">
        <v>223</v>
      </c>
      <c r="I920">
        <v>40.32</v>
      </c>
      <c r="J920">
        <v>-80.209999999999994</v>
      </c>
      <c r="K920" t="s">
        <v>224</v>
      </c>
      <c r="L920" s="4">
        <v>29194</v>
      </c>
      <c r="M920" s="4">
        <v>10895</v>
      </c>
      <c r="N920" s="11">
        <f t="shared" si="42"/>
        <v>0.37319312187435777</v>
      </c>
      <c r="O920">
        <v>703</v>
      </c>
      <c r="P920" t="str">
        <f t="shared" si="44"/>
        <v>Good</v>
      </c>
      <c r="Q920">
        <v>2</v>
      </c>
    </row>
    <row r="921" spans="1:17" x14ac:dyDescent="0.3">
      <c r="A921">
        <v>919</v>
      </c>
      <c r="B921">
        <v>54</v>
      </c>
      <c r="C921">
        <v>62</v>
      </c>
      <c r="D921">
        <v>1965</v>
      </c>
      <c r="E921">
        <v>3</v>
      </c>
      <c r="F921" t="str">
        <f t="shared" si="43"/>
        <v>51-60</v>
      </c>
      <c r="G921" t="s">
        <v>14</v>
      </c>
      <c r="H921" t="s">
        <v>1935</v>
      </c>
      <c r="I921">
        <v>38.81</v>
      </c>
      <c r="J921">
        <v>-76.75</v>
      </c>
      <c r="K921" t="s">
        <v>975</v>
      </c>
      <c r="L921" s="4">
        <v>67890</v>
      </c>
      <c r="M921" s="4">
        <v>112564</v>
      </c>
      <c r="N921" s="11">
        <f t="shared" si="42"/>
        <v>1.6580350567093829</v>
      </c>
      <c r="O921">
        <v>698</v>
      </c>
      <c r="P921" t="str">
        <f t="shared" si="44"/>
        <v>Good</v>
      </c>
      <c r="Q921">
        <v>2</v>
      </c>
    </row>
    <row r="922" spans="1:17" x14ac:dyDescent="0.3">
      <c r="A922">
        <v>920</v>
      </c>
      <c r="B922">
        <v>41</v>
      </c>
      <c r="C922">
        <v>68</v>
      </c>
      <c r="D922">
        <v>1978</v>
      </c>
      <c r="E922">
        <v>11</v>
      </c>
      <c r="F922" t="str">
        <f t="shared" si="43"/>
        <v>36-50</v>
      </c>
      <c r="G922" t="s">
        <v>14</v>
      </c>
      <c r="H922" t="s">
        <v>979</v>
      </c>
      <c r="I922">
        <v>35.11</v>
      </c>
      <c r="J922">
        <v>-106.62</v>
      </c>
      <c r="K922" t="s">
        <v>980</v>
      </c>
      <c r="L922" s="4">
        <v>28704</v>
      </c>
      <c r="M922" s="4">
        <v>103891</v>
      </c>
      <c r="N922" s="11">
        <f t="shared" si="42"/>
        <v>3.6193910256410255</v>
      </c>
      <c r="O922">
        <v>700</v>
      </c>
      <c r="P922" t="str">
        <f t="shared" si="44"/>
        <v>Good</v>
      </c>
      <c r="Q922">
        <v>2</v>
      </c>
    </row>
    <row r="923" spans="1:17" x14ac:dyDescent="0.3">
      <c r="A923">
        <v>921</v>
      </c>
      <c r="B923">
        <v>74</v>
      </c>
      <c r="C923">
        <v>66</v>
      </c>
      <c r="D923">
        <v>1945</v>
      </c>
      <c r="E923">
        <v>5</v>
      </c>
      <c r="F923" t="str">
        <f t="shared" si="43"/>
        <v>65+</v>
      </c>
      <c r="G923" t="s">
        <v>19</v>
      </c>
      <c r="H923" t="s">
        <v>1599</v>
      </c>
      <c r="I923">
        <v>42.98</v>
      </c>
      <c r="J923">
        <v>-77.67</v>
      </c>
      <c r="K923" t="s">
        <v>1600</v>
      </c>
      <c r="L923" s="4">
        <v>54013</v>
      </c>
      <c r="M923" s="4">
        <v>3628</v>
      </c>
      <c r="N923" s="11">
        <f t="shared" si="42"/>
        <v>6.7169014866791332E-2</v>
      </c>
      <c r="O923">
        <v>779</v>
      </c>
      <c r="P923" t="str">
        <f t="shared" si="44"/>
        <v>Very Good</v>
      </c>
      <c r="Q923">
        <v>8</v>
      </c>
    </row>
    <row r="924" spans="1:17" x14ac:dyDescent="0.3">
      <c r="A924">
        <v>922</v>
      </c>
      <c r="B924">
        <v>18</v>
      </c>
      <c r="C924">
        <v>64</v>
      </c>
      <c r="D924">
        <v>2001</v>
      </c>
      <c r="E924">
        <v>4</v>
      </c>
      <c r="F924" t="str">
        <f t="shared" si="43"/>
        <v>18-25</v>
      </c>
      <c r="G924" t="s">
        <v>19</v>
      </c>
      <c r="H924" t="s">
        <v>648</v>
      </c>
      <c r="I924">
        <v>26.89</v>
      </c>
      <c r="J924">
        <v>-82.05</v>
      </c>
      <c r="K924" t="s">
        <v>649</v>
      </c>
      <c r="L924" s="4">
        <v>29265</v>
      </c>
      <c r="M924" s="4">
        <v>37375</v>
      </c>
      <c r="N924" s="11">
        <f t="shared" si="42"/>
        <v>1.2771228429865027</v>
      </c>
      <c r="O924">
        <v>647</v>
      </c>
      <c r="P924" t="str">
        <f t="shared" si="44"/>
        <v>Fair</v>
      </c>
      <c r="Q924">
        <v>1</v>
      </c>
    </row>
    <row r="925" spans="1:17" x14ac:dyDescent="0.3">
      <c r="A925">
        <v>923</v>
      </c>
      <c r="B925">
        <v>18</v>
      </c>
      <c r="C925">
        <v>70</v>
      </c>
      <c r="D925">
        <v>2002</v>
      </c>
      <c r="E925">
        <v>1</v>
      </c>
      <c r="F925" t="str">
        <f t="shared" si="43"/>
        <v>18-25</v>
      </c>
      <c r="G925" t="s">
        <v>14</v>
      </c>
      <c r="H925" t="s">
        <v>1370</v>
      </c>
      <c r="I925">
        <v>42.68</v>
      </c>
      <c r="J925">
        <v>-82.73</v>
      </c>
      <c r="K925" t="s">
        <v>1371</v>
      </c>
      <c r="L925" s="4">
        <v>47501</v>
      </c>
      <c r="M925" s="4">
        <v>81625</v>
      </c>
      <c r="N925" s="11">
        <f t="shared" si="42"/>
        <v>1.7183848761078715</v>
      </c>
      <c r="O925">
        <v>735</v>
      </c>
      <c r="P925" t="str">
        <f t="shared" si="44"/>
        <v>Good</v>
      </c>
      <c r="Q925">
        <v>2</v>
      </c>
    </row>
    <row r="926" spans="1:17" x14ac:dyDescent="0.3">
      <c r="A926">
        <v>924</v>
      </c>
      <c r="B926">
        <v>48</v>
      </c>
      <c r="C926">
        <v>75</v>
      </c>
      <c r="D926">
        <v>1972</v>
      </c>
      <c r="E926">
        <v>1</v>
      </c>
      <c r="F926" t="str">
        <f t="shared" si="43"/>
        <v>36-50</v>
      </c>
      <c r="G926" t="s">
        <v>14</v>
      </c>
      <c r="H926" t="s">
        <v>1626</v>
      </c>
      <c r="I926">
        <v>40.06</v>
      </c>
      <c r="J926">
        <v>-85.84</v>
      </c>
      <c r="K926" t="s">
        <v>1627</v>
      </c>
      <c r="L926" s="4">
        <v>40392</v>
      </c>
      <c r="M926" s="4">
        <v>52417</v>
      </c>
      <c r="N926" s="11">
        <f t="shared" si="42"/>
        <v>1.2977074668251138</v>
      </c>
      <c r="O926">
        <v>645</v>
      </c>
      <c r="P926" t="str">
        <f t="shared" si="44"/>
        <v>Fair</v>
      </c>
      <c r="Q926">
        <v>1</v>
      </c>
    </row>
    <row r="927" spans="1:17" x14ac:dyDescent="0.3">
      <c r="A927">
        <v>925</v>
      </c>
      <c r="B927">
        <v>31</v>
      </c>
      <c r="C927">
        <v>68</v>
      </c>
      <c r="D927">
        <v>1988</v>
      </c>
      <c r="E927">
        <v>3</v>
      </c>
      <c r="F927" t="str">
        <f t="shared" si="43"/>
        <v>26-35</v>
      </c>
      <c r="G927" t="s">
        <v>19</v>
      </c>
      <c r="H927" t="s">
        <v>236</v>
      </c>
      <c r="I927">
        <v>38.76</v>
      </c>
      <c r="J927">
        <v>-89.97</v>
      </c>
      <c r="K927" t="s">
        <v>237</v>
      </c>
      <c r="L927" s="4">
        <v>58538</v>
      </c>
      <c r="M927" s="4">
        <v>93153</v>
      </c>
      <c r="N927" s="11">
        <f t="shared" si="42"/>
        <v>1.5913252929720865</v>
      </c>
      <c r="O927">
        <v>610</v>
      </c>
      <c r="P927" t="str">
        <f t="shared" si="44"/>
        <v>Fair</v>
      </c>
      <c r="Q927">
        <v>1</v>
      </c>
    </row>
    <row r="928" spans="1:17" x14ac:dyDescent="0.3">
      <c r="A928">
        <v>926</v>
      </c>
      <c r="B928">
        <v>20</v>
      </c>
      <c r="C928">
        <v>60</v>
      </c>
      <c r="D928">
        <v>1999</v>
      </c>
      <c r="E928">
        <v>11</v>
      </c>
      <c r="F928" t="str">
        <f t="shared" si="43"/>
        <v>18-25</v>
      </c>
      <c r="G928" t="s">
        <v>14</v>
      </c>
      <c r="H928" t="s">
        <v>851</v>
      </c>
      <c r="I928">
        <v>41.14</v>
      </c>
      <c r="J928">
        <v>-81.36</v>
      </c>
      <c r="K928" t="s">
        <v>852</v>
      </c>
      <c r="L928" s="4">
        <v>41403</v>
      </c>
      <c r="M928" s="4">
        <v>206131</v>
      </c>
      <c r="N928" s="11">
        <f t="shared" si="42"/>
        <v>4.9786488901770403</v>
      </c>
      <c r="O928">
        <v>776</v>
      </c>
      <c r="P928" t="str">
        <f t="shared" si="44"/>
        <v>Very Good</v>
      </c>
      <c r="Q928">
        <v>1</v>
      </c>
    </row>
    <row r="929" spans="1:17" x14ac:dyDescent="0.3">
      <c r="A929">
        <v>927</v>
      </c>
      <c r="B929">
        <v>37</v>
      </c>
      <c r="C929">
        <v>68</v>
      </c>
      <c r="D929">
        <v>1982</v>
      </c>
      <c r="E929">
        <v>6</v>
      </c>
      <c r="F929" t="str">
        <f t="shared" si="43"/>
        <v>36-50</v>
      </c>
      <c r="G929" t="s">
        <v>19</v>
      </c>
      <c r="H929" t="s">
        <v>704</v>
      </c>
      <c r="I929">
        <v>42.48</v>
      </c>
      <c r="J929">
        <v>-71.150000000000006</v>
      </c>
      <c r="K929" t="s">
        <v>705</v>
      </c>
      <c r="L929" s="4">
        <v>59375</v>
      </c>
      <c r="M929" s="4">
        <v>0</v>
      </c>
      <c r="N929" s="11">
        <f t="shared" si="42"/>
        <v>0</v>
      </c>
      <c r="O929">
        <v>729</v>
      </c>
      <c r="P929" t="str">
        <f t="shared" si="44"/>
        <v>Good</v>
      </c>
      <c r="Q929">
        <v>2</v>
      </c>
    </row>
    <row r="930" spans="1:17" x14ac:dyDescent="0.3">
      <c r="A930">
        <v>928</v>
      </c>
      <c r="B930">
        <v>59</v>
      </c>
      <c r="C930">
        <v>66</v>
      </c>
      <c r="D930">
        <v>1960</v>
      </c>
      <c r="E930">
        <v>12</v>
      </c>
      <c r="F930" t="str">
        <f t="shared" si="43"/>
        <v>51-60</v>
      </c>
      <c r="G930" t="s">
        <v>14</v>
      </c>
      <c r="H930" t="s">
        <v>1860</v>
      </c>
      <c r="I930">
        <v>29.76</v>
      </c>
      <c r="J930">
        <v>-95.38</v>
      </c>
      <c r="K930" t="s">
        <v>1091</v>
      </c>
      <c r="L930" s="4">
        <v>32347</v>
      </c>
      <c r="M930" s="4">
        <v>82667</v>
      </c>
      <c r="N930" s="11">
        <f t="shared" si="42"/>
        <v>2.5556311249884072</v>
      </c>
      <c r="O930">
        <v>784</v>
      </c>
      <c r="P930" t="str">
        <f t="shared" si="44"/>
        <v>Very Good</v>
      </c>
      <c r="Q930">
        <v>7</v>
      </c>
    </row>
    <row r="931" spans="1:17" x14ac:dyDescent="0.3">
      <c r="A931">
        <v>929</v>
      </c>
      <c r="B931">
        <v>63</v>
      </c>
      <c r="C931">
        <v>62</v>
      </c>
      <c r="D931">
        <v>1956</v>
      </c>
      <c r="E931">
        <v>4</v>
      </c>
      <c r="F931" t="str">
        <f t="shared" si="43"/>
        <v>51-60</v>
      </c>
      <c r="G931" t="s">
        <v>14</v>
      </c>
      <c r="H931" t="s">
        <v>1488</v>
      </c>
      <c r="I931">
        <v>40.15</v>
      </c>
      <c r="J931">
        <v>-75.22</v>
      </c>
      <c r="K931" t="s">
        <v>1489</v>
      </c>
      <c r="L931" s="4">
        <v>56102</v>
      </c>
      <c r="M931" s="4">
        <v>59198</v>
      </c>
      <c r="N931" s="11">
        <f t="shared" si="42"/>
        <v>1.0551851983886493</v>
      </c>
      <c r="O931">
        <v>850</v>
      </c>
      <c r="P931" t="str">
        <f t="shared" si="44"/>
        <v>Excellent</v>
      </c>
      <c r="Q931">
        <v>1</v>
      </c>
    </row>
    <row r="932" spans="1:17" x14ac:dyDescent="0.3">
      <c r="A932">
        <v>930</v>
      </c>
      <c r="B932">
        <v>22</v>
      </c>
      <c r="C932">
        <v>65</v>
      </c>
      <c r="D932">
        <v>1998</v>
      </c>
      <c r="E932">
        <v>1</v>
      </c>
      <c r="F932" t="str">
        <f t="shared" si="43"/>
        <v>18-25</v>
      </c>
      <c r="G932" t="s">
        <v>19</v>
      </c>
      <c r="H932" t="s">
        <v>250</v>
      </c>
      <c r="I932">
        <v>32.75</v>
      </c>
      <c r="J932">
        <v>-97.33</v>
      </c>
      <c r="K932" t="s">
        <v>251</v>
      </c>
      <c r="L932" s="4">
        <v>25024</v>
      </c>
      <c r="M932" s="4">
        <v>29227</v>
      </c>
      <c r="N932" s="11">
        <f t="shared" si="42"/>
        <v>1.1679587595907928</v>
      </c>
      <c r="O932">
        <v>691</v>
      </c>
      <c r="P932" t="str">
        <f t="shared" si="44"/>
        <v>Good</v>
      </c>
      <c r="Q932">
        <v>2</v>
      </c>
    </row>
    <row r="933" spans="1:17" x14ac:dyDescent="0.3">
      <c r="A933">
        <v>931</v>
      </c>
      <c r="B933">
        <v>34</v>
      </c>
      <c r="C933">
        <v>73</v>
      </c>
      <c r="D933">
        <v>1985</v>
      </c>
      <c r="E933">
        <v>12</v>
      </c>
      <c r="F933" t="str">
        <f t="shared" si="43"/>
        <v>26-35</v>
      </c>
      <c r="G933" t="s">
        <v>19</v>
      </c>
      <c r="H933" t="s">
        <v>1362</v>
      </c>
      <c r="I933">
        <v>35.1</v>
      </c>
      <c r="J933">
        <v>-90</v>
      </c>
      <c r="K933" t="s">
        <v>1363</v>
      </c>
      <c r="L933" s="4">
        <v>69270</v>
      </c>
      <c r="M933" s="4">
        <v>97114</v>
      </c>
      <c r="N933" s="11">
        <f t="shared" si="42"/>
        <v>1.4019633318897069</v>
      </c>
      <c r="O933">
        <v>540</v>
      </c>
      <c r="P933" t="str">
        <f t="shared" si="44"/>
        <v>Poor</v>
      </c>
      <c r="Q933">
        <v>1</v>
      </c>
    </row>
    <row r="934" spans="1:17" x14ac:dyDescent="0.3">
      <c r="A934">
        <v>932</v>
      </c>
      <c r="B934">
        <v>67</v>
      </c>
      <c r="C934">
        <v>69</v>
      </c>
      <c r="D934">
        <v>1953</v>
      </c>
      <c r="E934">
        <v>2</v>
      </c>
      <c r="F934" t="str">
        <f t="shared" si="43"/>
        <v>65+</v>
      </c>
      <c r="G934" t="s">
        <v>19</v>
      </c>
      <c r="H934" t="s">
        <v>1975</v>
      </c>
      <c r="I934">
        <v>32.36</v>
      </c>
      <c r="J934">
        <v>-92.97</v>
      </c>
      <c r="K934" t="s">
        <v>1976</v>
      </c>
      <c r="L934" s="4">
        <v>34172</v>
      </c>
      <c r="M934" s="4">
        <v>71366</v>
      </c>
      <c r="N934" s="11">
        <f t="shared" si="42"/>
        <v>2.0884349760037457</v>
      </c>
      <c r="O934">
        <v>811</v>
      </c>
      <c r="P934" t="str">
        <f t="shared" si="44"/>
        <v>Excellent</v>
      </c>
      <c r="Q934">
        <v>6</v>
      </c>
    </row>
    <row r="935" spans="1:17" x14ac:dyDescent="0.3">
      <c r="A935">
        <v>933</v>
      </c>
      <c r="B935">
        <v>50</v>
      </c>
      <c r="C935">
        <v>69</v>
      </c>
      <c r="D935">
        <v>1969</v>
      </c>
      <c r="E935">
        <v>5</v>
      </c>
      <c r="F935" t="str">
        <f t="shared" si="43"/>
        <v>36-50</v>
      </c>
      <c r="G935" t="s">
        <v>19</v>
      </c>
      <c r="H935" t="s">
        <v>1411</v>
      </c>
      <c r="I935">
        <v>36.36</v>
      </c>
      <c r="J935">
        <v>-96.03</v>
      </c>
      <c r="K935" t="s">
        <v>1412</v>
      </c>
      <c r="L935" s="4">
        <v>43290</v>
      </c>
      <c r="M935" s="4">
        <v>90238</v>
      </c>
      <c r="N935" s="11">
        <f t="shared" si="42"/>
        <v>2.0844998844998845</v>
      </c>
      <c r="O935">
        <v>690</v>
      </c>
      <c r="P935" t="str">
        <f t="shared" si="44"/>
        <v>Good</v>
      </c>
      <c r="Q935">
        <v>4</v>
      </c>
    </row>
    <row r="936" spans="1:17" x14ac:dyDescent="0.3">
      <c r="A936">
        <v>934</v>
      </c>
      <c r="B936">
        <v>32</v>
      </c>
      <c r="C936">
        <v>63</v>
      </c>
      <c r="D936">
        <v>1987</v>
      </c>
      <c r="E936">
        <v>12</v>
      </c>
      <c r="F936" t="str">
        <f t="shared" si="43"/>
        <v>26-35</v>
      </c>
      <c r="G936" t="s">
        <v>14</v>
      </c>
      <c r="H936" t="s">
        <v>295</v>
      </c>
      <c r="I936">
        <v>42.38</v>
      </c>
      <c r="J936">
        <v>-76.39</v>
      </c>
      <c r="K936" t="s">
        <v>296</v>
      </c>
      <c r="L936" s="4">
        <v>41106</v>
      </c>
      <c r="M936" s="4">
        <v>106963</v>
      </c>
      <c r="N936" s="11">
        <f t="shared" si="42"/>
        <v>2.6021262102856029</v>
      </c>
      <c r="O936">
        <v>762</v>
      </c>
      <c r="P936" t="str">
        <f t="shared" si="44"/>
        <v>Very Good</v>
      </c>
      <c r="Q936">
        <v>3</v>
      </c>
    </row>
    <row r="937" spans="1:17" x14ac:dyDescent="0.3">
      <c r="A937">
        <v>935</v>
      </c>
      <c r="B937">
        <v>18</v>
      </c>
      <c r="C937">
        <v>71</v>
      </c>
      <c r="D937">
        <v>2002</v>
      </c>
      <c r="E937">
        <v>1</v>
      </c>
      <c r="F937" t="str">
        <f t="shared" si="43"/>
        <v>18-25</v>
      </c>
      <c r="G937" t="s">
        <v>14</v>
      </c>
      <c r="H937" t="s">
        <v>1517</v>
      </c>
      <c r="I937">
        <v>31.5</v>
      </c>
      <c r="J937">
        <v>-82.85</v>
      </c>
      <c r="K937" t="s">
        <v>1518</v>
      </c>
      <c r="L937" s="4">
        <v>32014</v>
      </c>
      <c r="M937" s="4">
        <v>61420</v>
      </c>
      <c r="N937" s="11">
        <f t="shared" si="42"/>
        <v>1.9185356406572125</v>
      </c>
      <c r="O937">
        <v>728</v>
      </c>
      <c r="P937" t="str">
        <f t="shared" si="44"/>
        <v>Good</v>
      </c>
      <c r="Q937">
        <v>3</v>
      </c>
    </row>
    <row r="938" spans="1:17" x14ac:dyDescent="0.3">
      <c r="A938">
        <v>936</v>
      </c>
      <c r="B938">
        <v>18</v>
      </c>
      <c r="C938">
        <v>67</v>
      </c>
      <c r="D938">
        <v>2001</v>
      </c>
      <c r="E938">
        <v>6</v>
      </c>
      <c r="F938" t="str">
        <f t="shared" si="43"/>
        <v>18-25</v>
      </c>
      <c r="G938" t="s">
        <v>14</v>
      </c>
      <c r="H938" t="s">
        <v>401</v>
      </c>
      <c r="I938">
        <v>35.15</v>
      </c>
      <c r="J938">
        <v>-119.06</v>
      </c>
      <c r="K938" t="s">
        <v>402</v>
      </c>
      <c r="L938" s="4">
        <v>41717</v>
      </c>
      <c r="M938" s="4">
        <v>27174</v>
      </c>
      <c r="N938" s="11">
        <f t="shared" si="42"/>
        <v>0.65138912194069565</v>
      </c>
      <c r="O938">
        <v>718</v>
      </c>
      <c r="P938" t="str">
        <f t="shared" si="44"/>
        <v>Good</v>
      </c>
      <c r="Q938">
        <v>5</v>
      </c>
    </row>
    <row r="939" spans="1:17" x14ac:dyDescent="0.3">
      <c r="A939">
        <v>937</v>
      </c>
      <c r="B939">
        <v>47</v>
      </c>
      <c r="C939">
        <v>63</v>
      </c>
      <c r="D939">
        <v>1973</v>
      </c>
      <c r="E939">
        <v>1</v>
      </c>
      <c r="F939" t="str">
        <f t="shared" si="43"/>
        <v>36-50</v>
      </c>
      <c r="G939" t="s">
        <v>14</v>
      </c>
      <c r="H939" t="s">
        <v>337</v>
      </c>
      <c r="I939">
        <v>41.01</v>
      </c>
      <c r="J939">
        <v>-73.84</v>
      </c>
      <c r="K939" t="s">
        <v>338</v>
      </c>
      <c r="L939" s="4">
        <v>94133</v>
      </c>
      <c r="M939" s="4">
        <v>189899</v>
      </c>
      <c r="N939" s="11">
        <f t="shared" si="42"/>
        <v>2.0173477951409176</v>
      </c>
      <c r="O939">
        <v>603</v>
      </c>
      <c r="P939" t="str">
        <f t="shared" si="44"/>
        <v>Fair</v>
      </c>
      <c r="Q939">
        <v>1</v>
      </c>
    </row>
    <row r="940" spans="1:17" x14ac:dyDescent="0.3">
      <c r="A940">
        <v>938</v>
      </c>
      <c r="B940">
        <v>28</v>
      </c>
      <c r="C940">
        <v>73</v>
      </c>
      <c r="D940">
        <v>1991</v>
      </c>
      <c r="E940">
        <v>7</v>
      </c>
      <c r="F940" t="str">
        <f t="shared" si="43"/>
        <v>26-35</v>
      </c>
      <c r="G940" t="s">
        <v>14</v>
      </c>
      <c r="H940" t="s">
        <v>1413</v>
      </c>
      <c r="I940">
        <v>38.97</v>
      </c>
      <c r="J940">
        <v>-94.95</v>
      </c>
      <c r="K940" t="s">
        <v>1414</v>
      </c>
      <c r="L940" s="4">
        <v>50934</v>
      </c>
      <c r="M940" s="4">
        <v>54406</v>
      </c>
      <c r="N940" s="11">
        <f t="shared" si="42"/>
        <v>1.0681666470334157</v>
      </c>
      <c r="O940">
        <v>720</v>
      </c>
      <c r="P940" t="str">
        <f t="shared" si="44"/>
        <v>Good</v>
      </c>
      <c r="Q940">
        <v>3</v>
      </c>
    </row>
    <row r="941" spans="1:17" x14ac:dyDescent="0.3">
      <c r="A941">
        <v>939</v>
      </c>
      <c r="B941">
        <v>80</v>
      </c>
      <c r="C941">
        <v>59</v>
      </c>
      <c r="D941">
        <v>1939</v>
      </c>
      <c r="E941">
        <v>10</v>
      </c>
      <c r="F941" t="str">
        <f t="shared" si="43"/>
        <v>65+</v>
      </c>
      <c r="G941" t="s">
        <v>14</v>
      </c>
      <c r="H941" t="s">
        <v>1342</v>
      </c>
      <c r="I941">
        <v>40.04</v>
      </c>
      <c r="J941">
        <v>-76.3</v>
      </c>
      <c r="K941" t="s">
        <v>1343</v>
      </c>
      <c r="L941" s="4">
        <v>34819</v>
      </c>
      <c r="M941" s="4">
        <v>2971</v>
      </c>
      <c r="N941" s="11">
        <f t="shared" si="42"/>
        <v>8.5326976650679232E-2</v>
      </c>
      <c r="O941">
        <v>696</v>
      </c>
      <c r="P941" t="str">
        <f t="shared" si="44"/>
        <v>Good</v>
      </c>
      <c r="Q941">
        <v>2</v>
      </c>
    </row>
    <row r="942" spans="1:17" x14ac:dyDescent="0.3">
      <c r="A942">
        <v>940</v>
      </c>
      <c r="B942">
        <v>49</v>
      </c>
      <c r="C942">
        <v>61</v>
      </c>
      <c r="D942">
        <v>1970</v>
      </c>
      <c r="E942">
        <v>6</v>
      </c>
      <c r="F942" t="str">
        <f t="shared" si="43"/>
        <v>36-50</v>
      </c>
      <c r="G942" t="s">
        <v>14</v>
      </c>
      <c r="H942" t="s">
        <v>964</v>
      </c>
      <c r="I942">
        <v>25.77</v>
      </c>
      <c r="J942">
        <v>-80.2</v>
      </c>
      <c r="K942" t="s">
        <v>965</v>
      </c>
      <c r="L942" s="4">
        <v>41800</v>
      </c>
      <c r="M942" s="4">
        <v>67836</v>
      </c>
      <c r="N942" s="11">
        <f t="shared" si="42"/>
        <v>1.6228708133971292</v>
      </c>
      <c r="O942">
        <v>699</v>
      </c>
      <c r="P942" t="str">
        <f t="shared" si="44"/>
        <v>Good</v>
      </c>
      <c r="Q942">
        <v>6</v>
      </c>
    </row>
    <row r="943" spans="1:17" x14ac:dyDescent="0.3">
      <c r="A943">
        <v>941</v>
      </c>
      <c r="B943">
        <v>56</v>
      </c>
      <c r="C943">
        <v>72</v>
      </c>
      <c r="D943">
        <v>1963</v>
      </c>
      <c r="E943">
        <v>6</v>
      </c>
      <c r="F943" t="str">
        <f t="shared" si="43"/>
        <v>51-60</v>
      </c>
      <c r="G943" t="s">
        <v>14</v>
      </c>
      <c r="H943" t="s">
        <v>896</v>
      </c>
      <c r="I943">
        <v>43.34</v>
      </c>
      <c r="J943">
        <v>-73.67</v>
      </c>
      <c r="K943" t="s">
        <v>897</v>
      </c>
      <c r="L943" s="4">
        <v>45416</v>
      </c>
      <c r="M943" s="4">
        <v>82611</v>
      </c>
      <c r="N943" s="11">
        <f t="shared" si="42"/>
        <v>1.818984498855029</v>
      </c>
      <c r="O943">
        <v>713</v>
      </c>
      <c r="P943" t="str">
        <f t="shared" si="44"/>
        <v>Good</v>
      </c>
      <c r="Q943">
        <v>1</v>
      </c>
    </row>
    <row r="944" spans="1:17" x14ac:dyDescent="0.3">
      <c r="A944">
        <v>942</v>
      </c>
      <c r="B944">
        <v>37</v>
      </c>
      <c r="C944">
        <v>65</v>
      </c>
      <c r="D944">
        <v>1982</v>
      </c>
      <c r="E944">
        <v>7</v>
      </c>
      <c r="F944" t="str">
        <f t="shared" si="43"/>
        <v>36-50</v>
      </c>
      <c r="G944" t="s">
        <v>19</v>
      </c>
      <c r="H944" t="s">
        <v>510</v>
      </c>
      <c r="I944">
        <v>30.3</v>
      </c>
      <c r="J944">
        <v>-90.97</v>
      </c>
      <c r="K944" t="s">
        <v>511</v>
      </c>
      <c r="L944" s="4">
        <v>59139</v>
      </c>
      <c r="M944" s="4">
        <v>128870</v>
      </c>
      <c r="N944" s="11">
        <f t="shared" si="42"/>
        <v>2.1791034681005765</v>
      </c>
      <c r="O944">
        <v>742</v>
      </c>
      <c r="P944" t="str">
        <f t="shared" si="44"/>
        <v>Very Good</v>
      </c>
      <c r="Q944">
        <v>4</v>
      </c>
    </row>
    <row r="945" spans="1:17" x14ac:dyDescent="0.3">
      <c r="A945">
        <v>943</v>
      </c>
      <c r="B945">
        <v>64</v>
      </c>
      <c r="C945">
        <v>61</v>
      </c>
      <c r="D945">
        <v>1955</v>
      </c>
      <c r="E945">
        <v>4</v>
      </c>
      <c r="F945" t="str">
        <f t="shared" si="43"/>
        <v>51-60</v>
      </c>
      <c r="G945" t="s">
        <v>19</v>
      </c>
      <c r="H945" t="s">
        <v>1204</v>
      </c>
      <c r="I945">
        <v>40.200000000000003</v>
      </c>
      <c r="J945">
        <v>-74.78</v>
      </c>
      <c r="K945" t="s">
        <v>857</v>
      </c>
      <c r="L945" s="4">
        <v>87317</v>
      </c>
      <c r="M945" s="4">
        <v>41998</v>
      </c>
      <c r="N945" s="11">
        <f t="shared" si="42"/>
        <v>0.48098308462269662</v>
      </c>
      <c r="O945">
        <v>773</v>
      </c>
      <c r="P945" t="str">
        <f t="shared" si="44"/>
        <v>Very Good</v>
      </c>
      <c r="Q945">
        <v>1</v>
      </c>
    </row>
    <row r="946" spans="1:17" x14ac:dyDescent="0.3">
      <c r="A946">
        <v>944</v>
      </c>
      <c r="B946">
        <v>58</v>
      </c>
      <c r="C946">
        <v>71</v>
      </c>
      <c r="D946">
        <v>1961</v>
      </c>
      <c r="E946">
        <v>10</v>
      </c>
      <c r="F946" t="str">
        <f t="shared" si="43"/>
        <v>51-60</v>
      </c>
      <c r="G946" t="s">
        <v>19</v>
      </c>
      <c r="H946" t="s">
        <v>1256</v>
      </c>
      <c r="I946">
        <v>33.770000000000003</v>
      </c>
      <c r="J946">
        <v>-118.34</v>
      </c>
      <c r="K946" t="s">
        <v>1257</v>
      </c>
      <c r="L946" s="4">
        <v>119308</v>
      </c>
      <c r="M946" s="4">
        <v>89328</v>
      </c>
      <c r="N946" s="11">
        <f t="shared" si="42"/>
        <v>0.74871760485466188</v>
      </c>
      <c r="O946">
        <v>789</v>
      </c>
      <c r="P946" t="str">
        <f t="shared" si="44"/>
        <v>Very Good</v>
      </c>
      <c r="Q946">
        <v>6</v>
      </c>
    </row>
    <row r="947" spans="1:17" x14ac:dyDescent="0.3">
      <c r="A947">
        <v>945</v>
      </c>
      <c r="B947">
        <v>19</v>
      </c>
      <c r="C947">
        <v>66</v>
      </c>
      <c r="D947">
        <v>2001</v>
      </c>
      <c r="E947">
        <v>2</v>
      </c>
      <c r="F947" t="str">
        <f t="shared" si="43"/>
        <v>18-25</v>
      </c>
      <c r="G947" t="s">
        <v>19</v>
      </c>
      <c r="H947" t="s">
        <v>306</v>
      </c>
      <c r="I947">
        <v>32.79</v>
      </c>
      <c r="J947">
        <v>-117.25</v>
      </c>
      <c r="K947" t="s">
        <v>307</v>
      </c>
      <c r="L947" s="4">
        <v>56579</v>
      </c>
      <c r="M947" s="4">
        <v>79726</v>
      </c>
      <c r="N947" s="11">
        <f t="shared" si="42"/>
        <v>1.4091093868749889</v>
      </c>
      <c r="O947">
        <v>705</v>
      </c>
      <c r="P947" t="str">
        <f t="shared" si="44"/>
        <v>Good</v>
      </c>
      <c r="Q947">
        <v>2</v>
      </c>
    </row>
    <row r="948" spans="1:17" x14ac:dyDescent="0.3">
      <c r="A948">
        <v>946</v>
      </c>
      <c r="B948">
        <v>48</v>
      </c>
      <c r="C948">
        <v>66</v>
      </c>
      <c r="D948">
        <v>1971</v>
      </c>
      <c r="E948">
        <v>5</v>
      </c>
      <c r="F948" t="str">
        <f t="shared" si="43"/>
        <v>36-50</v>
      </c>
      <c r="G948" t="s">
        <v>19</v>
      </c>
      <c r="H948" t="s">
        <v>529</v>
      </c>
      <c r="I948">
        <v>40.31</v>
      </c>
      <c r="J948">
        <v>-79.38</v>
      </c>
      <c r="K948" t="s">
        <v>530</v>
      </c>
      <c r="L948" s="4">
        <v>39733</v>
      </c>
      <c r="M948" s="4">
        <v>79302</v>
      </c>
      <c r="N948" s="11">
        <f t="shared" si="42"/>
        <v>1.9958724485943673</v>
      </c>
      <c r="O948">
        <v>781</v>
      </c>
      <c r="P948" t="str">
        <f t="shared" si="44"/>
        <v>Very Good</v>
      </c>
      <c r="Q948">
        <v>4</v>
      </c>
    </row>
    <row r="949" spans="1:17" x14ac:dyDescent="0.3">
      <c r="A949">
        <v>947</v>
      </c>
      <c r="B949">
        <v>63</v>
      </c>
      <c r="C949">
        <v>71</v>
      </c>
      <c r="D949">
        <v>1956</v>
      </c>
      <c r="E949">
        <v>9</v>
      </c>
      <c r="F949" t="str">
        <f t="shared" si="43"/>
        <v>51-60</v>
      </c>
      <c r="G949" t="s">
        <v>19</v>
      </c>
      <c r="H949" t="s">
        <v>1344</v>
      </c>
      <c r="I949">
        <v>40.64</v>
      </c>
      <c r="J949">
        <v>-73.94</v>
      </c>
      <c r="K949" t="s">
        <v>1272</v>
      </c>
      <c r="L949" s="4">
        <v>34637</v>
      </c>
      <c r="M949" s="4">
        <v>12623</v>
      </c>
      <c r="N949" s="11">
        <f t="shared" si="42"/>
        <v>0.36443687386320989</v>
      </c>
      <c r="O949">
        <v>710</v>
      </c>
      <c r="P949" t="str">
        <f t="shared" si="44"/>
        <v>Good</v>
      </c>
      <c r="Q949">
        <v>4</v>
      </c>
    </row>
    <row r="950" spans="1:17" x14ac:dyDescent="0.3">
      <c r="A950">
        <v>948</v>
      </c>
      <c r="B950">
        <v>53</v>
      </c>
      <c r="C950">
        <v>65</v>
      </c>
      <c r="D950">
        <v>1966</v>
      </c>
      <c r="E950">
        <v>12</v>
      </c>
      <c r="F950" t="str">
        <f t="shared" si="43"/>
        <v>51-60</v>
      </c>
      <c r="G950" t="s">
        <v>14</v>
      </c>
      <c r="H950" t="s">
        <v>1727</v>
      </c>
      <c r="I950">
        <v>26.74</v>
      </c>
      <c r="J950">
        <v>-80.12</v>
      </c>
      <c r="K950" t="s">
        <v>1728</v>
      </c>
      <c r="L950" s="4">
        <v>37119</v>
      </c>
      <c r="M950" s="4">
        <v>55010</v>
      </c>
      <c r="N950" s="11">
        <f t="shared" si="42"/>
        <v>1.4819903553436247</v>
      </c>
      <c r="O950">
        <v>718</v>
      </c>
      <c r="P950" t="str">
        <f t="shared" si="44"/>
        <v>Good</v>
      </c>
      <c r="Q950">
        <v>5</v>
      </c>
    </row>
    <row r="951" spans="1:17" x14ac:dyDescent="0.3">
      <c r="A951">
        <v>949</v>
      </c>
      <c r="B951">
        <v>29</v>
      </c>
      <c r="C951">
        <v>71</v>
      </c>
      <c r="D951">
        <v>1990</v>
      </c>
      <c r="E951">
        <v>11</v>
      </c>
      <c r="F951" t="str">
        <f t="shared" si="43"/>
        <v>26-35</v>
      </c>
      <c r="G951" t="s">
        <v>14</v>
      </c>
      <c r="H951" t="s">
        <v>904</v>
      </c>
      <c r="I951">
        <v>40.450000000000003</v>
      </c>
      <c r="J951">
        <v>-74.48</v>
      </c>
      <c r="K951" t="s">
        <v>905</v>
      </c>
      <c r="L951" s="4">
        <v>63684</v>
      </c>
      <c r="M951" s="4">
        <v>96864</v>
      </c>
      <c r="N951" s="11">
        <f t="shared" si="42"/>
        <v>1.5210099868098736</v>
      </c>
      <c r="O951">
        <v>709</v>
      </c>
      <c r="P951" t="str">
        <f t="shared" si="44"/>
        <v>Good</v>
      </c>
      <c r="Q951">
        <v>5</v>
      </c>
    </row>
    <row r="952" spans="1:17" x14ac:dyDescent="0.3">
      <c r="A952">
        <v>950</v>
      </c>
      <c r="B952">
        <v>23</v>
      </c>
      <c r="C952">
        <v>66</v>
      </c>
      <c r="D952">
        <v>1996</v>
      </c>
      <c r="E952">
        <v>9</v>
      </c>
      <c r="F952" t="str">
        <f t="shared" si="43"/>
        <v>18-25</v>
      </c>
      <c r="G952" t="s">
        <v>14</v>
      </c>
      <c r="H952" t="s">
        <v>614</v>
      </c>
      <c r="I952">
        <v>28.5</v>
      </c>
      <c r="J952">
        <v>-81.37</v>
      </c>
      <c r="K952" t="s">
        <v>615</v>
      </c>
      <c r="L952" s="4">
        <v>29376</v>
      </c>
      <c r="M952" s="4">
        <v>51428</v>
      </c>
      <c r="N952" s="11">
        <f t="shared" si="42"/>
        <v>1.7506808278867103</v>
      </c>
      <c r="O952">
        <v>629</v>
      </c>
      <c r="P952" t="str">
        <f t="shared" si="44"/>
        <v>Fair</v>
      </c>
      <c r="Q952">
        <v>1</v>
      </c>
    </row>
    <row r="953" spans="1:17" x14ac:dyDescent="0.3">
      <c r="A953">
        <v>951</v>
      </c>
      <c r="B953">
        <v>57</v>
      </c>
      <c r="C953">
        <v>66</v>
      </c>
      <c r="D953">
        <v>1962</v>
      </c>
      <c r="E953">
        <v>9</v>
      </c>
      <c r="F953" t="str">
        <f t="shared" si="43"/>
        <v>51-60</v>
      </c>
      <c r="G953" t="s">
        <v>14</v>
      </c>
      <c r="H953" t="s">
        <v>441</v>
      </c>
      <c r="I953">
        <v>33.909999999999997</v>
      </c>
      <c r="J953">
        <v>-118.23</v>
      </c>
      <c r="K953" t="s">
        <v>183</v>
      </c>
      <c r="L953" s="4">
        <v>26664</v>
      </c>
      <c r="M953" s="4">
        <v>12241</v>
      </c>
      <c r="N953" s="11">
        <f t="shared" si="42"/>
        <v>0.45908340834083411</v>
      </c>
      <c r="O953">
        <v>709</v>
      </c>
      <c r="P953" t="str">
        <f t="shared" si="44"/>
        <v>Good</v>
      </c>
      <c r="Q953">
        <v>4</v>
      </c>
    </row>
    <row r="954" spans="1:17" x14ac:dyDescent="0.3">
      <c r="A954">
        <v>952</v>
      </c>
      <c r="B954">
        <v>29</v>
      </c>
      <c r="C954">
        <v>66</v>
      </c>
      <c r="D954">
        <v>1990</v>
      </c>
      <c r="E954">
        <v>5</v>
      </c>
      <c r="F954" t="str">
        <f t="shared" si="43"/>
        <v>26-35</v>
      </c>
      <c r="G954" t="s">
        <v>19</v>
      </c>
      <c r="H954" t="s">
        <v>1663</v>
      </c>
      <c r="I954">
        <v>42.31</v>
      </c>
      <c r="J954">
        <v>-71.16</v>
      </c>
      <c r="K954" t="s">
        <v>1664</v>
      </c>
      <c r="L954" s="4">
        <v>126775</v>
      </c>
      <c r="M954" s="4">
        <v>28869</v>
      </c>
      <c r="N954" s="11">
        <f t="shared" si="42"/>
        <v>0.22771839873792152</v>
      </c>
      <c r="O954">
        <v>685</v>
      </c>
      <c r="P954" t="str">
        <f t="shared" si="44"/>
        <v>Good</v>
      </c>
      <c r="Q954">
        <v>2</v>
      </c>
    </row>
    <row r="955" spans="1:17" x14ac:dyDescent="0.3">
      <c r="A955">
        <v>953</v>
      </c>
      <c r="B955">
        <v>18</v>
      </c>
      <c r="C955">
        <v>71</v>
      </c>
      <c r="D955">
        <v>2001</v>
      </c>
      <c r="E955">
        <v>6</v>
      </c>
      <c r="F955" t="str">
        <f t="shared" si="43"/>
        <v>18-25</v>
      </c>
      <c r="G955" t="s">
        <v>19</v>
      </c>
      <c r="H955" t="s">
        <v>118</v>
      </c>
      <c r="I955">
        <v>33.78</v>
      </c>
      <c r="J955">
        <v>-117.33</v>
      </c>
      <c r="K955" t="s">
        <v>119</v>
      </c>
      <c r="L955" s="4">
        <v>29909</v>
      </c>
      <c r="M955" s="4">
        <v>42832</v>
      </c>
      <c r="N955" s="11">
        <f t="shared" si="42"/>
        <v>1.432077301146812</v>
      </c>
      <c r="O955">
        <v>664</v>
      </c>
      <c r="P955" t="str">
        <f t="shared" si="44"/>
        <v>Fair</v>
      </c>
      <c r="Q955">
        <v>2</v>
      </c>
    </row>
    <row r="956" spans="1:17" x14ac:dyDescent="0.3">
      <c r="A956">
        <v>954</v>
      </c>
      <c r="B956">
        <v>51</v>
      </c>
      <c r="C956">
        <v>65</v>
      </c>
      <c r="D956">
        <v>1968</v>
      </c>
      <c r="E956">
        <v>6</v>
      </c>
      <c r="F956" t="str">
        <f t="shared" si="43"/>
        <v>51-60</v>
      </c>
      <c r="G956" t="s">
        <v>19</v>
      </c>
      <c r="H956" t="s">
        <v>831</v>
      </c>
      <c r="I956">
        <v>33.93</v>
      </c>
      <c r="J956">
        <v>-117.49</v>
      </c>
      <c r="K956" t="s">
        <v>832</v>
      </c>
      <c r="L956" s="4">
        <v>37963</v>
      </c>
      <c r="M956" s="4">
        <v>102716</v>
      </c>
      <c r="N956" s="11">
        <f t="shared" si="42"/>
        <v>2.7056871164028133</v>
      </c>
      <c r="O956">
        <v>772</v>
      </c>
      <c r="P956" t="str">
        <f t="shared" si="44"/>
        <v>Very Good</v>
      </c>
      <c r="Q956">
        <v>4</v>
      </c>
    </row>
    <row r="957" spans="1:17" x14ac:dyDescent="0.3">
      <c r="A957">
        <v>955</v>
      </c>
      <c r="B957">
        <v>33</v>
      </c>
      <c r="C957">
        <v>67</v>
      </c>
      <c r="D957">
        <v>1987</v>
      </c>
      <c r="E957">
        <v>2</v>
      </c>
      <c r="F957" t="str">
        <f t="shared" si="43"/>
        <v>26-35</v>
      </c>
      <c r="G957" t="s">
        <v>19</v>
      </c>
      <c r="H957" t="s">
        <v>775</v>
      </c>
      <c r="I957">
        <v>40.28</v>
      </c>
      <c r="J957">
        <v>-80.599999999999994</v>
      </c>
      <c r="K957" t="s">
        <v>776</v>
      </c>
      <c r="L957" s="4">
        <v>33944</v>
      </c>
      <c r="M957" s="4">
        <v>53353</v>
      </c>
      <c r="N957" s="11">
        <f t="shared" si="42"/>
        <v>1.5717947207164742</v>
      </c>
      <c r="O957">
        <v>798</v>
      </c>
      <c r="P957" t="str">
        <f t="shared" si="44"/>
        <v>Very Good</v>
      </c>
      <c r="Q957">
        <v>4</v>
      </c>
    </row>
    <row r="958" spans="1:17" x14ac:dyDescent="0.3">
      <c r="A958">
        <v>956</v>
      </c>
      <c r="B958">
        <v>30</v>
      </c>
      <c r="C958">
        <v>66</v>
      </c>
      <c r="D958">
        <v>1989</v>
      </c>
      <c r="E958">
        <v>12</v>
      </c>
      <c r="F958" t="str">
        <f t="shared" si="43"/>
        <v>26-35</v>
      </c>
      <c r="G958" t="s">
        <v>14</v>
      </c>
      <c r="H958" t="s">
        <v>875</v>
      </c>
      <c r="I958">
        <v>39.979999999999997</v>
      </c>
      <c r="J958">
        <v>-82.98</v>
      </c>
      <c r="K958" t="s">
        <v>876</v>
      </c>
      <c r="L958" s="4">
        <v>47110</v>
      </c>
      <c r="M958" s="4">
        <v>57159</v>
      </c>
      <c r="N958" s="11">
        <f t="shared" si="42"/>
        <v>1.2133092761621735</v>
      </c>
      <c r="O958">
        <v>804</v>
      </c>
      <c r="P958" t="str">
        <f t="shared" si="44"/>
        <v>Excellent</v>
      </c>
      <c r="Q958">
        <v>2</v>
      </c>
    </row>
    <row r="959" spans="1:17" x14ac:dyDescent="0.3">
      <c r="A959">
        <v>957</v>
      </c>
      <c r="B959">
        <v>73</v>
      </c>
      <c r="C959">
        <v>64</v>
      </c>
      <c r="D959">
        <v>1946</v>
      </c>
      <c r="E959">
        <v>9</v>
      </c>
      <c r="F959" t="str">
        <f t="shared" si="43"/>
        <v>65+</v>
      </c>
      <c r="G959" t="s">
        <v>14</v>
      </c>
      <c r="H959" t="s">
        <v>549</v>
      </c>
      <c r="I959">
        <v>39.17</v>
      </c>
      <c r="J959">
        <v>-77.260000000000005</v>
      </c>
      <c r="K959" t="s">
        <v>550</v>
      </c>
      <c r="L959" s="4">
        <v>37789</v>
      </c>
      <c r="M959" s="4">
        <v>24575</v>
      </c>
      <c r="N959" s="11">
        <f t="shared" si="42"/>
        <v>0.65032152213607131</v>
      </c>
      <c r="O959">
        <v>605</v>
      </c>
      <c r="P959" t="str">
        <f t="shared" si="44"/>
        <v>Fair</v>
      </c>
      <c r="Q959">
        <v>3</v>
      </c>
    </row>
    <row r="960" spans="1:17" x14ac:dyDescent="0.3">
      <c r="A960">
        <v>958</v>
      </c>
      <c r="B960">
        <v>18</v>
      </c>
      <c r="C960">
        <v>65</v>
      </c>
      <c r="D960">
        <v>2001</v>
      </c>
      <c r="E960">
        <v>9</v>
      </c>
      <c r="F960" t="str">
        <f t="shared" si="43"/>
        <v>18-25</v>
      </c>
      <c r="G960" t="s">
        <v>14</v>
      </c>
      <c r="H960" t="s">
        <v>1883</v>
      </c>
      <c r="I960">
        <v>32.380000000000003</v>
      </c>
      <c r="J960">
        <v>-83.35</v>
      </c>
      <c r="K960" t="s">
        <v>1884</v>
      </c>
      <c r="L960" s="4">
        <v>33459</v>
      </c>
      <c r="M960" s="4">
        <v>37753</v>
      </c>
      <c r="N960" s="11">
        <f t="shared" si="42"/>
        <v>1.1283361726291881</v>
      </c>
      <c r="O960">
        <v>705</v>
      </c>
      <c r="P960" t="str">
        <f t="shared" si="44"/>
        <v>Good</v>
      </c>
      <c r="Q960">
        <v>3</v>
      </c>
    </row>
    <row r="961" spans="1:17" x14ac:dyDescent="0.3">
      <c r="A961">
        <v>959</v>
      </c>
      <c r="B961">
        <v>35</v>
      </c>
      <c r="C961">
        <v>67</v>
      </c>
      <c r="D961">
        <v>1984</v>
      </c>
      <c r="E961">
        <v>11</v>
      </c>
      <c r="F961" t="str">
        <f t="shared" si="43"/>
        <v>26-35</v>
      </c>
      <c r="G961" t="s">
        <v>14</v>
      </c>
      <c r="H961" t="s">
        <v>1695</v>
      </c>
      <c r="I961">
        <v>40.22</v>
      </c>
      <c r="J961">
        <v>-74.930000000000007</v>
      </c>
      <c r="K961" t="s">
        <v>1696</v>
      </c>
      <c r="L961" s="4">
        <v>102369</v>
      </c>
      <c r="M961" s="4">
        <v>189558</v>
      </c>
      <c r="N961" s="11">
        <f t="shared" si="42"/>
        <v>1.8517129209037893</v>
      </c>
      <c r="O961">
        <v>738</v>
      </c>
      <c r="P961" t="str">
        <f t="shared" si="44"/>
        <v>Good</v>
      </c>
      <c r="Q961">
        <v>2</v>
      </c>
    </row>
    <row r="962" spans="1:17" x14ac:dyDescent="0.3">
      <c r="A962">
        <v>960</v>
      </c>
      <c r="B962">
        <v>29</v>
      </c>
      <c r="C962">
        <v>66</v>
      </c>
      <c r="D962">
        <v>1990</v>
      </c>
      <c r="E962">
        <v>8</v>
      </c>
      <c r="F962" t="str">
        <f t="shared" si="43"/>
        <v>26-35</v>
      </c>
      <c r="G962" t="s">
        <v>19</v>
      </c>
      <c r="H962" t="s">
        <v>1444</v>
      </c>
      <c r="I962">
        <v>33.83</v>
      </c>
      <c r="J962">
        <v>-117.85</v>
      </c>
      <c r="K962" t="s">
        <v>1445</v>
      </c>
      <c r="L962" s="4">
        <v>53376</v>
      </c>
      <c r="M962" s="4">
        <v>60953</v>
      </c>
      <c r="N962" s="11">
        <f t="shared" ref="N962:N1025" si="45">(M962/L962)</f>
        <v>1.1419551858513191</v>
      </c>
      <c r="O962">
        <v>750</v>
      </c>
      <c r="P962" t="str">
        <f t="shared" si="44"/>
        <v>Very Good</v>
      </c>
      <c r="Q962">
        <v>3</v>
      </c>
    </row>
    <row r="963" spans="1:17" x14ac:dyDescent="0.3">
      <c r="A963">
        <v>961</v>
      </c>
      <c r="B963">
        <v>76</v>
      </c>
      <c r="C963">
        <v>63</v>
      </c>
      <c r="D963">
        <v>1944</v>
      </c>
      <c r="E963">
        <v>2</v>
      </c>
      <c r="F963" t="str">
        <f t="shared" ref="F963:F1026" si="46">IF(B963&lt;26,"18-25",
   IF(B963&lt;36,"26-35",
   IF(B963&lt;51,"36-50",
   IF(B963&lt;66,"51-60","65+"))))</f>
        <v>65+</v>
      </c>
      <c r="G963" t="s">
        <v>19</v>
      </c>
      <c r="H963" t="s">
        <v>354</v>
      </c>
      <c r="I963">
        <v>28.2</v>
      </c>
      <c r="J963">
        <v>-82.59</v>
      </c>
      <c r="K963" t="s">
        <v>355</v>
      </c>
      <c r="L963" s="4">
        <v>26660</v>
      </c>
      <c r="M963" s="4">
        <v>28332</v>
      </c>
      <c r="N963" s="11">
        <f t="shared" si="45"/>
        <v>1.0627156789197298</v>
      </c>
      <c r="O963">
        <v>721</v>
      </c>
      <c r="P963" t="str">
        <f t="shared" ref="P963:P1026" si="47">IF(O963&lt;580,"Poor",
   IF(O963&lt;670,"Fair",
   IF(O963&lt;740,"Good",
   IF(O963&lt;800,"Very Good","Excellent"))))</f>
        <v>Good</v>
      </c>
      <c r="Q963">
        <v>4</v>
      </c>
    </row>
    <row r="964" spans="1:17" x14ac:dyDescent="0.3">
      <c r="A964">
        <v>962</v>
      </c>
      <c r="B964">
        <v>28</v>
      </c>
      <c r="C964">
        <v>69</v>
      </c>
      <c r="D964">
        <v>1992</v>
      </c>
      <c r="E964">
        <v>1</v>
      </c>
      <c r="F964" t="str">
        <f t="shared" si="46"/>
        <v>26-35</v>
      </c>
      <c r="G964" t="s">
        <v>19</v>
      </c>
      <c r="H964" t="s">
        <v>1076</v>
      </c>
      <c r="I964">
        <v>44.52</v>
      </c>
      <c r="J964">
        <v>-87.98</v>
      </c>
      <c r="K964" t="s">
        <v>1077</v>
      </c>
      <c r="L964" s="4">
        <v>34262</v>
      </c>
      <c r="M964" s="4">
        <v>60506</v>
      </c>
      <c r="N964" s="11">
        <f t="shared" si="45"/>
        <v>1.7659798026968654</v>
      </c>
      <c r="O964">
        <v>846</v>
      </c>
      <c r="P964" t="str">
        <f t="shared" si="47"/>
        <v>Excellent</v>
      </c>
      <c r="Q964">
        <v>2</v>
      </c>
    </row>
    <row r="965" spans="1:17" x14ac:dyDescent="0.3">
      <c r="A965">
        <v>963</v>
      </c>
      <c r="B965">
        <v>24</v>
      </c>
      <c r="C965">
        <v>70</v>
      </c>
      <c r="D965">
        <v>1995</v>
      </c>
      <c r="E965">
        <v>12</v>
      </c>
      <c r="F965" t="str">
        <f t="shared" si="46"/>
        <v>18-25</v>
      </c>
      <c r="G965" t="s">
        <v>14</v>
      </c>
      <c r="H965" t="s">
        <v>244</v>
      </c>
      <c r="I965">
        <v>42.63</v>
      </c>
      <c r="J965">
        <v>-71.319999999999993</v>
      </c>
      <c r="K965" t="s">
        <v>245</v>
      </c>
      <c r="L965" s="4">
        <v>41714</v>
      </c>
      <c r="M965" s="4">
        <v>54541</v>
      </c>
      <c r="N965" s="11">
        <f t="shared" si="45"/>
        <v>1.3074986814978184</v>
      </c>
      <c r="O965">
        <v>687</v>
      </c>
      <c r="P965" t="str">
        <f t="shared" si="47"/>
        <v>Good</v>
      </c>
      <c r="Q965">
        <v>3</v>
      </c>
    </row>
    <row r="966" spans="1:17" x14ac:dyDescent="0.3">
      <c r="A966">
        <v>964</v>
      </c>
      <c r="B966">
        <v>48</v>
      </c>
      <c r="C966">
        <v>66</v>
      </c>
      <c r="D966">
        <v>1971</v>
      </c>
      <c r="E966">
        <v>12</v>
      </c>
      <c r="F966" t="str">
        <f t="shared" si="46"/>
        <v>36-50</v>
      </c>
      <c r="G966" t="s">
        <v>14</v>
      </c>
      <c r="H966" t="s">
        <v>1793</v>
      </c>
      <c r="I966">
        <v>40.840000000000003</v>
      </c>
      <c r="J966">
        <v>-73.989999999999995</v>
      </c>
      <c r="K966" t="s">
        <v>1794</v>
      </c>
      <c r="L966" s="4">
        <v>45422</v>
      </c>
      <c r="M966" s="4">
        <v>83940</v>
      </c>
      <c r="N966" s="11">
        <f t="shared" si="45"/>
        <v>1.8480031702699133</v>
      </c>
      <c r="O966">
        <v>689</v>
      </c>
      <c r="P966" t="str">
        <f t="shared" si="47"/>
        <v>Good</v>
      </c>
      <c r="Q966">
        <v>4</v>
      </c>
    </row>
    <row r="967" spans="1:17" x14ac:dyDescent="0.3">
      <c r="A967">
        <v>965</v>
      </c>
      <c r="B967">
        <v>18</v>
      </c>
      <c r="C967">
        <v>68</v>
      </c>
      <c r="D967">
        <v>2002</v>
      </c>
      <c r="E967">
        <v>1</v>
      </c>
      <c r="F967" t="str">
        <f t="shared" si="46"/>
        <v>18-25</v>
      </c>
      <c r="G967" t="s">
        <v>14</v>
      </c>
      <c r="H967" t="s">
        <v>1092</v>
      </c>
      <c r="I967">
        <v>38.58</v>
      </c>
      <c r="J967">
        <v>-121.4</v>
      </c>
      <c r="K967" t="s">
        <v>1093</v>
      </c>
      <c r="L967" s="4">
        <v>42142</v>
      </c>
      <c r="M967" s="4">
        <v>116857</v>
      </c>
      <c r="N967" s="11">
        <f t="shared" si="45"/>
        <v>2.772934364766741</v>
      </c>
      <c r="O967">
        <v>713</v>
      </c>
      <c r="P967" t="str">
        <f t="shared" si="47"/>
        <v>Good</v>
      </c>
      <c r="Q967">
        <v>2</v>
      </c>
    </row>
    <row r="968" spans="1:17" x14ac:dyDescent="0.3">
      <c r="A968">
        <v>966</v>
      </c>
      <c r="B968">
        <v>26</v>
      </c>
      <c r="C968">
        <v>69</v>
      </c>
      <c r="D968">
        <v>1993</v>
      </c>
      <c r="E968">
        <v>4</v>
      </c>
      <c r="F968" t="str">
        <f t="shared" si="46"/>
        <v>26-35</v>
      </c>
      <c r="G968" t="s">
        <v>14</v>
      </c>
      <c r="H968" t="s">
        <v>1507</v>
      </c>
      <c r="I968">
        <v>26.35</v>
      </c>
      <c r="J968">
        <v>-98.11</v>
      </c>
      <c r="K968" t="s">
        <v>1508</v>
      </c>
      <c r="L968" s="4">
        <v>23987</v>
      </c>
      <c r="M968" s="4">
        <v>39071</v>
      </c>
      <c r="N968" s="11">
        <f t="shared" si="45"/>
        <v>1.6288406220035854</v>
      </c>
      <c r="O968">
        <v>630</v>
      </c>
      <c r="P968" t="str">
        <f t="shared" si="47"/>
        <v>Fair</v>
      </c>
      <c r="Q968">
        <v>1</v>
      </c>
    </row>
    <row r="969" spans="1:17" x14ac:dyDescent="0.3">
      <c r="A969">
        <v>967</v>
      </c>
      <c r="B969">
        <v>41</v>
      </c>
      <c r="C969">
        <v>56</v>
      </c>
      <c r="D969">
        <v>1978</v>
      </c>
      <c r="E969">
        <v>10</v>
      </c>
      <c r="F969" t="str">
        <f t="shared" si="46"/>
        <v>36-50</v>
      </c>
      <c r="G969" t="s">
        <v>14</v>
      </c>
      <c r="H969" t="s">
        <v>675</v>
      </c>
      <c r="I969">
        <v>43.28</v>
      </c>
      <c r="J969">
        <v>-93.2</v>
      </c>
      <c r="K969" t="s">
        <v>676</v>
      </c>
      <c r="L969" s="4">
        <v>32789</v>
      </c>
      <c r="M969" s="4">
        <v>47679</v>
      </c>
      <c r="N969" s="11">
        <f t="shared" si="45"/>
        <v>1.454115709536735</v>
      </c>
      <c r="O969">
        <v>699</v>
      </c>
      <c r="P969" t="str">
        <f t="shared" si="47"/>
        <v>Good</v>
      </c>
      <c r="Q969">
        <v>2</v>
      </c>
    </row>
    <row r="970" spans="1:17" x14ac:dyDescent="0.3">
      <c r="A970">
        <v>968</v>
      </c>
      <c r="B970">
        <v>21</v>
      </c>
      <c r="C970">
        <v>69</v>
      </c>
      <c r="D970">
        <v>1998</v>
      </c>
      <c r="E970">
        <v>9</v>
      </c>
      <c r="F970" t="str">
        <f t="shared" si="46"/>
        <v>18-25</v>
      </c>
      <c r="G970" t="s">
        <v>14</v>
      </c>
      <c r="H970" t="s">
        <v>1840</v>
      </c>
      <c r="I970">
        <v>42.88</v>
      </c>
      <c r="J970">
        <v>-78.849999999999994</v>
      </c>
      <c r="K970" t="s">
        <v>445</v>
      </c>
      <c r="L970" s="4">
        <v>29475</v>
      </c>
      <c r="M970" s="4">
        <v>48741</v>
      </c>
      <c r="N970" s="11">
        <f t="shared" si="45"/>
        <v>1.6536386768447837</v>
      </c>
      <c r="O970">
        <v>722</v>
      </c>
      <c r="P970" t="str">
        <f t="shared" si="47"/>
        <v>Good</v>
      </c>
      <c r="Q970">
        <v>1</v>
      </c>
    </row>
    <row r="971" spans="1:17" x14ac:dyDescent="0.3">
      <c r="A971">
        <v>969</v>
      </c>
      <c r="B971">
        <v>24</v>
      </c>
      <c r="C971">
        <v>70</v>
      </c>
      <c r="D971">
        <v>1996</v>
      </c>
      <c r="E971">
        <v>2</v>
      </c>
      <c r="F971" t="str">
        <f t="shared" si="46"/>
        <v>18-25</v>
      </c>
      <c r="G971" t="s">
        <v>14</v>
      </c>
      <c r="H971" t="s">
        <v>1205</v>
      </c>
      <c r="I971">
        <v>33.81</v>
      </c>
      <c r="J971">
        <v>-117.79</v>
      </c>
      <c r="K971" t="s">
        <v>1206</v>
      </c>
      <c r="L971" s="4">
        <v>58893</v>
      </c>
      <c r="M971" s="4">
        <v>113715</v>
      </c>
      <c r="N971" s="11">
        <f t="shared" si="45"/>
        <v>1.9308746370536396</v>
      </c>
      <c r="O971">
        <v>666</v>
      </c>
      <c r="P971" t="str">
        <f t="shared" si="47"/>
        <v>Fair</v>
      </c>
      <c r="Q971">
        <v>3</v>
      </c>
    </row>
    <row r="972" spans="1:17" x14ac:dyDescent="0.3">
      <c r="A972">
        <v>970</v>
      </c>
      <c r="B972">
        <v>42</v>
      </c>
      <c r="C972">
        <v>66</v>
      </c>
      <c r="D972">
        <v>1977</v>
      </c>
      <c r="E972">
        <v>11</v>
      </c>
      <c r="F972" t="str">
        <f t="shared" si="46"/>
        <v>36-50</v>
      </c>
      <c r="G972" t="s">
        <v>19</v>
      </c>
      <c r="H972" t="s">
        <v>62</v>
      </c>
      <c r="I972">
        <v>29.1</v>
      </c>
      <c r="J972">
        <v>-81</v>
      </c>
      <c r="K972" t="s">
        <v>63</v>
      </c>
      <c r="L972" s="4">
        <v>44681</v>
      </c>
      <c r="M972" s="4">
        <v>42011</v>
      </c>
      <c r="N972" s="11">
        <f t="shared" si="45"/>
        <v>0.94024305633266936</v>
      </c>
      <c r="O972">
        <v>770</v>
      </c>
      <c r="P972" t="str">
        <f t="shared" si="47"/>
        <v>Very Good</v>
      </c>
      <c r="Q972">
        <v>3</v>
      </c>
    </row>
    <row r="973" spans="1:17" x14ac:dyDescent="0.3">
      <c r="A973">
        <v>971</v>
      </c>
      <c r="B973">
        <v>20</v>
      </c>
      <c r="C973">
        <v>66</v>
      </c>
      <c r="D973">
        <v>1999</v>
      </c>
      <c r="E973">
        <v>10</v>
      </c>
      <c r="F973" t="str">
        <f t="shared" si="46"/>
        <v>18-25</v>
      </c>
      <c r="G973" t="s">
        <v>14</v>
      </c>
      <c r="H973" t="s">
        <v>1956</v>
      </c>
      <c r="I973">
        <v>33.369999999999997</v>
      </c>
      <c r="J973">
        <v>-84.78</v>
      </c>
      <c r="K973" t="s">
        <v>1957</v>
      </c>
      <c r="L973" s="4">
        <v>40572</v>
      </c>
      <c r="M973" s="4">
        <v>0</v>
      </c>
      <c r="N973" s="11">
        <f t="shared" si="45"/>
        <v>0</v>
      </c>
      <c r="O973">
        <v>732</v>
      </c>
      <c r="P973" t="str">
        <f t="shared" si="47"/>
        <v>Good</v>
      </c>
      <c r="Q973">
        <v>5</v>
      </c>
    </row>
    <row r="974" spans="1:17" x14ac:dyDescent="0.3">
      <c r="A974">
        <v>972</v>
      </c>
      <c r="B974">
        <v>35</v>
      </c>
      <c r="C974">
        <v>69</v>
      </c>
      <c r="D974">
        <v>1984</v>
      </c>
      <c r="E974">
        <v>5</v>
      </c>
      <c r="F974" t="str">
        <f t="shared" si="46"/>
        <v>26-35</v>
      </c>
      <c r="G974" t="s">
        <v>19</v>
      </c>
      <c r="H974" t="s">
        <v>410</v>
      </c>
      <c r="I974">
        <v>31.84</v>
      </c>
      <c r="J974">
        <v>-106.43</v>
      </c>
      <c r="K974" t="s">
        <v>411</v>
      </c>
      <c r="L974" s="4">
        <v>50177</v>
      </c>
      <c r="M974" s="4">
        <v>101323</v>
      </c>
      <c r="N974" s="11">
        <f t="shared" si="45"/>
        <v>2.0193116368057078</v>
      </c>
      <c r="O974">
        <v>681</v>
      </c>
      <c r="P974" t="str">
        <f t="shared" si="47"/>
        <v>Good</v>
      </c>
      <c r="Q974">
        <v>4</v>
      </c>
    </row>
    <row r="975" spans="1:17" x14ac:dyDescent="0.3">
      <c r="A975">
        <v>973</v>
      </c>
      <c r="B975">
        <v>55</v>
      </c>
      <c r="C975">
        <v>68</v>
      </c>
      <c r="D975">
        <v>1964</v>
      </c>
      <c r="E975">
        <v>5</v>
      </c>
      <c r="F975" t="str">
        <f t="shared" si="46"/>
        <v>51-60</v>
      </c>
      <c r="G975" t="s">
        <v>19</v>
      </c>
      <c r="H975" t="s">
        <v>1674</v>
      </c>
      <c r="I975">
        <v>34.51</v>
      </c>
      <c r="J975">
        <v>-89.94</v>
      </c>
      <c r="K975" t="s">
        <v>1675</v>
      </c>
      <c r="L975" s="4">
        <v>25051</v>
      </c>
      <c r="M975" s="4">
        <v>19465</v>
      </c>
      <c r="N975" s="11">
        <f t="shared" si="45"/>
        <v>0.77701488962516463</v>
      </c>
      <c r="O975">
        <v>734</v>
      </c>
      <c r="P975" t="str">
        <f t="shared" si="47"/>
        <v>Good</v>
      </c>
      <c r="Q975">
        <v>4</v>
      </c>
    </row>
    <row r="976" spans="1:17" x14ac:dyDescent="0.3">
      <c r="A976">
        <v>974</v>
      </c>
      <c r="B976">
        <v>59</v>
      </c>
      <c r="C976">
        <v>65</v>
      </c>
      <c r="D976">
        <v>1960</v>
      </c>
      <c r="E976">
        <v>9</v>
      </c>
      <c r="F976" t="str">
        <f t="shared" si="46"/>
        <v>51-60</v>
      </c>
      <c r="G976" t="s">
        <v>19</v>
      </c>
      <c r="H976" t="s">
        <v>1606</v>
      </c>
      <c r="I976">
        <v>34.729999999999997</v>
      </c>
      <c r="J976">
        <v>-82.25</v>
      </c>
      <c r="K976" t="s">
        <v>1607</v>
      </c>
      <c r="L976" s="4">
        <v>48867</v>
      </c>
      <c r="M976" s="4">
        <v>92873</v>
      </c>
      <c r="N976" s="11">
        <f t="shared" si="45"/>
        <v>1.9005259172856939</v>
      </c>
      <c r="O976">
        <v>644</v>
      </c>
      <c r="P976" t="str">
        <f t="shared" si="47"/>
        <v>Fair</v>
      </c>
      <c r="Q976">
        <v>2</v>
      </c>
    </row>
    <row r="977" spans="1:17" x14ac:dyDescent="0.3">
      <c r="A977">
        <v>975</v>
      </c>
      <c r="B977">
        <v>28</v>
      </c>
      <c r="C977">
        <v>67</v>
      </c>
      <c r="D977">
        <v>1991</v>
      </c>
      <c r="E977">
        <v>5</v>
      </c>
      <c r="F977" t="str">
        <f t="shared" si="46"/>
        <v>26-35</v>
      </c>
      <c r="G977" t="s">
        <v>14</v>
      </c>
      <c r="H977" t="s">
        <v>766</v>
      </c>
      <c r="I977">
        <v>42.88</v>
      </c>
      <c r="J977">
        <v>-78.849999999999994</v>
      </c>
      <c r="K977" t="s">
        <v>445</v>
      </c>
      <c r="L977" s="4">
        <v>29478</v>
      </c>
      <c r="M977" s="4">
        <v>39224</v>
      </c>
      <c r="N977" s="11">
        <f t="shared" si="45"/>
        <v>1.3306194450098379</v>
      </c>
      <c r="O977">
        <v>675</v>
      </c>
      <c r="P977" t="str">
        <f t="shared" si="47"/>
        <v>Good</v>
      </c>
      <c r="Q977">
        <v>2</v>
      </c>
    </row>
    <row r="978" spans="1:17" x14ac:dyDescent="0.3">
      <c r="A978">
        <v>976</v>
      </c>
      <c r="B978">
        <v>67</v>
      </c>
      <c r="C978">
        <v>69</v>
      </c>
      <c r="D978">
        <v>1952</v>
      </c>
      <c r="E978">
        <v>8</v>
      </c>
      <c r="F978" t="str">
        <f t="shared" si="46"/>
        <v>65+</v>
      </c>
      <c r="G978" t="s">
        <v>14</v>
      </c>
      <c r="H978" t="s">
        <v>1550</v>
      </c>
      <c r="I978">
        <v>41.09</v>
      </c>
      <c r="J978">
        <v>-73.42</v>
      </c>
      <c r="K978" t="s">
        <v>1551</v>
      </c>
      <c r="L978" s="4">
        <v>62669</v>
      </c>
      <c r="M978" s="4">
        <v>70317</v>
      </c>
      <c r="N978" s="11">
        <f t="shared" si="45"/>
        <v>1.1220380092230609</v>
      </c>
      <c r="O978">
        <v>760</v>
      </c>
      <c r="P978" t="str">
        <f t="shared" si="47"/>
        <v>Very Good</v>
      </c>
      <c r="Q978">
        <v>5</v>
      </c>
    </row>
    <row r="979" spans="1:17" x14ac:dyDescent="0.3">
      <c r="A979">
        <v>977</v>
      </c>
      <c r="B979">
        <v>83</v>
      </c>
      <c r="C979">
        <v>67</v>
      </c>
      <c r="D979">
        <v>1936</v>
      </c>
      <c r="E979">
        <v>12</v>
      </c>
      <c r="F979" t="str">
        <f t="shared" si="46"/>
        <v>65+</v>
      </c>
      <c r="G979" t="s">
        <v>14</v>
      </c>
      <c r="H979" t="s">
        <v>1409</v>
      </c>
      <c r="I979">
        <v>32.590000000000003</v>
      </c>
      <c r="J979">
        <v>-96.68</v>
      </c>
      <c r="K979" t="s">
        <v>1410</v>
      </c>
      <c r="L979" s="4">
        <v>22873</v>
      </c>
      <c r="M979" s="4">
        <v>0</v>
      </c>
      <c r="N979" s="11">
        <f t="shared" si="45"/>
        <v>0</v>
      </c>
      <c r="O979">
        <v>710</v>
      </c>
      <c r="P979" t="str">
        <f t="shared" si="47"/>
        <v>Good</v>
      </c>
      <c r="Q979">
        <v>5</v>
      </c>
    </row>
    <row r="980" spans="1:17" x14ac:dyDescent="0.3">
      <c r="A980">
        <v>978</v>
      </c>
      <c r="B980">
        <v>21</v>
      </c>
      <c r="C980">
        <v>62</v>
      </c>
      <c r="D980">
        <v>1998</v>
      </c>
      <c r="E980">
        <v>7</v>
      </c>
      <c r="F980" t="str">
        <f t="shared" si="46"/>
        <v>18-25</v>
      </c>
      <c r="G980" t="s">
        <v>14</v>
      </c>
      <c r="H980" t="s">
        <v>1716</v>
      </c>
      <c r="I980">
        <v>30.06</v>
      </c>
      <c r="J980">
        <v>-89.93</v>
      </c>
      <c r="K980" t="s">
        <v>1717</v>
      </c>
      <c r="L980" s="4">
        <v>56280</v>
      </c>
      <c r="M980" s="4">
        <v>81803</v>
      </c>
      <c r="N980" s="11">
        <f t="shared" si="45"/>
        <v>1.4535003553660271</v>
      </c>
      <c r="O980">
        <v>760</v>
      </c>
      <c r="P980" t="str">
        <f t="shared" si="47"/>
        <v>Very Good</v>
      </c>
      <c r="Q980">
        <v>1</v>
      </c>
    </row>
    <row r="981" spans="1:17" x14ac:dyDescent="0.3">
      <c r="A981">
        <v>979</v>
      </c>
      <c r="B981">
        <v>59</v>
      </c>
      <c r="C981">
        <v>62</v>
      </c>
      <c r="D981">
        <v>1961</v>
      </c>
      <c r="E981">
        <v>2</v>
      </c>
      <c r="F981" t="str">
        <f t="shared" si="46"/>
        <v>51-60</v>
      </c>
      <c r="G981" t="s">
        <v>19</v>
      </c>
      <c r="H981" t="s">
        <v>1941</v>
      </c>
      <c r="I981">
        <v>34.06</v>
      </c>
      <c r="J981">
        <v>-117.79</v>
      </c>
      <c r="K981" t="s">
        <v>1291</v>
      </c>
      <c r="L981" s="4">
        <v>32678</v>
      </c>
      <c r="M981" s="4">
        <v>44434</v>
      </c>
      <c r="N981" s="11">
        <f t="shared" si="45"/>
        <v>1.3597527388457067</v>
      </c>
      <c r="O981">
        <v>693</v>
      </c>
      <c r="P981" t="str">
        <f t="shared" si="47"/>
        <v>Good</v>
      </c>
      <c r="Q981">
        <v>3</v>
      </c>
    </row>
    <row r="982" spans="1:17" x14ac:dyDescent="0.3">
      <c r="A982">
        <v>980</v>
      </c>
      <c r="B982">
        <v>84</v>
      </c>
      <c r="C982">
        <v>69</v>
      </c>
      <c r="D982">
        <v>1935</v>
      </c>
      <c r="E982">
        <v>8</v>
      </c>
      <c r="F982" t="str">
        <f t="shared" si="46"/>
        <v>65+</v>
      </c>
      <c r="G982" t="s">
        <v>19</v>
      </c>
      <c r="H982" t="s">
        <v>1160</v>
      </c>
      <c r="I982">
        <v>39.32</v>
      </c>
      <c r="J982">
        <v>-76.72</v>
      </c>
      <c r="K982" t="s">
        <v>1161</v>
      </c>
      <c r="L982" s="4">
        <v>24055</v>
      </c>
      <c r="M982" s="4">
        <v>0</v>
      </c>
      <c r="N982" s="11">
        <f t="shared" si="45"/>
        <v>0</v>
      </c>
      <c r="O982">
        <v>733</v>
      </c>
      <c r="P982" t="str">
        <f t="shared" si="47"/>
        <v>Good</v>
      </c>
      <c r="Q982">
        <v>7</v>
      </c>
    </row>
    <row r="983" spans="1:17" x14ac:dyDescent="0.3">
      <c r="A983">
        <v>981</v>
      </c>
      <c r="B983">
        <v>44</v>
      </c>
      <c r="C983">
        <v>68</v>
      </c>
      <c r="D983">
        <v>1975</v>
      </c>
      <c r="E983">
        <v>11</v>
      </c>
      <c r="F983" t="str">
        <f t="shared" si="46"/>
        <v>36-50</v>
      </c>
      <c r="G983" t="s">
        <v>19</v>
      </c>
      <c r="H983" t="s">
        <v>1652</v>
      </c>
      <c r="I983">
        <v>34.229999999999997</v>
      </c>
      <c r="J983">
        <v>-119.07</v>
      </c>
      <c r="K983" t="s">
        <v>1653</v>
      </c>
      <c r="L983" s="4">
        <v>56163</v>
      </c>
      <c r="M983" s="4">
        <v>104767</v>
      </c>
      <c r="N983" s="11">
        <f t="shared" si="45"/>
        <v>1.8654096113099372</v>
      </c>
      <c r="O983">
        <v>671</v>
      </c>
      <c r="P983" t="str">
        <f t="shared" si="47"/>
        <v>Good</v>
      </c>
      <c r="Q983">
        <v>1</v>
      </c>
    </row>
    <row r="984" spans="1:17" x14ac:dyDescent="0.3">
      <c r="A984">
        <v>982</v>
      </c>
      <c r="B984">
        <v>46</v>
      </c>
      <c r="C984">
        <v>67</v>
      </c>
      <c r="D984">
        <v>1973</v>
      </c>
      <c r="E984">
        <v>10</v>
      </c>
      <c r="F984" t="str">
        <f t="shared" si="46"/>
        <v>36-50</v>
      </c>
      <c r="G984" t="s">
        <v>19</v>
      </c>
      <c r="H984" t="s">
        <v>1268</v>
      </c>
      <c r="I984">
        <v>40.49</v>
      </c>
      <c r="J984">
        <v>-74.48</v>
      </c>
      <c r="K984" t="s">
        <v>454</v>
      </c>
      <c r="L984" s="4">
        <v>66489</v>
      </c>
      <c r="M984" s="4">
        <v>45974</v>
      </c>
      <c r="N984" s="11">
        <f t="shared" si="45"/>
        <v>0.69145272150280501</v>
      </c>
      <c r="O984">
        <v>729</v>
      </c>
      <c r="P984" t="str">
        <f t="shared" si="47"/>
        <v>Good</v>
      </c>
      <c r="Q984">
        <v>4</v>
      </c>
    </row>
    <row r="985" spans="1:17" x14ac:dyDescent="0.3">
      <c r="A985">
        <v>983</v>
      </c>
      <c r="B985">
        <v>77</v>
      </c>
      <c r="C985">
        <v>67</v>
      </c>
      <c r="D985">
        <v>1942</v>
      </c>
      <c r="E985">
        <v>8</v>
      </c>
      <c r="F985" t="str">
        <f t="shared" si="46"/>
        <v>65+</v>
      </c>
      <c r="G985" t="s">
        <v>19</v>
      </c>
      <c r="H985" t="s">
        <v>1557</v>
      </c>
      <c r="I985">
        <v>43.45</v>
      </c>
      <c r="J985">
        <v>-76.5</v>
      </c>
      <c r="K985" t="s">
        <v>1225</v>
      </c>
      <c r="L985" s="4">
        <v>47993</v>
      </c>
      <c r="M985" s="4">
        <v>3080</v>
      </c>
      <c r="N985" s="11">
        <f t="shared" si="45"/>
        <v>6.4176025670410267E-2</v>
      </c>
      <c r="O985">
        <v>827</v>
      </c>
      <c r="P985" t="str">
        <f t="shared" si="47"/>
        <v>Excellent</v>
      </c>
      <c r="Q985">
        <v>5</v>
      </c>
    </row>
    <row r="986" spans="1:17" x14ac:dyDescent="0.3">
      <c r="A986">
        <v>984</v>
      </c>
      <c r="B986">
        <v>63</v>
      </c>
      <c r="C986">
        <v>66</v>
      </c>
      <c r="D986">
        <v>1956</v>
      </c>
      <c r="E986">
        <v>3</v>
      </c>
      <c r="F986" t="str">
        <f t="shared" si="46"/>
        <v>51-60</v>
      </c>
      <c r="G986" t="s">
        <v>14</v>
      </c>
      <c r="H986" t="s">
        <v>1915</v>
      </c>
      <c r="I986">
        <v>28.3</v>
      </c>
      <c r="J986">
        <v>-81.41</v>
      </c>
      <c r="K986" t="s">
        <v>1916</v>
      </c>
      <c r="L986" s="4">
        <v>32928</v>
      </c>
      <c r="M986" s="4">
        <v>80794</v>
      </c>
      <c r="N986" s="11">
        <f t="shared" si="45"/>
        <v>2.4536564625850339</v>
      </c>
      <c r="O986">
        <v>850</v>
      </c>
      <c r="P986" t="str">
        <f t="shared" si="47"/>
        <v>Excellent</v>
      </c>
      <c r="Q986">
        <v>5</v>
      </c>
    </row>
    <row r="987" spans="1:17" x14ac:dyDescent="0.3">
      <c r="A987">
        <v>985</v>
      </c>
      <c r="B987">
        <v>32</v>
      </c>
      <c r="C987">
        <v>65</v>
      </c>
      <c r="D987">
        <v>1987</v>
      </c>
      <c r="E987">
        <v>6</v>
      </c>
      <c r="F987" t="str">
        <f t="shared" si="46"/>
        <v>26-35</v>
      </c>
      <c r="G987" t="s">
        <v>19</v>
      </c>
      <c r="H987" t="s">
        <v>110</v>
      </c>
      <c r="I987">
        <v>42.8</v>
      </c>
      <c r="J987">
        <v>-83.71</v>
      </c>
      <c r="K987" t="s">
        <v>111</v>
      </c>
      <c r="L987" s="4">
        <v>51654</v>
      </c>
      <c r="M987" s="4">
        <v>95454</v>
      </c>
      <c r="N987" s="11">
        <f t="shared" si="45"/>
        <v>1.8479498199558602</v>
      </c>
      <c r="O987">
        <v>600</v>
      </c>
      <c r="P987" t="str">
        <f t="shared" si="47"/>
        <v>Fair</v>
      </c>
      <c r="Q987">
        <v>4</v>
      </c>
    </row>
    <row r="988" spans="1:17" x14ac:dyDescent="0.3">
      <c r="A988">
        <v>986</v>
      </c>
      <c r="B988">
        <v>32</v>
      </c>
      <c r="C988">
        <v>70</v>
      </c>
      <c r="D988">
        <v>1987</v>
      </c>
      <c r="E988">
        <v>7</v>
      </c>
      <c r="F988" t="str">
        <f t="shared" si="46"/>
        <v>26-35</v>
      </c>
      <c r="G988" t="s">
        <v>19</v>
      </c>
      <c r="H988" t="s">
        <v>1983</v>
      </c>
      <c r="I988">
        <v>40.65</v>
      </c>
      <c r="J988">
        <v>-73.58</v>
      </c>
      <c r="K988" t="s">
        <v>1062</v>
      </c>
      <c r="L988" s="4">
        <v>48010</v>
      </c>
      <c r="M988" s="4">
        <v>87837</v>
      </c>
      <c r="N988" s="11">
        <f t="shared" si="45"/>
        <v>1.8295563424286607</v>
      </c>
      <c r="O988">
        <v>703</v>
      </c>
      <c r="P988" t="str">
        <f t="shared" si="47"/>
        <v>Good</v>
      </c>
      <c r="Q988">
        <v>3</v>
      </c>
    </row>
    <row r="989" spans="1:17" x14ac:dyDescent="0.3">
      <c r="A989">
        <v>987</v>
      </c>
      <c r="B989">
        <v>52</v>
      </c>
      <c r="C989">
        <v>67</v>
      </c>
      <c r="D989">
        <v>1967</v>
      </c>
      <c r="E989">
        <v>10</v>
      </c>
      <c r="F989" t="str">
        <f t="shared" si="46"/>
        <v>51-60</v>
      </c>
      <c r="G989" t="s">
        <v>19</v>
      </c>
      <c r="H989" t="s">
        <v>1711</v>
      </c>
      <c r="I989">
        <v>39.14</v>
      </c>
      <c r="J989">
        <v>-77.209999999999994</v>
      </c>
      <c r="K989" t="s">
        <v>1712</v>
      </c>
      <c r="L989" s="4">
        <v>61532</v>
      </c>
      <c r="M989" s="4">
        <v>26832</v>
      </c>
      <c r="N989" s="11">
        <f t="shared" si="45"/>
        <v>0.43606578690762532</v>
      </c>
      <c r="O989">
        <v>683</v>
      </c>
      <c r="P989" t="str">
        <f t="shared" si="47"/>
        <v>Good</v>
      </c>
      <c r="Q989">
        <v>4</v>
      </c>
    </row>
    <row r="990" spans="1:17" x14ac:dyDescent="0.3">
      <c r="A990">
        <v>988</v>
      </c>
      <c r="B990">
        <v>68</v>
      </c>
      <c r="C990">
        <v>68</v>
      </c>
      <c r="D990">
        <v>1951</v>
      </c>
      <c r="E990">
        <v>4</v>
      </c>
      <c r="F990" t="str">
        <f t="shared" si="46"/>
        <v>65+</v>
      </c>
      <c r="G990" t="s">
        <v>19</v>
      </c>
      <c r="H990" t="s">
        <v>1321</v>
      </c>
      <c r="I990">
        <v>29.91</v>
      </c>
      <c r="J990">
        <v>-90.05</v>
      </c>
      <c r="K990" t="s">
        <v>1322</v>
      </c>
      <c r="L990" s="4">
        <v>39832</v>
      </c>
      <c r="M990" s="4">
        <v>5377</v>
      </c>
      <c r="N990" s="11">
        <f t="shared" si="45"/>
        <v>0.1349919662582848</v>
      </c>
      <c r="O990">
        <v>785</v>
      </c>
      <c r="P990" t="str">
        <f t="shared" si="47"/>
        <v>Very Good</v>
      </c>
      <c r="Q990">
        <v>4</v>
      </c>
    </row>
    <row r="991" spans="1:17" x14ac:dyDescent="0.3">
      <c r="A991">
        <v>989</v>
      </c>
      <c r="B991">
        <v>78</v>
      </c>
      <c r="C991">
        <v>66</v>
      </c>
      <c r="D991">
        <v>1941</v>
      </c>
      <c r="E991">
        <v>9</v>
      </c>
      <c r="F991" t="str">
        <f t="shared" si="46"/>
        <v>65+</v>
      </c>
      <c r="G991" t="s">
        <v>19</v>
      </c>
      <c r="H991" t="s">
        <v>1885</v>
      </c>
      <c r="I991">
        <v>38.869999999999997</v>
      </c>
      <c r="J991">
        <v>-77.400000000000006</v>
      </c>
      <c r="K991" t="s">
        <v>1886</v>
      </c>
      <c r="L991" s="4">
        <v>113514</v>
      </c>
      <c r="M991" s="4">
        <v>16524</v>
      </c>
      <c r="N991" s="11">
        <f t="shared" si="45"/>
        <v>0.14556794756593899</v>
      </c>
      <c r="O991">
        <v>727</v>
      </c>
      <c r="P991" t="str">
        <f t="shared" si="47"/>
        <v>Good</v>
      </c>
      <c r="Q991">
        <v>8</v>
      </c>
    </row>
    <row r="992" spans="1:17" x14ac:dyDescent="0.3">
      <c r="A992">
        <v>990</v>
      </c>
      <c r="B992">
        <v>91</v>
      </c>
      <c r="C992">
        <v>67</v>
      </c>
      <c r="D992">
        <v>1929</v>
      </c>
      <c r="E992">
        <v>1</v>
      </c>
      <c r="F992" t="str">
        <f t="shared" si="46"/>
        <v>65+</v>
      </c>
      <c r="G992" t="s">
        <v>14</v>
      </c>
      <c r="H992" t="s">
        <v>1824</v>
      </c>
      <c r="I992">
        <v>30.09</v>
      </c>
      <c r="J992">
        <v>-90.99</v>
      </c>
      <c r="K992" t="s">
        <v>1825</v>
      </c>
      <c r="L992" s="4">
        <v>27150</v>
      </c>
      <c r="M992" s="4">
        <v>2007</v>
      </c>
      <c r="N992" s="11">
        <f t="shared" si="45"/>
        <v>7.3922651933701664E-2</v>
      </c>
      <c r="O992">
        <v>737</v>
      </c>
      <c r="P992" t="str">
        <f t="shared" si="47"/>
        <v>Good</v>
      </c>
      <c r="Q992">
        <v>1</v>
      </c>
    </row>
    <row r="993" spans="1:17" x14ac:dyDescent="0.3">
      <c r="A993">
        <v>991</v>
      </c>
      <c r="B993">
        <v>52</v>
      </c>
      <c r="C993">
        <v>60</v>
      </c>
      <c r="D993">
        <v>1967</v>
      </c>
      <c r="E993">
        <v>8</v>
      </c>
      <c r="F993" t="str">
        <f t="shared" si="46"/>
        <v>51-60</v>
      </c>
      <c r="G993" t="s">
        <v>19</v>
      </c>
      <c r="H993" t="s">
        <v>1591</v>
      </c>
      <c r="I993">
        <v>41.37</v>
      </c>
      <c r="J993">
        <v>-82.1</v>
      </c>
      <c r="K993" t="s">
        <v>1592</v>
      </c>
      <c r="L993" s="4">
        <v>36927</v>
      </c>
      <c r="M993" s="4">
        <v>54145</v>
      </c>
      <c r="N993" s="11">
        <f t="shared" si="45"/>
        <v>1.4662712920085574</v>
      </c>
      <c r="O993">
        <v>554</v>
      </c>
      <c r="P993" t="str">
        <f t="shared" si="47"/>
        <v>Poor</v>
      </c>
      <c r="Q993">
        <v>1</v>
      </c>
    </row>
    <row r="994" spans="1:17" x14ac:dyDescent="0.3">
      <c r="A994">
        <v>992</v>
      </c>
      <c r="B994">
        <v>46</v>
      </c>
      <c r="C994">
        <v>70</v>
      </c>
      <c r="D994">
        <v>1973</v>
      </c>
      <c r="E994">
        <v>4</v>
      </c>
      <c r="F994" t="str">
        <f t="shared" si="46"/>
        <v>36-50</v>
      </c>
      <c r="G994" t="s">
        <v>19</v>
      </c>
      <c r="H994" t="s">
        <v>972</v>
      </c>
      <c r="I994">
        <v>37.369999999999997</v>
      </c>
      <c r="J994">
        <v>-77.5</v>
      </c>
      <c r="K994" t="s">
        <v>973</v>
      </c>
      <c r="L994" s="4">
        <v>54881</v>
      </c>
      <c r="M994" s="4">
        <v>3584</v>
      </c>
      <c r="N994" s="11">
        <f t="shared" si="45"/>
        <v>6.5304932490297188E-2</v>
      </c>
      <c r="O994">
        <v>700</v>
      </c>
      <c r="P994" t="str">
        <f t="shared" si="47"/>
        <v>Good</v>
      </c>
      <c r="Q994">
        <v>4</v>
      </c>
    </row>
    <row r="995" spans="1:17" x14ac:dyDescent="0.3">
      <c r="A995">
        <v>993</v>
      </c>
      <c r="B995">
        <v>47</v>
      </c>
      <c r="C995">
        <v>64</v>
      </c>
      <c r="D995">
        <v>1972</v>
      </c>
      <c r="E995">
        <v>8</v>
      </c>
      <c r="F995" t="str">
        <f t="shared" si="46"/>
        <v>36-50</v>
      </c>
      <c r="G995" t="s">
        <v>14</v>
      </c>
      <c r="H995" t="s">
        <v>1063</v>
      </c>
      <c r="I995">
        <v>29.43</v>
      </c>
      <c r="J995">
        <v>-90.3</v>
      </c>
      <c r="K995" t="s">
        <v>1064</v>
      </c>
      <c r="L995" s="4">
        <v>44789</v>
      </c>
      <c r="M995" s="4">
        <v>94789</v>
      </c>
      <c r="N995" s="11">
        <f t="shared" si="45"/>
        <v>2.1163455312688382</v>
      </c>
      <c r="O995">
        <v>638</v>
      </c>
      <c r="P995" t="str">
        <f t="shared" si="47"/>
        <v>Fair</v>
      </c>
      <c r="Q995">
        <v>1</v>
      </c>
    </row>
    <row r="996" spans="1:17" x14ac:dyDescent="0.3">
      <c r="A996">
        <v>994</v>
      </c>
      <c r="B996">
        <v>85</v>
      </c>
      <c r="C996">
        <v>67</v>
      </c>
      <c r="D996">
        <v>1934</v>
      </c>
      <c r="E996">
        <v>10</v>
      </c>
      <c r="F996" t="str">
        <f t="shared" si="46"/>
        <v>65+</v>
      </c>
      <c r="G996" t="s">
        <v>14</v>
      </c>
      <c r="H996" t="s">
        <v>661</v>
      </c>
      <c r="I996">
        <v>40.090000000000003</v>
      </c>
      <c r="J996">
        <v>-74.209999999999994</v>
      </c>
      <c r="K996" t="s">
        <v>662</v>
      </c>
      <c r="L996" s="4">
        <v>9795</v>
      </c>
      <c r="M996" s="4">
        <v>396</v>
      </c>
      <c r="N996" s="11">
        <f t="shared" si="45"/>
        <v>4.042879019908116E-2</v>
      </c>
      <c r="O996">
        <v>771</v>
      </c>
      <c r="P996" t="str">
        <f t="shared" si="47"/>
        <v>Very Good</v>
      </c>
      <c r="Q996">
        <v>7</v>
      </c>
    </row>
    <row r="997" spans="1:17" x14ac:dyDescent="0.3">
      <c r="A997">
        <v>995</v>
      </c>
      <c r="B997">
        <v>40</v>
      </c>
      <c r="C997">
        <v>64</v>
      </c>
      <c r="D997">
        <v>1979</v>
      </c>
      <c r="E997">
        <v>5</v>
      </c>
      <c r="F997" t="str">
        <f t="shared" si="46"/>
        <v>36-50</v>
      </c>
      <c r="G997" t="s">
        <v>14</v>
      </c>
      <c r="H997" t="s">
        <v>268</v>
      </c>
      <c r="I997">
        <v>35.46</v>
      </c>
      <c r="J997">
        <v>-97.51</v>
      </c>
      <c r="K997" t="s">
        <v>269</v>
      </c>
      <c r="L997" s="4">
        <v>101679</v>
      </c>
      <c r="M997" s="4">
        <v>307856</v>
      </c>
      <c r="N997" s="11">
        <f t="shared" si="45"/>
        <v>3.0277245055517854</v>
      </c>
      <c r="O997">
        <v>592</v>
      </c>
      <c r="P997" t="str">
        <f t="shared" si="47"/>
        <v>Fair</v>
      </c>
      <c r="Q997">
        <v>1</v>
      </c>
    </row>
    <row r="998" spans="1:17" x14ac:dyDescent="0.3">
      <c r="A998">
        <v>996</v>
      </c>
      <c r="B998">
        <v>63</v>
      </c>
      <c r="C998">
        <v>67</v>
      </c>
      <c r="D998">
        <v>1956</v>
      </c>
      <c r="E998">
        <v>11</v>
      </c>
      <c r="F998" t="str">
        <f t="shared" si="46"/>
        <v>51-60</v>
      </c>
      <c r="G998" t="s">
        <v>14</v>
      </c>
      <c r="H998" t="s">
        <v>126</v>
      </c>
      <c r="I998">
        <v>26.02</v>
      </c>
      <c r="J998">
        <v>-80.16</v>
      </c>
      <c r="K998" t="s">
        <v>127</v>
      </c>
      <c r="L998" s="4">
        <v>40194</v>
      </c>
      <c r="M998" s="4">
        <v>107765</v>
      </c>
      <c r="N998" s="11">
        <f t="shared" si="45"/>
        <v>2.6811215604319054</v>
      </c>
      <c r="O998">
        <v>738</v>
      </c>
      <c r="P998" t="str">
        <f t="shared" si="47"/>
        <v>Good</v>
      </c>
      <c r="Q998">
        <v>6</v>
      </c>
    </row>
    <row r="999" spans="1:17" x14ac:dyDescent="0.3">
      <c r="A999">
        <v>997</v>
      </c>
      <c r="B999">
        <v>57</v>
      </c>
      <c r="C999">
        <v>67</v>
      </c>
      <c r="D999">
        <v>1963</v>
      </c>
      <c r="E999">
        <v>2</v>
      </c>
      <c r="F999" t="str">
        <f t="shared" si="46"/>
        <v>51-60</v>
      </c>
      <c r="G999" t="s">
        <v>14</v>
      </c>
      <c r="H999" t="s">
        <v>887</v>
      </c>
      <c r="I999">
        <v>32.64</v>
      </c>
      <c r="J999">
        <v>-116.98</v>
      </c>
      <c r="K999" t="s">
        <v>888</v>
      </c>
      <c r="L999" s="4">
        <v>54963</v>
      </c>
      <c r="M999" s="4">
        <v>105623</v>
      </c>
      <c r="N999" s="11">
        <f t="shared" si="45"/>
        <v>1.9217109691974601</v>
      </c>
      <c r="O999">
        <v>675</v>
      </c>
      <c r="P999" t="str">
        <f t="shared" si="47"/>
        <v>Good</v>
      </c>
      <c r="Q999">
        <v>4</v>
      </c>
    </row>
    <row r="1000" spans="1:17" x14ac:dyDescent="0.3">
      <c r="A1000">
        <v>998</v>
      </c>
      <c r="B1000">
        <v>18</v>
      </c>
      <c r="C1000">
        <v>67</v>
      </c>
      <c r="D1000">
        <v>2001</v>
      </c>
      <c r="E1000">
        <v>11</v>
      </c>
      <c r="F1000" t="str">
        <f t="shared" si="46"/>
        <v>18-25</v>
      </c>
      <c r="G1000" t="s">
        <v>19</v>
      </c>
      <c r="H1000" t="s">
        <v>1826</v>
      </c>
      <c r="I1000">
        <v>34.08</v>
      </c>
      <c r="J1000">
        <v>-117.46</v>
      </c>
      <c r="K1000" t="s">
        <v>899</v>
      </c>
      <c r="L1000" s="4">
        <v>28006</v>
      </c>
      <c r="M1000" s="4">
        <v>19518</v>
      </c>
      <c r="N1000" s="11">
        <f t="shared" si="45"/>
        <v>0.69692208812397338</v>
      </c>
      <c r="O1000">
        <v>703</v>
      </c>
      <c r="P1000" t="str">
        <f t="shared" si="47"/>
        <v>Good</v>
      </c>
      <c r="Q1000">
        <v>2</v>
      </c>
    </row>
    <row r="1001" spans="1:17" x14ac:dyDescent="0.3">
      <c r="A1001">
        <v>999</v>
      </c>
      <c r="B1001">
        <v>19</v>
      </c>
      <c r="C1001">
        <v>62</v>
      </c>
      <c r="D1001">
        <v>2000</v>
      </c>
      <c r="E1001">
        <v>10</v>
      </c>
      <c r="F1001" t="str">
        <f t="shared" si="46"/>
        <v>18-25</v>
      </c>
      <c r="G1001" t="s">
        <v>14</v>
      </c>
      <c r="H1001" t="s">
        <v>962</v>
      </c>
      <c r="I1001">
        <v>42.26</v>
      </c>
      <c r="J1001">
        <v>-71.11</v>
      </c>
      <c r="K1001" t="s">
        <v>963</v>
      </c>
      <c r="L1001" s="4">
        <v>48308</v>
      </c>
      <c r="M1001" s="4">
        <v>106571</v>
      </c>
      <c r="N1001" s="11">
        <f t="shared" si="45"/>
        <v>2.206073528194088</v>
      </c>
      <c r="O1001">
        <v>703</v>
      </c>
      <c r="P1001" t="str">
        <f t="shared" si="47"/>
        <v>Good</v>
      </c>
      <c r="Q1001">
        <v>4</v>
      </c>
    </row>
  </sheetData>
  <autoFilter ref="A1:S2001" xr:uid="{95051B67-ADFE-448E-A377-5C2BD2148669}">
    <sortState xmlns:xlrd2="http://schemas.microsoft.com/office/spreadsheetml/2017/richdata2" ref="A2:S2001">
      <sortCondition ref="A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32344-C5E6-4A2F-8AC6-8513535E402D}">
  <dimension ref="A1:L1000"/>
  <sheetViews>
    <sheetView workbookViewId="0">
      <pane ySplit="1" topLeftCell="A1000" activePane="bottomLeft" state="frozen"/>
      <selection pane="bottomLeft" activeCell="C1003" sqref="C1003"/>
    </sheetView>
  </sheetViews>
  <sheetFormatPr defaultRowHeight="14.4" x14ac:dyDescent="0.3"/>
  <cols>
    <col min="1" max="1" width="10.44140625" bestFit="1" customWidth="1"/>
    <col min="2" max="2" width="8" bestFit="1" customWidth="1"/>
    <col min="3" max="3" width="16.5546875" style="13" bestFit="1" customWidth="1"/>
    <col min="4" max="4" width="9.44140625" bestFit="1" customWidth="1"/>
    <col min="5" max="5" width="9.5546875" bestFit="1" customWidth="1"/>
    <col min="6" max="6" width="16.109375" bestFit="1" customWidth="1"/>
    <col min="7" max="7" width="13.6640625" bestFit="1" customWidth="1"/>
    <col min="8" max="8" width="21.5546875" bestFit="1" customWidth="1"/>
    <col min="9" max="9" width="18" bestFit="1" customWidth="1"/>
    <col min="10" max="10" width="8.88671875" style="8"/>
  </cols>
  <sheetData>
    <row r="1" spans="1:12" s="3" customFormat="1" x14ac:dyDescent="0.3">
      <c r="A1" s="3" t="s">
        <v>2043</v>
      </c>
      <c r="B1" s="3" t="s">
        <v>0</v>
      </c>
      <c r="C1" s="12" t="s">
        <v>2044</v>
      </c>
      <c r="D1" s="3" t="s">
        <v>2042</v>
      </c>
      <c r="E1" s="3" t="s">
        <v>2041</v>
      </c>
      <c r="F1" s="3" t="s">
        <v>2040</v>
      </c>
      <c r="G1" s="3" t="s">
        <v>2039</v>
      </c>
      <c r="H1" s="3" t="s">
        <v>2038</v>
      </c>
      <c r="I1" s="3" t="s">
        <v>2037</v>
      </c>
      <c r="J1" s="7" t="s">
        <v>2036</v>
      </c>
      <c r="K1" s="3" t="s">
        <v>2035</v>
      </c>
      <c r="L1" s="3" t="s">
        <v>2034</v>
      </c>
    </row>
    <row r="2" spans="1:12" x14ac:dyDescent="0.3">
      <c r="A2">
        <v>0</v>
      </c>
      <c r="B2">
        <v>7477483</v>
      </c>
      <c r="C2" s="13">
        <v>40179.548611111109</v>
      </c>
      <c r="D2">
        <v>4639</v>
      </c>
      <c r="E2">
        <v>33.96</v>
      </c>
      <c r="F2" t="s">
        <v>1987</v>
      </c>
      <c r="G2">
        <v>20519</v>
      </c>
      <c r="H2" t="s">
        <v>2002</v>
      </c>
      <c r="I2" t="s">
        <v>2001</v>
      </c>
      <c r="J2" s="8">
        <v>4101</v>
      </c>
      <c r="K2">
        <v>5942</v>
      </c>
    </row>
    <row r="3" spans="1:12" x14ac:dyDescent="0.3">
      <c r="A3">
        <v>0</v>
      </c>
      <c r="B3">
        <v>7478861</v>
      </c>
      <c r="C3" s="13">
        <v>40179.818749999999</v>
      </c>
      <c r="D3">
        <v>4639</v>
      </c>
      <c r="E3">
        <v>7.78</v>
      </c>
      <c r="F3" t="s">
        <v>1987</v>
      </c>
      <c r="G3">
        <v>55060</v>
      </c>
      <c r="H3" t="s">
        <v>2014</v>
      </c>
      <c r="I3" t="s">
        <v>2001</v>
      </c>
      <c r="J3" s="8">
        <v>4074</v>
      </c>
      <c r="K3">
        <v>5812</v>
      </c>
    </row>
    <row r="4" spans="1:12" x14ac:dyDescent="0.3">
      <c r="A4">
        <v>0</v>
      </c>
      <c r="B4">
        <v>7479264</v>
      </c>
      <c r="C4" s="13">
        <v>40179.925694444442</v>
      </c>
      <c r="D4">
        <v>4639</v>
      </c>
      <c r="E4">
        <v>65.86</v>
      </c>
      <c r="F4" t="s">
        <v>1987</v>
      </c>
      <c r="G4">
        <v>32164</v>
      </c>
      <c r="H4" t="s">
        <v>2014</v>
      </c>
      <c r="I4" t="s">
        <v>2001</v>
      </c>
      <c r="J4" s="8">
        <v>4074</v>
      </c>
      <c r="K4">
        <v>5813</v>
      </c>
    </row>
    <row r="5" spans="1:12" x14ac:dyDescent="0.3">
      <c r="A5">
        <v>0</v>
      </c>
      <c r="B5">
        <v>7481226</v>
      </c>
      <c r="C5" s="13">
        <v>40180.547222222223</v>
      </c>
      <c r="D5">
        <v>4639</v>
      </c>
      <c r="E5">
        <v>55.85</v>
      </c>
      <c r="F5" t="s">
        <v>1987</v>
      </c>
      <c r="G5">
        <v>26909</v>
      </c>
      <c r="H5" t="s">
        <v>2026</v>
      </c>
      <c r="I5" t="s">
        <v>2001</v>
      </c>
      <c r="J5" s="8">
        <v>4084</v>
      </c>
      <c r="K5">
        <v>5211</v>
      </c>
    </row>
    <row r="6" spans="1:12" x14ac:dyDescent="0.3">
      <c r="A6">
        <v>0</v>
      </c>
      <c r="B6">
        <v>7485861</v>
      </c>
      <c r="C6" s="13">
        <v>40181.655555555553</v>
      </c>
      <c r="D6">
        <v>4639</v>
      </c>
      <c r="E6">
        <v>1.37</v>
      </c>
      <c r="F6" t="s">
        <v>1987</v>
      </c>
      <c r="G6">
        <v>14528</v>
      </c>
      <c r="H6" t="s">
        <v>2014</v>
      </c>
      <c r="I6" t="s">
        <v>2001</v>
      </c>
      <c r="J6" s="8">
        <v>4074</v>
      </c>
      <c r="K6">
        <v>5499</v>
      </c>
    </row>
    <row r="7" spans="1:12" x14ac:dyDescent="0.3">
      <c r="A7">
        <v>0</v>
      </c>
      <c r="B7">
        <v>7486840</v>
      </c>
      <c r="C7" s="13">
        <v>40181.911111111112</v>
      </c>
      <c r="D7">
        <v>4639</v>
      </c>
      <c r="E7">
        <v>39.909999999999997</v>
      </c>
      <c r="F7" t="s">
        <v>1987</v>
      </c>
      <c r="G7">
        <v>32164</v>
      </c>
      <c r="H7" t="s">
        <v>2014</v>
      </c>
      <c r="I7" t="s">
        <v>2001</v>
      </c>
      <c r="J7" s="8">
        <v>4074</v>
      </c>
      <c r="K7">
        <v>5813</v>
      </c>
    </row>
    <row r="8" spans="1:12" x14ac:dyDescent="0.3">
      <c r="A8">
        <v>0</v>
      </c>
      <c r="B8">
        <v>7487951</v>
      </c>
      <c r="C8" s="13">
        <v>40182.367361111108</v>
      </c>
      <c r="D8">
        <v>4639</v>
      </c>
      <c r="E8">
        <v>167.62</v>
      </c>
      <c r="F8" t="s">
        <v>1994</v>
      </c>
      <c r="G8">
        <v>73186</v>
      </c>
      <c r="H8" t="s">
        <v>1993</v>
      </c>
      <c r="I8" t="s">
        <v>3719</v>
      </c>
      <c r="J8" s="8" t="s">
        <v>3719</v>
      </c>
      <c r="K8">
        <v>4814</v>
      </c>
    </row>
    <row r="9" spans="1:12" x14ac:dyDescent="0.3">
      <c r="A9">
        <v>0</v>
      </c>
      <c r="B9">
        <v>7489145</v>
      </c>
      <c r="C9" s="13">
        <v>40182.543749999997</v>
      </c>
      <c r="D9">
        <v>4639</v>
      </c>
      <c r="E9">
        <v>28.68</v>
      </c>
      <c r="F9" t="s">
        <v>1994</v>
      </c>
      <c r="G9">
        <v>18563</v>
      </c>
      <c r="H9" t="s">
        <v>1993</v>
      </c>
      <c r="I9" t="s">
        <v>3719</v>
      </c>
      <c r="J9" s="8" t="s">
        <v>3719</v>
      </c>
      <c r="K9">
        <v>4121</v>
      </c>
    </row>
    <row r="10" spans="1:12" x14ac:dyDescent="0.3">
      <c r="A10">
        <v>0</v>
      </c>
      <c r="B10">
        <v>7489223</v>
      </c>
      <c r="C10" s="13">
        <v>40182.554861111108</v>
      </c>
      <c r="D10">
        <v>4639</v>
      </c>
      <c r="E10">
        <v>30.32</v>
      </c>
      <c r="F10" t="s">
        <v>1987</v>
      </c>
      <c r="G10">
        <v>48919</v>
      </c>
      <c r="H10" t="s">
        <v>2022</v>
      </c>
      <c r="I10" t="s">
        <v>2001</v>
      </c>
      <c r="J10" s="8">
        <v>4083</v>
      </c>
      <c r="K10">
        <v>5311</v>
      </c>
    </row>
    <row r="11" spans="1:12" x14ac:dyDescent="0.3">
      <c r="A11">
        <v>0</v>
      </c>
      <c r="B11">
        <v>7489546</v>
      </c>
      <c r="C11" s="13">
        <v>40182.61041666667</v>
      </c>
      <c r="D11">
        <v>4639</v>
      </c>
      <c r="E11">
        <v>2.34</v>
      </c>
      <c r="F11" t="s">
        <v>1987</v>
      </c>
      <c r="G11">
        <v>14528</v>
      </c>
      <c r="H11" t="s">
        <v>2014</v>
      </c>
      <c r="I11" t="s">
        <v>2001</v>
      </c>
      <c r="J11" s="8">
        <v>4074</v>
      </c>
      <c r="K11">
        <v>5499</v>
      </c>
    </row>
    <row r="12" spans="1:12" x14ac:dyDescent="0.3">
      <c r="A12">
        <v>0</v>
      </c>
      <c r="B12">
        <v>7490538</v>
      </c>
      <c r="C12" s="13">
        <v>40182.829861111109</v>
      </c>
      <c r="D12">
        <v>4639</v>
      </c>
      <c r="E12">
        <v>7.79</v>
      </c>
      <c r="F12" t="s">
        <v>1987</v>
      </c>
      <c r="G12">
        <v>55060</v>
      </c>
      <c r="H12" t="s">
        <v>2014</v>
      </c>
      <c r="I12" t="s">
        <v>2001</v>
      </c>
      <c r="J12" s="8">
        <v>4074</v>
      </c>
      <c r="K12">
        <v>5812</v>
      </c>
    </row>
    <row r="13" spans="1:12" x14ac:dyDescent="0.3">
      <c r="A13">
        <v>0</v>
      </c>
      <c r="B13">
        <v>7491448</v>
      </c>
      <c r="C13" s="13">
        <v>40183.304861111108</v>
      </c>
      <c r="D13">
        <v>4639</v>
      </c>
      <c r="E13">
        <v>103.75</v>
      </c>
      <c r="F13" t="s">
        <v>1987</v>
      </c>
      <c r="G13">
        <v>60569</v>
      </c>
      <c r="H13" t="s">
        <v>2017</v>
      </c>
      <c r="I13" t="s">
        <v>2001</v>
      </c>
      <c r="J13" s="8">
        <v>4240</v>
      </c>
      <c r="K13">
        <v>5300</v>
      </c>
    </row>
    <row r="14" spans="1:12" x14ac:dyDescent="0.3">
      <c r="A14">
        <v>0</v>
      </c>
      <c r="B14">
        <v>7492801</v>
      </c>
      <c r="C14" s="13">
        <v>40183.506249999999</v>
      </c>
      <c r="D14">
        <v>4639</v>
      </c>
      <c r="E14">
        <v>23.85</v>
      </c>
      <c r="F14" t="s">
        <v>1987</v>
      </c>
      <c r="G14">
        <v>83271</v>
      </c>
      <c r="H14" t="s">
        <v>2002</v>
      </c>
      <c r="I14" t="s">
        <v>2001</v>
      </c>
      <c r="J14" s="8">
        <v>4103</v>
      </c>
      <c r="K14">
        <v>4214</v>
      </c>
    </row>
    <row r="15" spans="1:12" x14ac:dyDescent="0.3">
      <c r="A15">
        <v>0</v>
      </c>
      <c r="B15">
        <v>7493351</v>
      </c>
      <c r="C15" s="13">
        <v>40183.584722222222</v>
      </c>
      <c r="D15">
        <v>4639</v>
      </c>
      <c r="E15">
        <v>25.72</v>
      </c>
      <c r="F15" t="s">
        <v>1994</v>
      </c>
      <c r="G15">
        <v>16798</v>
      </c>
      <c r="H15" t="s">
        <v>1993</v>
      </c>
      <c r="I15" t="s">
        <v>3719</v>
      </c>
      <c r="J15" s="8" t="s">
        <v>3719</v>
      </c>
      <c r="K15">
        <v>4121</v>
      </c>
    </row>
    <row r="16" spans="1:12" x14ac:dyDescent="0.3">
      <c r="A16">
        <v>0</v>
      </c>
      <c r="B16">
        <v>7493795</v>
      </c>
      <c r="C16" s="13">
        <v>40183.65902777778</v>
      </c>
      <c r="D16">
        <v>4639</v>
      </c>
      <c r="E16">
        <v>19.93</v>
      </c>
      <c r="F16" t="s">
        <v>1987</v>
      </c>
      <c r="G16">
        <v>50783</v>
      </c>
      <c r="H16" t="s">
        <v>2023</v>
      </c>
      <c r="I16" t="s">
        <v>2001</v>
      </c>
      <c r="J16" s="8">
        <v>4085</v>
      </c>
      <c r="K16">
        <v>5411</v>
      </c>
    </row>
    <row r="17" spans="1:11" x14ac:dyDescent="0.3">
      <c r="A17">
        <v>0</v>
      </c>
      <c r="B17">
        <v>7496954</v>
      </c>
      <c r="C17" s="13">
        <v>40184.521527777775</v>
      </c>
      <c r="D17">
        <v>4639</v>
      </c>
      <c r="E17">
        <v>-100</v>
      </c>
      <c r="F17" t="s">
        <v>1987</v>
      </c>
      <c r="G17">
        <v>28395</v>
      </c>
      <c r="H17" t="s">
        <v>2022</v>
      </c>
      <c r="I17" t="s">
        <v>2001</v>
      </c>
      <c r="J17" s="8">
        <v>4083</v>
      </c>
      <c r="K17">
        <v>5541</v>
      </c>
    </row>
    <row r="18" spans="1:11" x14ac:dyDescent="0.3">
      <c r="A18">
        <v>0</v>
      </c>
      <c r="B18">
        <v>7497051</v>
      </c>
      <c r="C18" s="13">
        <v>40184.534722222219</v>
      </c>
      <c r="D18">
        <v>4639</v>
      </c>
      <c r="E18">
        <v>61.43</v>
      </c>
      <c r="F18" t="s">
        <v>1987</v>
      </c>
      <c r="G18">
        <v>28395</v>
      </c>
      <c r="H18" t="s">
        <v>2022</v>
      </c>
      <c r="I18" t="s">
        <v>2001</v>
      </c>
      <c r="J18" s="8">
        <v>4083</v>
      </c>
      <c r="K18">
        <v>5541</v>
      </c>
    </row>
    <row r="19" spans="1:11" x14ac:dyDescent="0.3">
      <c r="A19">
        <v>0</v>
      </c>
      <c r="B19">
        <v>7497089</v>
      </c>
      <c r="C19" s="13">
        <v>40184.538888888892</v>
      </c>
      <c r="D19">
        <v>4639</v>
      </c>
      <c r="E19">
        <v>100</v>
      </c>
      <c r="F19" t="s">
        <v>1987</v>
      </c>
      <c r="G19">
        <v>28395</v>
      </c>
      <c r="H19" t="s">
        <v>2022</v>
      </c>
      <c r="I19" t="s">
        <v>2001</v>
      </c>
      <c r="J19" s="8">
        <v>4083</v>
      </c>
      <c r="K19">
        <v>5541</v>
      </c>
    </row>
    <row r="20" spans="1:11" x14ac:dyDescent="0.3">
      <c r="A20">
        <v>0</v>
      </c>
      <c r="B20">
        <v>7498826</v>
      </c>
      <c r="C20" s="13">
        <v>40184.930555555555</v>
      </c>
      <c r="D20">
        <v>4639</v>
      </c>
      <c r="E20">
        <v>57.82</v>
      </c>
      <c r="F20" t="s">
        <v>1987</v>
      </c>
      <c r="G20">
        <v>32164</v>
      </c>
      <c r="H20" t="s">
        <v>2014</v>
      </c>
      <c r="I20" t="s">
        <v>2001</v>
      </c>
      <c r="J20" s="8">
        <v>4074</v>
      </c>
      <c r="K20">
        <v>5813</v>
      </c>
    </row>
    <row r="21" spans="1:11" x14ac:dyDescent="0.3">
      <c r="A21">
        <v>0</v>
      </c>
      <c r="B21">
        <v>7499037</v>
      </c>
      <c r="C21" s="13">
        <v>40185.100694444445</v>
      </c>
      <c r="D21">
        <v>4639</v>
      </c>
      <c r="E21">
        <v>104.01</v>
      </c>
      <c r="F21" t="s">
        <v>1994</v>
      </c>
      <c r="G21">
        <v>73186</v>
      </c>
      <c r="H21" t="s">
        <v>1993</v>
      </c>
      <c r="I21" t="s">
        <v>3719</v>
      </c>
      <c r="J21" s="8" t="s">
        <v>3719</v>
      </c>
      <c r="K21">
        <v>4814</v>
      </c>
    </row>
    <row r="22" spans="1:11" x14ac:dyDescent="0.3">
      <c r="A22">
        <v>0</v>
      </c>
      <c r="B22">
        <v>7500726</v>
      </c>
      <c r="C22" s="13">
        <v>40185.495138888888</v>
      </c>
      <c r="D22">
        <v>4639</v>
      </c>
      <c r="E22">
        <v>41.42</v>
      </c>
      <c r="F22" t="s">
        <v>1987</v>
      </c>
      <c r="G22">
        <v>57053</v>
      </c>
      <c r="H22" t="s">
        <v>2014</v>
      </c>
      <c r="I22" t="s">
        <v>2001</v>
      </c>
      <c r="J22" s="8">
        <v>4074</v>
      </c>
      <c r="K22">
        <v>7538</v>
      </c>
    </row>
    <row r="23" spans="1:11" x14ac:dyDescent="0.3">
      <c r="A23">
        <v>0</v>
      </c>
      <c r="B23">
        <v>7501204</v>
      </c>
      <c r="C23" s="13">
        <v>40185.5625</v>
      </c>
      <c r="D23">
        <v>4639</v>
      </c>
      <c r="E23">
        <v>43.31</v>
      </c>
      <c r="F23" t="s">
        <v>1987</v>
      </c>
      <c r="G23">
        <v>43925</v>
      </c>
      <c r="H23" t="s">
        <v>2014</v>
      </c>
      <c r="I23" t="s">
        <v>2001</v>
      </c>
      <c r="J23" s="8">
        <v>4074</v>
      </c>
      <c r="K23">
        <v>5411</v>
      </c>
    </row>
    <row r="24" spans="1:11" x14ac:dyDescent="0.3">
      <c r="A24">
        <v>0</v>
      </c>
      <c r="B24">
        <v>7502275</v>
      </c>
      <c r="C24" s="13">
        <v>40185.755555555559</v>
      </c>
      <c r="D24">
        <v>4639</v>
      </c>
      <c r="E24">
        <v>180</v>
      </c>
      <c r="F24" t="s">
        <v>1987</v>
      </c>
      <c r="G24">
        <v>78644</v>
      </c>
      <c r="H24" t="s">
        <v>2005</v>
      </c>
      <c r="I24" t="s">
        <v>1999</v>
      </c>
      <c r="J24" s="8">
        <v>89148</v>
      </c>
      <c r="K24">
        <v>3775</v>
      </c>
    </row>
    <row r="25" spans="1:11" x14ac:dyDescent="0.3">
      <c r="A25">
        <v>0</v>
      </c>
      <c r="B25">
        <v>7502497</v>
      </c>
      <c r="C25" s="13">
        <v>40185.817361111112</v>
      </c>
      <c r="D25">
        <v>4639</v>
      </c>
      <c r="E25">
        <v>10.64</v>
      </c>
      <c r="F25" t="s">
        <v>1987</v>
      </c>
      <c r="G25">
        <v>55060</v>
      </c>
      <c r="H25" t="s">
        <v>2008</v>
      </c>
      <c r="I25" t="s">
        <v>1997</v>
      </c>
      <c r="J25" s="8">
        <v>1062</v>
      </c>
      <c r="K25">
        <v>5812</v>
      </c>
    </row>
    <row r="26" spans="1:11" x14ac:dyDescent="0.3">
      <c r="A26">
        <v>0</v>
      </c>
      <c r="B26">
        <v>7502841</v>
      </c>
      <c r="C26" s="13">
        <v>40185.93472222222</v>
      </c>
      <c r="D26">
        <v>4639</v>
      </c>
      <c r="E26">
        <v>49.73</v>
      </c>
      <c r="F26" t="s">
        <v>1987</v>
      </c>
      <c r="G26">
        <v>99130</v>
      </c>
      <c r="H26" t="s">
        <v>2008</v>
      </c>
      <c r="I26" t="s">
        <v>1997</v>
      </c>
      <c r="J26" s="8">
        <v>1062</v>
      </c>
      <c r="K26">
        <v>5813</v>
      </c>
    </row>
    <row r="27" spans="1:11" x14ac:dyDescent="0.3">
      <c r="A27">
        <v>0</v>
      </c>
      <c r="B27">
        <v>7506193</v>
      </c>
      <c r="C27" s="13">
        <v>40186.856944444444</v>
      </c>
      <c r="D27">
        <v>4639</v>
      </c>
      <c r="E27">
        <v>8.5299999999999994</v>
      </c>
      <c r="F27" t="s">
        <v>1987</v>
      </c>
      <c r="G27">
        <v>2703</v>
      </c>
      <c r="H27" t="s">
        <v>2008</v>
      </c>
      <c r="I27" t="s">
        <v>1997</v>
      </c>
      <c r="J27" s="8">
        <v>1062</v>
      </c>
      <c r="K27">
        <v>5814</v>
      </c>
    </row>
    <row r="28" spans="1:11" x14ac:dyDescent="0.3">
      <c r="A28">
        <v>0</v>
      </c>
      <c r="B28">
        <v>7506393</v>
      </c>
      <c r="C28" s="13">
        <v>40186.921527777777</v>
      </c>
      <c r="D28">
        <v>4639</v>
      </c>
      <c r="E28">
        <v>42.33</v>
      </c>
      <c r="F28" t="s">
        <v>1987</v>
      </c>
      <c r="G28">
        <v>99130</v>
      </c>
      <c r="H28" t="s">
        <v>2008</v>
      </c>
      <c r="I28" t="s">
        <v>1997</v>
      </c>
      <c r="J28" s="8">
        <v>1062</v>
      </c>
      <c r="K28">
        <v>5813</v>
      </c>
    </row>
    <row r="29" spans="1:11" x14ac:dyDescent="0.3">
      <c r="A29">
        <v>0</v>
      </c>
      <c r="B29">
        <v>7508450</v>
      </c>
      <c r="C29" s="13">
        <v>40187.54791666667</v>
      </c>
      <c r="D29">
        <v>4639</v>
      </c>
      <c r="E29">
        <v>42.41</v>
      </c>
      <c r="F29" t="s">
        <v>1987</v>
      </c>
      <c r="G29">
        <v>43293</v>
      </c>
      <c r="H29" t="s">
        <v>2008</v>
      </c>
      <c r="I29" t="s">
        <v>1997</v>
      </c>
      <c r="J29" s="8">
        <v>1062</v>
      </c>
      <c r="K29">
        <v>5499</v>
      </c>
    </row>
    <row r="30" spans="1:11" x14ac:dyDescent="0.3">
      <c r="A30">
        <v>0</v>
      </c>
      <c r="B30">
        <v>7508475</v>
      </c>
      <c r="C30" s="13">
        <v>40187.552083333336</v>
      </c>
      <c r="D30">
        <v>4639</v>
      </c>
      <c r="E30">
        <v>42.45</v>
      </c>
      <c r="F30" t="s">
        <v>1987</v>
      </c>
      <c r="G30">
        <v>44822</v>
      </c>
      <c r="H30" t="s">
        <v>2008</v>
      </c>
      <c r="I30" t="s">
        <v>1997</v>
      </c>
      <c r="J30" s="8">
        <v>1062</v>
      </c>
      <c r="K30">
        <v>5211</v>
      </c>
    </row>
    <row r="31" spans="1:11" x14ac:dyDescent="0.3">
      <c r="A31">
        <v>0</v>
      </c>
      <c r="B31">
        <v>7508494</v>
      </c>
      <c r="C31" s="13">
        <v>40187.554861111108</v>
      </c>
      <c r="D31">
        <v>4639</v>
      </c>
      <c r="E31">
        <v>79</v>
      </c>
      <c r="F31" t="s">
        <v>1987</v>
      </c>
      <c r="G31">
        <v>43293</v>
      </c>
      <c r="H31" t="s">
        <v>2008</v>
      </c>
      <c r="I31" t="s">
        <v>1997</v>
      </c>
      <c r="J31" s="8">
        <v>1062</v>
      </c>
      <c r="K31">
        <v>5499</v>
      </c>
    </row>
    <row r="32" spans="1:11" x14ac:dyDescent="0.3">
      <c r="A32">
        <v>0</v>
      </c>
      <c r="B32">
        <v>7508521</v>
      </c>
      <c r="C32" s="13">
        <v>40187.559027777781</v>
      </c>
      <c r="D32">
        <v>4639</v>
      </c>
      <c r="E32">
        <v>-79</v>
      </c>
      <c r="F32" t="s">
        <v>1987</v>
      </c>
      <c r="G32">
        <v>43293</v>
      </c>
      <c r="H32" t="s">
        <v>2008</v>
      </c>
      <c r="I32" t="s">
        <v>1997</v>
      </c>
      <c r="J32" s="8">
        <v>1062</v>
      </c>
      <c r="K32">
        <v>5499</v>
      </c>
    </row>
    <row r="33" spans="1:12" x14ac:dyDescent="0.3">
      <c r="A33">
        <v>0</v>
      </c>
      <c r="B33">
        <v>7508778</v>
      </c>
      <c r="C33" s="13">
        <v>40187.606944444444</v>
      </c>
      <c r="D33">
        <v>4639</v>
      </c>
      <c r="E33">
        <v>-180</v>
      </c>
      <c r="F33" t="s">
        <v>1987</v>
      </c>
      <c r="G33">
        <v>78644</v>
      </c>
      <c r="H33" t="s">
        <v>2005</v>
      </c>
      <c r="I33" t="s">
        <v>1999</v>
      </c>
      <c r="J33" s="8">
        <v>89148</v>
      </c>
      <c r="K33">
        <v>3775</v>
      </c>
    </row>
    <row r="34" spans="1:12" x14ac:dyDescent="0.3">
      <c r="A34">
        <v>0</v>
      </c>
      <c r="B34">
        <v>7508789</v>
      </c>
      <c r="C34" s="13">
        <v>40187.60833333333</v>
      </c>
      <c r="D34">
        <v>4639</v>
      </c>
      <c r="E34">
        <v>157.41999999999999</v>
      </c>
      <c r="F34" t="s">
        <v>1987</v>
      </c>
      <c r="G34">
        <v>78644</v>
      </c>
      <c r="H34" t="s">
        <v>2005</v>
      </c>
      <c r="I34" t="s">
        <v>1999</v>
      </c>
      <c r="J34" s="8">
        <v>89148</v>
      </c>
      <c r="K34">
        <v>3775</v>
      </c>
    </row>
    <row r="35" spans="1:12" x14ac:dyDescent="0.3">
      <c r="A35">
        <v>0</v>
      </c>
      <c r="B35">
        <v>7508868</v>
      </c>
      <c r="C35" s="13">
        <v>40187.618055555555</v>
      </c>
      <c r="D35">
        <v>4639</v>
      </c>
      <c r="E35">
        <v>128.09</v>
      </c>
      <c r="F35" t="s">
        <v>1987</v>
      </c>
      <c r="G35">
        <v>3558</v>
      </c>
      <c r="H35" t="s">
        <v>2004</v>
      </c>
      <c r="I35" t="s">
        <v>1997</v>
      </c>
      <c r="J35" s="8">
        <v>1607</v>
      </c>
      <c r="K35">
        <v>3640</v>
      </c>
      <c r="L35" t="s">
        <v>1988</v>
      </c>
    </row>
    <row r="36" spans="1:12" x14ac:dyDescent="0.3">
      <c r="A36">
        <v>0</v>
      </c>
      <c r="B36">
        <v>7509799</v>
      </c>
      <c r="C36" s="13">
        <v>40187.830555555556</v>
      </c>
      <c r="D36">
        <v>4639</v>
      </c>
      <c r="E36">
        <v>9.31</v>
      </c>
      <c r="F36" t="s">
        <v>1987</v>
      </c>
      <c r="G36">
        <v>55060</v>
      </c>
      <c r="H36" t="s">
        <v>2014</v>
      </c>
      <c r="I36" t="s">
        <v>2001</v>
      </c>
      <c r="J36" s="8">
        <v>4074</v>
      </c>
      <c r="K36">
        <v>5812</v>
      </c>
    </row>
    <row r="37" spans="1:12" x14ac:dyDescent="0.3">
      <c r="A37">
        <v>0</v>
      </c>
      <c r="B37">
        <v>7510108</v>
      </c>
      <c r="C37" s="13">
        <v>40187.931250000001</v>
      </c>
      <c r="D37">
        <v>4639</v>
      </c>
      <c r="E37">
        <v>61.32</v>
      </c>
      <c r="F37" t="s">
        <v>1987</v>
      </c>
      <c r="G37">
        <v>32164</v>
      </c>
      <c r="H37" t="s">
        <v>2014</v>
      </c>
      <c r="I37" t="s">
        <v>2001</v>
      </c>
      <c r="J37" s="8">
        <v>4074</v>
      </c>
      <c r="K37">
        <v>5813</v>
      </c>
    </row>
    <row r="38" spans="1:12" x14ac:dyDescent="0.3">
      <c r="A38">
        <v>0</v>
      </c>
      <c r="B38">
        <v>7512455</v>
      </c>
      <c r="C38" s="13">
        <v>40188.544444444444</v>
      </c>
      <c r="D38">
        <v>4639</v>
      </c>
      <c r="E38">
        <v>49.23</v>
      </c>
      <c r="F38" t="s">
        <v>1987</v>
      </c>
      <c r="G38">
        <v>50783</v>
      </c>
      <c r="H38" t="s">
        <v>2023</v>
      </c>
      <c r="I38" t="s">
        <v>2001</v>
      </c>
      <c r="J38" s="8">
        <v>4085</v>
      </c>
      <c r="K38">
        <v>5411</v>
      </c>
    </row>
    <row r="39" spans="1:12" x14ac:dyDescent="0.3">
      <c r="A39">
        <v>0</v>
      </c>
      <c r="B39">
        <v>7514158</v>
      </c>
      <c r="C39" s="13">
        <v>40188.926388888889</v>
      </c>
      <c r="D39">
        <v>4639</v>
      </c>
      <c r="E39">
        <v>20.79</v>
      </c>
      <c r="F39" t="s">
        <v>1987</v>
      </c>
      <c r="G39">
        <v>41431</v>
      </c>
      <c r="H39" t="s">
        <v>2002</v>
      </c>
      <c r="I39" t="s">
        <v>2001</v>
      </c>
      <c r="J39" s="8">
        <v>4102</v>
      </c>
      <c r="K39">
        <v>7832</v>
      </c>
    </row>
    <row r="40" spans="1:12" x14ac:dyDescent="0.3">
      <c r="A40">
        <v>0</v>
      </c>
      <c r="B40">
        <v>7516490</v>
      </c>
      <c r="C40" s="13">
        <v>40189.550694444442</v>
      </c>
      <c r="D40">
        <v>4639</v>
      </c>
      <c r="E40">
        <v>44.09</v>
      </c>
      <c r="F40" t="s">
        <v>1987</v>
      </c>
      <c r="G40">
        <v>43925</v>
      </c>
      <c r="H40" t="s">
        <v>2014</v>
      </c>
      <c r="I40" t="s">
        <v>2001</v>
      </c>
      <c r="J40" s="8">
        <v>4074</v>
      </c>
      <c r="K40">
        <v>5411</v>
      </c>
    </row>
    <row r="41" spans="1:12" x14ac:dyDescent="0.3">
      <c r="A41">
        <v>0</v>
      </c>
      <c r="B41">
        <v>7516735</v>
      </c>
      <c r="C41" s="13">
        <v>40189.588888888888</v>
      </c>
      <c r="D41">
        <v>4639</v>
      </c>
      <c r="E41">
        <v>48.47</v>
      </c>
      <c r="F41" t="s">
        <v>1994</v>
      </c>
      <c r="G41">
        <v>9932</v>
      </c>
      <c r="H41" t="s">
        <v>1993</v>
      </c>
      <c r="I41" t="s">
        <v>3719</v>
      </c>
      <c r="J41" s="8" t="s">
        <v>3719</v>
      </c>
      <c r="K41">
        <v>5311</v>
      </c>
    </row>
    <row r="42" spans="1:12" x14ac:dyDescent="0.3">
      <c r="A42">
        <v>0</v>
      </c>
      <c r="B42">
        <v>7517869</v>
      </c>
      <c r="C42" s="13">
        <v>40189.820833333331</v>
      </c>
      <c r="D42">
        <v>4639</v>
      </c>
      <c r="E42">
        <v>5.72</v>
      </c>
      <c r="F42" t="s">
        <v>1987</v>
      </c>
      <c r="G42">
        <v>98648</v>
      </c>
      <c r="H42" t="s">
        <v>2014</v>
      </c>
      <c r="I42" t="s">
        <v>2001</v>
      </c>
      <c r="J42" s="8">
        <v>4074</v>
      </c>
      <c r="K42">
        <v>5814</v>
      </c>
    </row>
    <row r="43" spans="1:12" x14ac:dyDescent="0.3">
      <c r="A43">
        <v>0</v>
      </c>
      <c r="B43">
        <v>7517920</v>
      </c>
      <c r="C43" s="13">
        <v>40189.841666666667</v>
      </c>
      <c r="D43">
        <v>4639</v>
      </c>
      <c r="E43">
        <v>8.09</v>
      </c>
      <c r="F43" t="s">
        <v>1987</v>
      </c>
      <c r="G43">
        <v>13153</v>
      </c>
      <c r="H43" t="s">
        <v>2014</v>
      </c>
      <c r="I43" t="s">
        <v>2001</v>
      </c>
      <c r="J43" s="8">
        <v>4074</v>
      </c>
      <c r="K43">
        <v>5812</v>
      </c>
    </row>
    <row r="44" spans="1:12" x14ac:dyDescent="0.3">
      <c r="A44">
        <v>0</v>
      </c>
      <c r="B44">
        <v>7518235</v>
      </c>
      <c r="C44" s="13">
        <v>40189.95208333333</v>
      </c>
      <c r="D44">
        <v>4639</v>
      </c>
      <c r="E44">
        <v>164.43</v>
      </c>
      <c r="F44" t="s">
        <v>1987</v>
      </c>
      <c r="G44">
        <v>34490</v>
      </c>
      <c r="H44" t="s">
        <v>2015</v>
      </c>
      <c r="I44" t="s">
        <v>2001</v>
      </c>
      <c r="J44" s="8">
        <v>4401</v>
      </c>
      <c r="K44">
        <v>5719</v>
      </c>
    </row>
    <row r="45" spans="1:12" x14ac:dyDescent="0.3">
      <c r="A45">
        <v>0</v>
      </c>
      <c r="B45">
        <v>7520512</v>
      </c>
      <c r="C45" s="13">
        <v>40190.553472222222</v>
      </c>
      <c r="D45">
        <v>4639</v>
      </c>
      <c r="E45">
        <v>55.01</v>
      </c>
      <c r="F45" t="s">
        <v>1987</v>
      </c>
      <c r="G45">
        <v>32858</v>
      </c>
      <c r="H45" t="s">
        <v>2012</v>
      </c>
      <c r="I45" t="s">
        <v>2000</v>
      </c>
      <c r="J45" s="8">
        <v>5401</v>
      </c>
      <c r="K45">
        <v>5311</v>
      </c>
    </row>
    <row r="46" spans="1:12" x14ac:dyDescent="0.3">
      <c r="A46">
        <v>0</v>
      </c>
      <c r="B46">
        <v>7520878</v>
      </c>
      <c r="C46" s="13">
        <v>40190.609722222223</v>
      </c>
      <c r="D46">
        <v>4639</v>
      </c>
      <c r="E46">
        <v>18.559999999999999</v>
      </c>
      <c r="F46" t="s">
        <v>1987</v>
      </c>
      <c r="G46">
        <v>60510</v>
      </c>
      <c r="H46" t="s">
        <v>2014</v>
      </c>
      <c r="I46" t="s">
        <v>2001</v>
      </c>
      <c r="J46" s="8">
        <v>4074</v>
      </c>
      <c r="K46">
        <v>5912</v>
      </c>
    </row>
    <row r="47" spans="1:12" x14ac:dyDescent="0.3">
      <c r="A47">
        <v>0</v>
      </c>
      <c r="B47">
        <v>7521071</v>
      </c>
      <c r="C47" s="13">
        <v>40190.646527777775</v>
      </c>
      <c r="D47">
        <v>4639</v>
      </c>
      <c r="E47">
        <v>15.18</v>
      </c>
      <c r="F47" t="s">
        <v>1987</v>
      </c>
      <c r="G47">
        <v>43925</v>
      </c>
      <c r="H47" t="s">
        <v>2014</v>
      </c>
      <c r="I47" t="s">
        <v>2001</v>
      </c>
      <c r="J47" s="8">
        <v>4074</v>
      </c>
      <c r="K47">
        <v>5411</v>
      </c>
    </row>
    <row r="48" spans="1:12" x14ac:dyDescent="0.3">
      <c r="A48">
        <v>0</v>
      </c>
      <c r="B48">
        <v>7521860</v>
      </c>
      <c r="C48" s="13">
        <v>40190.825694444444</v>
      </c>
      <c r="D48">
        <v>4639</v>
      </c>
      <c r="E48">
        <v>9.81</v>
      </c>
      <c r="F48" t="s">
        <v>1987</v>
      </c>
      <c r="G48">
        <v>98648</v>
      </c>
      <c r="H48" t="s">
        <v>2014</v>
      </c>
      <c r="I48" t="s">
        <v>2001</v>
      </c>
      <c r="J48" s="8">
        <v>4074</v>
      </c>
      <c r="K48">
        <v>5814</v>
      </c>
    </row>
    <row r="49" spans="1:11" x14ac:dyDescent="0.3">
      <c r="A49">
        <v>0</v>
      </c>
      <c r="B49">
        <v>7522128</v>
      </c>
      <c r="C49" s="13">
        <v>40190.925000000003</v>
      </c>
      <c r="D49">
        <v>4639</v>
      </c>
      <c r="E49">
        <v>49.32</v>
      </c>
      <c r="F49" t="s">
        <v>1987</v>
      </c>
      <c r="G49">
        <v>32164</v>
      </c>
      <c r="H49" t="s">
        <v>2014</v>
      </c>
      <c r="I49" t="s">
        <v>2001</v>
      </c>
      <c r="J49" s="8">
        <v>4074</v>
      </c>
      <c r="K49">
        <v>5813</v>
      </c>
    </row>
    <row r="50" spans="1:11" x14ac:dyDescent="0.3">
      <c r="A50">
        <v>0</v>
      </c>
      <c r="B50">
        <v>7524510</v>
      </c>
      <c r="C50" s="13">
        <v>40191.556250000001</v>
      </c>
      <c r="D50">
        <v>4639</v>
      </c>
      <c r="E50">
        <v>50.46</v>
      </c>
      <c r="F50" t="s">
        <v>1987</v>
      </c>
      <c r="G50">
        <v>41527</v>
      </c>
      <c r="H50" t="s">
        <v>2014</v>
      </c>
      <c r="I50" t="s">
        <v>2001</v>
      </c>
      <c r="J50" s="8">
        <v>4074</v>
      </c>
      <c r="K50">
        <v>5310</v>
      </c>
    </row>
    <row r="51" spans="1:11" x14ac:dyDescent="0.3">
      <c r="A51">
        <v>0</v>
      </c>
      <c r="B51">
        <v>7525734</v>
      </c>
      <c r="C51" s="13">
        <v>40191.792361111111</v>
      </c>
      <c r="D51">
        <v>4639</v>
      </c>
      <c r="E51">
        <v>6.43</v>
      </c>
      <c r="F51" t="s">
        <v>1987</v>
      </c>
      <c r="G51">
        <v>98648</v>
      </c>
      <c r="H51" t="s">
        <v>2014</v>
      </c>
      <c r="I51" t="s">
        <v>2001</v>
      </c>
      <c r="J51" s="8">
        <v>4074</v>
      </c>
      <c r="K51">
        <v>5814</v>
      </c>
    </row>
    <row r="52" spans="1:11" x14ac:dyDescent="0.3">
      <c r="A52">
        <v>0</v>
      </c>
      <c r="B52">
        <v>7529000</v>
      </c>
      <c r="C52" s="13">
        <v>40192.646527777775</v>
      </c>
      <c r="D52">
        <v>4639</v>
      </c>
      <c r="E52">
        <v>113.82</v>
      </c>
      <c r="F52" t="s">
        <v>1994</v>
      </c>
      <c r="G52">
        <v>84682</v>
      </c>
      <c r="H52" t="s">
        <v>1993</v>
      </c>
      <c r="I52" t="s">
        <v>3719</v>
      </c>
      <c r="J52" s="8" t="s">
        <v>3719</v>
      </c>
      <c r="K52">
        <v>4900</v>
      </c>
    </row>
    <row r="53" spans="1:11" x14ac:dyDescent="0.3">
      <c r="A53">
        <v>0</v>
      </c>
      <c r="B53">
        <v>7529674</v>
      </c>
      <c r="C53" s="13">
        <v>40192.799305555556</v>
      </c>
      <c r="D53">
        <v>4639</v>
      </c>
      <c r="E53">
        <v>160</v>
      </c>
      <c r="F53" t="s">
        <v>1987</v>
      </c>
      <c r="G53">
        <v>27092</v>
      </c>
      <c r="H53" t="s">
        <v>2002</v>
      </c>
      <c r="I53" t="s">
        <v>2001</v>
      </c>
      <c r="J53" s="8">
        <v>4102</v>
      </c>
      <c r="K53">
        <v>4829</v>
      </c>
    </row>
    <row r="54" spans="1:11" x14ac:dyDescent="0.3">
      <c r="A54">
        <v>0</v>
      </c>
      <c r="B54">
        <v>7529784</v>
      </c>
      <c r="C54" s="13">
        <v>40192.829861111109</v>
      </c>
      <c r="D54">
        <v>4639</v>
      </c>
      <c r="E54">
        <v>5.92</v>
      </c>
      <c r="F54" t="s">
        <v>1987</v>
      </c>
      <c r="G54">
        <v>13153</v>
      </c>
      <c r="H54" t="s">
        <v>2014</v>
      </c>
      <c r="I54" t="s">
        <v>2001</v>
      </c>
      <c r="J54" s="8">
        <v>4074</v>
      </c>
      <c r="K54">
        <v>5812</v>
      </c>
    </row>
    <row r="55" spans="1:11" x14ac:dyDescent="0.3">
      <c r="A55">
        <v>0</v>
      </c>
      <c r="B55">
        <v>7529867</v>
      </c>
      <c r="C55" s="13">
        <v>40192.855555555558</v>
      </c>
      <c r="D55">
        <v>4639</v>
      </c>
      <c r="E55">
        <v>51.19</v>
      </c>
      <c r="F55" t="s">
        <v>1994</v>
      </c>
      <c r="G55">
        <v>9932</v>
      </c>
      <c r="H55" t="s">
        <v>1993</v>
      </c>
      <c r="I55" t="s">
        <v>3719</v>
      </c>
      <c r="J55" s="8" t="s">
        <v>3719</v>
      </c>
      <c r="K55">
        <v>5311</v>
      </c>
    </row>
    <row r="56" spans="1:11" x14ac:dyDescent="0.3">
      <c r="A56">
        <v>0</v>
      </c>
      <c r="B56">
        <v>7530070</v>
      </c>
      <c r="C56" s="13">
        <v>40192.925000000003</v>
      </c>
      <c r="D56">
        <v>4639</v>
      </c>
      <c r="E56">
        <v>52.67</v>
      </c>
      <c r="F56" t="s">
        <v>1987</v>
      </c>
      <c r="G56">
        <v>32164</v>
      </c>
      <c r="H56" t="s">
        <v>2014</v>
      </c>
      <c r="I56" t="s">
        <v>2001</v>
      </c>
      <c r="J56" s="8">
        <v>4074</v>
      </c>
      <c r="K56">
        <v>5813</v>
      </c>
    </row>
    <row r="57" spans="1:11" x14ac:dyDescent="0.3">
      <c r="A57">
        <v>0</v>
      </c>
      <c r="B57">
        <v>7530606</v>
      </c>
      <c r="C57" s="13">
        <v>40193.299305555556</v>
      </c>
      <c r="D57">
        <v>4639</v>
      </c>
      <c r="E57">
        <v>103.53</v>
      </c>
      <c r="F57" t="s">
        <v>1987</v>
      </c>
      <c r="G57">
        <v>26593</v>
      </c>
      <c r="H57" t="s">
        <v>2014</v>
      </c>
      <c r="I57" t="s">
        <v>2001</v>
      </c>
      <c r="J57" s="8">
        <v>4074</v>
      </c>
      <c r="K57">
        <v>5300</v>
      </c>
    </row>
    <row r="58" spans="1:11" x14ac:dyDescent="0.3">
      <c r="A58">
        <v>0</v>
      </c>
      <c r="B58">
        <v>7535262</v>
      </c>
      <c r="C58" s="13">
        <v>40194.494444444441</v>
      </c>
      <c r="D58">
        <v>4639</v>
      </c>
      <c r="E58">
        <v>95.63</v>
      </c>
      <c r="F58" t="s">
        <v>1987</v>
      </c>
      <c r="G58">
        <v>57053</v>
      </c>
      <c r="H58" t="s">
        <v>2014</v>
      </c>
      <c r="I58" t="s">
        <v>2001</v>
      </c>
      <c r="J58" s="8">
        <v>4074</v>
      </c>
      <c r="K58">
        <v>7538</v>
      </c>
    </row>
    <row r="59" spans="1:11" x14ac:dyDescent="0.3">
      <c r="A59">
        <v>0</v>
      </c>
      <c r="B59">
        <v>7535436</v>
      </c>
      <c r="C59" s="13">
        <v>40194.523611111108</v>
      </c>
      <c r="D59">
        <v>4639</v>
      </c>
      <c r="E59">
        <v>77</v>
      </c>
      <c r="F59" t="s">
        <v>1987</v>
      </c>
      <c r="G59">
        <v>28395</v>
      </c>
      <c r="H59" t="s">
        <v>2022</v>
      </c>
      <c r="I59" t="s">
        <v>2001</v>
      </c>
      <c r="J59" s="8">
        <v>4083</v>
      </c>
      <c r="K59">
        <v>5541</v>
      </c>
    </row>
    <row r="60" spans="1:11" x14ac:dyDescent="0.3">
      <c r="A60">
        <v>0</v>
      </c>
      <c r="B60">
        <v>7535476</v>
      </c>
      <c r="C60" s="13">
        <v>40194.529861111114</v>
      </c>
      <c r="D60">
        <v>4639</v>
      </c>
      <c r="E60">
        <v>42.64</v>
      </c>
      <c r="F60" t="s">
        <v>1987</v>
      </c>
      <c r="G60">
        <v>28395</v>
      </c>
      <c r="H60" t="s">
        <v>2022</v>
      </c>
      <c r="I60" t="s">
        <v>2001</v>
      </c>
      <c r="J60" s="8">
        <v>4083</v>
      </c>
      <c r="K60">
        <v>5541</v>
      </c>
    </row>
    <row r="61" spans="1:11" x14ac:dyDescent="0.3">
      <c r="A61">
        <v>0</v>
      </c>
      <c r="B61">
        <v>7535541</v>
      </c>
      <c r="C61" s="13">
        <v>40194.538888888892</v>
      </c>
      <c r="D61">
        <v>4639</v>
      </c>
      <c r="E61">
        <v>-77</v>
      </c>
      <c r="F61" t="s">
        <v>1987</v>
      </c>
      <c r="G61">
        <v>28395</v>
      </c>
      <c r="H61" t="s">
        <v>2022</v>
      </c>
      <c r="I61" t="s">
        <v>2001</v>
      </c>
      <c r="J61" s="8">
        <v>4083</v>
      </c>
      <c r="K61">
        <v>5541</v>
      </c>
    </row>
    <row r="62" spans="1:11" x14ac:dyDescent="0.3">
      <c r="A62">
        <v>0</v>
      </c>
      <c r="B62">
        <v>7535745</v>
      </c>
      <c r="C62" s="13">
        <v>40194.576388888891</v>
      </c>
      <c r="D62">
        <v>4639</v>
      </c>
      <c r="E62">
        <v>15.24</v>
      </c>
      <c r="F62" t="s">
        <v>1987</v>
      </c>
      <c r="G62">
        <v>90865</v>
      </c>
      <c r="H62" t="s">
        <v>2025</v>
      </c>
      <c r="I62" t="s">
        <v>2001</v>
      </c>
      <c r="J62" s="8">
        <v>4254</v>
      </c>
      <c r="K62">
        <v>5311</v>
      </c>
    </row>
    <row r="63" spans="1:11" x14ac:dyDescent="0.3">
      <c r="A63">
        <v>0</v>
      </c>
      <c r="B63">
        <v>7536954</v>
      </c>
      <c r="C63" s="13">
        <v>40194.818749999999</v>
      </c>
      <c r="D63">
        <v>4639</v>
      </c>
      <c r="E63">
        <v>10.1</v>
      </c>
      <c r="F63" t="s">
        <v>1987</v>
      </c>
      <c r="G63">
        <v>55060</v>
      </c>
      <c r="H63" t="s">
        <v>2014</v>
      </c>
      <c r="I63" t="s">
        <v>2001</v>
      </c>
      <c r="J63" s="8">
        <v>4074</v>
      </c>
      <c r="K63">
        <v>5812</v>
      </c>
    </row>
    <row r="64" spans="1:11" x14ac:dyDescent="0.3">
      <c r="A64">
        <v>0</v>
      </c>
      <c r="B64">
        <v>7537281</v>
      </c>
      <c r="C64" s="13">
        <v>40194.917361111111</v>
      </c>
      <c r="D64">
        <v>4639</v>
      </c>
      <c r="E64">
        <v>73.42</v>
      </c>
      <c r="F64" t="s">
        <v>1987</v>
      </c>
      <c r="G64">
        <v>32164</v>
      </c>
      <c r="H64" t="s">
        <v>2014</v>
      </c>
      <c r="I64" t="s">
        <v>2001</v>
      </c>
      <c r="J64" s="8">
        <v>4074</v>
      </c>
      <c r="K64">
        <v>5813</v>
      </c>
    </row>
    <row r="65" spans="1:11" x14ac:dyDescent="0.3">
      <c r="A65">
        <v>0</v>
      </c>
      <c r="B65">
        <v>7539278</v>
      </c>
      <c r="C65" s="13">
        <v>40195.492361111108</v>
      </c>
      <c r="D65">
        <v>4639</v>
      </c>
      <c r="E65">
        <v>37.25</v>
      </c>
      <c r="F65" t="s">
        <v>1987</v>
      </c>
      <c r="G65">
        <v>57053</v>
      </c>
      <c r="H65" t="s">
        <v>2014</v>
      </c>
      <c r="I65" t="s">
        <v>2001</v>
      </c>
      <c r="J65" s="8">
        <v>4074</v>
      </c>
      <c r="K65">
        <v>7538</v>
      </c>
    </row>
    <row r="66" spans="1:11" x14ac:dyDescent="0.3">
      <c r="A66">
        <v>0</v>
      </c>
      <c r="B66">
        <v>7540975</v>
      </c>
      <c r="C66" s="13">
        <v>40195.799305555556</v>
      </c>
      <c r="D66">
        <v>4639</v>
      </c>
      <c r="E66">
        <v>7.27</v>
      </c>
      <c r="F66" t="s">
        <v>1987</v>
      </c>
      <c r="G66">
        <v>98648</v>
      </c>
      <c r="H66" t="s">
        <v>2014</v>
      </c>
      <c r="I66" t="s">
        <v>2001</v>
      </c>
      <c r="J66" s="8">
        <v>4074</v>
      </c>
      <c r="K66">
        <v>5814</v>
      </c>
    </row>
    <row r="67" spans="1:11" x14ac:dyDescent="0.3">
      <c r="A67">
        <v>0</v>
      </c>
      <c r="B67">
        <v>7541399</v>
      </c>
      <c r="C67" s="13">
        <v>40195.921527777777</v>
      </c>
      <c r="D67">
        <v>4639</v>
      </c>
      <c r="E67">
        <v>51.05</v>
      </c>
      <c r="F67" t="s">
        <v>1987</v>
      </c>
      <c r="G67">
        <v>32164</v>
      </c>
      <c r="H67" t="s">
        <v>2014</v>
      </c>
      <c r="I67" t="s">
        <v>2001</v>
      </c>
      <c r="J67" s="8">
        <v>4074</v>
      </c>
      <c r="K67">
        <v>5813</v>
      </c>
    </row>
    <row r="68" spans="1:11" x14ac:dyDescent="0.3">
      <c r="A68">
        <v>0</v>
      </c>
      <c r="B68">
        <v>7541472</v>
      </c>
      <c r="C68" s="13">
        <v>40195.944444444445</v>
      </c>
      <c r="D68">
        <v>4639</v>
      </c>
      <c r="E68">
        <v>66.7</v>
      </c>
      <c r="F68" t="s">
        <v>1987</v>
      </c>
      <c r="G68">
        <v>32164</v>
      </c>
      <c r="H68" t="s">
        <v>2014</v>
      </c>
      <c r="I68" t="s">
        <v>2001</v>
      </c>
      <c r="J68" s="8">
        <v>4074</v>
      </c>
      <c r="K68">
        <v>5813</v>
      </c>
    </row>
    <row r="69" spans="1:11" x14ac:dyDescent="0.3">
      <c r="A69">
        <v>0</v>
      </c>
      <c r="B69">
        <v>7543638</v>
      </c>
      <c r="C69" s="13">
        <v>40196.541666666664</v>
      </c>
      <c r="D69">
        <v>4639</v>
      </c>
      <c r="E69">
        <v>20.61</v>
      </c>
      <c r="F69" t="s">
        <v>1987</v>
      </c>
      <c r="G69">
        <v>74778</v>
      </c>
      <c r="H69" t="s">
        <v>2014</v>
      </c>
      <c r="I69" t="s">
        <v>2001</v>
      </c>
      <c r="J69" s="8">
        <v>4074</v>
      </c>
      <c r="K69">
        <v>7542</v>
      </c>
    </row>
    <row r="70" spans="1:11" x14ac:dyDescent="0.3">
      <c r="A70">
        <v>0</v>
      </c>
      <c r="B70">
        <v>7547711</v>
      </c>
      <c r="C70" s="13">
        <v>40197.557638888888</v>
      </c>
      <c r="D70">
        <v>4639</v>
      </c>
      <c r="E70">
        <v>40.98</v>
      </c>
      <c r="F70" t="s">
        <v>1987</v>
      </c>
      <c r="G70">
        <v>20561</v>
      </c>
      <c r="H70" t="s">
        <v>2014</v>
      </c>
      <c r="I70" t="s">
        <v>2001</v>
      </c>
      <c r="J70" s="8">
        <v>4074</v>
      </c>
      <c r="K70">
        <v>5912</v>
      </c>
    </row>
    <row r="71" spans="1:11" x14ac:dyDescent="0.3">
      <c r="A71">
        <v>0</v>
      </c>
      <c r="B71">
        <v>7549283</v>
      </c>
      <c r="C71" s="13">
        <v>40197.931250000001</v>
      </c>
      <c r="D71">
        <v>4639</v>
      </c>
      <c r="E71">
        <v>43.86</v>
      </c>
      <c r="F71" t="s">
        <v>1987</v>
      </c>
      <c r="G71">
        <v>32164</v>
      </c>
      <c r="H71" t="s">
        <v>2014</v>
      </c>
      <c r="I71" t="s">
        <v>2001</v>
      </c>
      <c r="J71" s="8">
        <v>4074</v>
      </c>
      <c r="K71">
        <v>5813</v>
      </c>
    </row>
    <row r="72" spans="1:11" x14ac:dyDescent="0.3">
      <c r="A72">
        <v>0</v>
      </c>
      <c r="B72">
        <v>7549460</v>
      </c>
      <c r="C72" s="13">
        <v>40198.100694444445</v>
      </c>
      <c r="D72">
        <v>4639</v>
      </c>
      <c r="E72">
        <v>122.08</v>
      </c>
      <c r="F72" t="s">
        <v>1987</v>
      </c>
      <c r="G72">
        <v>30286</v>
      </c>
      <c r="H72" t="s">
        <v>2002</v>
      </c>
      <c r="I72" t="s">
        <v>2001</v>
      </c>
      <c r="J72" s="8">
        <v>4104</v>
      </c>
      <c r="K72">
        <v>4814</v>
      </c>
    </row>
    <row r="73" spans="1:11" x14ac:dyDescent="0.3">
      <c r="A73">
        <v>0</v>
      </c>
      <c r="B73">
        <v>7550990</v>
      </c>
      <c r="C73" s="13">
        <v>40198.46597222222</v>
      </c>
      <c r="D73">
        <v>4639</v>
      </c>
      <c r="E73">
        <v>20.88</v>
      </c>
      <c r="F73" t="s">
        <v>1987</v>
      </c>
      <c r="G73">
        <v>83271</v>
      </c>
      <c r="H73" t="s">
        <v>2002</v>
      </c>
      <c r="I73" t="s">
        <v>2001</v>
      </c>
      <c r="J73" s="8">
        <v>4103</v>
      </c>
      <c r="K73">
        <v>4214</v>
      </c>
    </row>
    <row r="74" spans="1:11" x14ac:dyDescent="0.3">
      <c r="A74">
        <v>0</v>
      </c>
      <c r="B74">
        <v>7552966</v>
      </c>
      <c r="C74" s="13">
        <v>40198.822916666664</v>
      </c>
      <c r="D74">
        <v>4639</v>
      </c>
      <c r="E74">
        <v>8.19</v>
      </c>
      <c r="F74" t="s">
        <v>1987</v>
      </c>
      <c r="G74">
        <v>13153</v>
      </c>
      <c r="H74" t="s">
        <v>2014</v>
      </c>
      <c r="I74" t="s">
        <v>2001</v>
      </c>
      <c r="J74" s="8">
        <v>4074</v>
      </c>
      <c r="K74">
        <v>5812</v>
      </c>
    </row>
    <row r="75" spans="1:11" x14ac:dyDescent="0.3">
      <c r="A75">
        <v>0</v>
      </c>
      <c r="B75">
        <v>7553243</v>
      </c>
      <c r="C75" s="13">
        <v>40198.917361111111</v>
      </c>
      <c r="D75">
        <v>4639</v>
      </c>
      <c r="E75">
        <v>41.82</v>
      </c>
      <c r="F75" t="s">
        <v>1987</v>
      </c>
      <c r="G75">
        <v>32164</v>
      </c>
      <c r="H75" t="s">
        <v>2014</v>
      </c>
      <c r="I75" t="s">
        <v>2001</v>
      </c>
      <c r="J75" s="8">
        <v>4074</v>
      </c>
      <c r="K75">
        <v>5813</v>
      </c>
    </row>
    <row r="76" spans="1:11" x14ac:dyDescent="0.3">
      <c r="A76">
        <v>0</v>
      </c>
      <c r="B76">
        <v>7555831</v>
      </c>
      <c r="C76" s="13">
        <v>40199.585416666669</v>
      </c>
      <c r="D76">
        <v>4639</v>
      </c>
      <c r="E76">
        <v>17.170000000000002</v>
      </c>
      <c r="F76" t="s">
        <v>1994</v>
      </c>
      <c r="G76">
        <v>18563</v>
      </c>
      <c r="H76" t="s">
        <v>1993</v>
      </c>
      <c r="I76" t="s">
        <v>3719</v>
      </c>
      <c r="J76" s="8" t="s">
        <v>3719</v>
      </c>
      <c r="K76">
        <v>4121</v>
      </c>
    </row>
    <row r="77" spans="1:11" x14ac:dyDescent="0.3">
      <c r="A77">
        <v>0</v>
      </c>
      <c r="B77">
        <v>7560480</v>
      </c>
      <c r="C77" s="13">
        <v>40200.813194444447</v>
      </c>
      <c r="D77">
        <v>4639</v>
      </c>
      <c r="E77">
        <v>10.130000000000001</v>
      </c>
      <c r="F77" t="s">
        <v>1987</v>
      </c>
      <c r="G77">
        <v>13153</v>
      </c>
      <c r="H77" t="s">
        <v>2014</v>
      </c>
      <c r="I77" t="s">
        <v>2001</v>
      </c>
      <c r="J77" s="8">
        <v>4074</v>
      </c>
      <c r="K77">
        <v>5812</v>
      </c>
    </row>
    <row r="78" spans="1:11" x14ac:dyDescent="0.3">
      <c r="A78">
        <v>0</v>
      </c>
      <c r="B78">
        <v>7560851</v>
      </c>
      <c r="C78" s="13">
        <v>40200.930555555555</v>
      </c>
      <c r="D78">
        <v>4639</v>
      </c>
      <c r="E78">
        <v>54.82</v>
      </c>
      <c r="F78" t="s">
        <v>1987</v>
      </c>
      <c r="G78">
        <v>32164</v>
      </c>
      <c r="H78" t="s">
        <v>2014</v>
      </c>
      <c r="I78" t="s">
        <v>2001</v>
      </c>
      <c r="J78" s="8">
        <v>4074</v>
      </c>
      <c r="K78">
        <v>5813</v>
      </c>
    </row>
    <row r="79" spans="1:11" x14ac:dyDescent="0.3">
      <c r="A79">
        <v>0</v>
      </c>
      <c r="B79">
        <v>7562591</v>
      </c>
      <c r="C79" s="13">
        <v>40201.52847222222</v>
      </c>
      <c r="D79">
        <v>4639</v>
      </c>
      <c r="E79">
        <v>44.35</v>
      </c>
      <c r="F79" t="s">
        <v>1987</v>
      </c>
      <c r="G79">
        <v>20519</v>
      </c>
      <c r="H79" t="s">
        <v>2002</v>
      </c>
      <c r="I79" t="s">
        <v>2001</v>
      </c>
      <c r="J79" s="8">
        <v>4101</v>
      </c>
      <c r="K79">
        <v>5942</v>
      </c>
    </row>
    <row r="80" spans="1:11" x14ac:dyDescent="0.3">
      <c r="A80">
        <v>0</v>
      </c>
      <c r="B80">
        <v>7562725</v>
      </c>
      <c r="C80" s="13">
        <v>40201.549305555556</v>
      </c>
      <c r="D80">
        <v>4639</v>
      </c>
      <c r="E80">
        <v>49.49</v>
      </c>
      <c r="F80" t="s">
        <v>1987</v>
      </c>
      <c r="G80">
        <v>34490</v>
      </c>
      <c r="H80" t="s">
        <v>2015</v>
      </c>
      <c r="I80" t="s">
        <v>2001</v>
      </c>
      <c r="J80" s="8">
        <v>4401</v>
      </c>
      <c r="K80">
        <v>5719</v>
      </c>
    </row>
    <row r="81" spans="1:11" x14ac:dyDescent="0.3">
      <c r="A81">
        <v>0</v>
      </c>
      <c r="B81">
        <v>7564511</v>
      </c>
      <c r="C81" s="13">
        <v>40201.940972222219</v>
      </c>
      <c r="D81">
        <v>4639</v>
      </c>
      <c r="E81">
        <v>151.4</v>
      </c>
      <c r="F81" t="s">
        <v>1994</v>
      </c>
      <c r="G81">
        <v>9932</v>
      </c>
      <c r="H81" t="s">
        <v>1993</v>
      </c>
      <c r="I81" t="s">
        <v>3719</v>
      </c>
      <c r="J81" s="8" t="s">
        <v>3719</v>
      </c>
      <c r="K81">
        <v>5311</v>
      </c>
    </row>
    <row r="82" spans="1:11" x14ac:dyDescent="0.3">
      <c r="A82">
        <v>0</v>
      </c>
      <c r="B82">
        <v>7566980</v>
      </c>
      <c r="C82" s="13">
        <v>40202.567361111112</v>
      </c>
      <c r="D82">
        <v>4639</v>
      </c>
      <c r="E82">
        <v>372.31</v>
      </c>
      <c r="F82" t="s">
        <v>1994</v>
      </c>
      <c r="G82">
        <v>77020</v>
      </c>
      <c r="H82" t="s">
        <v>1993</v>
      </c>
      <c r="I82" t="s">
        <v>3719</v>
      </c>
      <c r="J82" s="8" t="s">
        <v>3719</v>
      </c>
      <c r="K82">
        <v>5816</v>
      </c>
    </row>
    <row r="83" spans="1:11" x14ac:dyDescent="0.3">
      <c r="A83">
        <v>0</v>
      </c>
      <c r="B83">
        <v>7567228</v>
      </c>
      <c r="C83" s="13">
        <v>40202.604861111111</v>
      </c>
      <c r="D83">
        <v>4639</v>
      </c>
      <c r="E83">
        <v>1.66</v>
      </c>
      <c r="F83" t="s">
        <v>1987</v>
      </c>
      <c r="G83">
        <v>14528</v>
      </c>
      <c r="H83" t="s">
        <v>2014</v>
      </c>
      <c r="I83" t="s">
        <v>2001</v>
      </c>
      <c r="J83" s="8">
        <v>4074</v>
      </c>
      <c r="K83">
        <v>5499</v>
      </c>
    </row>
    <row r="84" spans="1:11" x14ac:dyDescent="0.3">
      <c r="A84">
        <v>0</v>
      </c>
      <c r="B84">
        <v>7568272</v>
      </c>
      <c r="C84" s="13">
        <v>40202.820833333331</v>
      </c>
      <c r="D84">
        <v>4639</v>
      </c>
      <c r="E84">
        <v>6.17</v>
      </c>
      <c r="F84" t="s">
        <v>1987</v>
      </c>
      <c r="G84">
        <v>13153</v>
      </c>
      <c r="H84" t="s">
        <v>2014</v>
      </c>
      <c r="I84" t="s">
        <v>2001</v>
      </c>
      <c r="J84" s="8">
        <v>4074</v>
      </c>
      <c r="K84">
        <v>5812</v>
      </c>
    </row>
    <row r="85" spans="1:11" x14ac:dyDescent="0.3">
      <c r="A85">
        <v>0</v>
      </c>
      <c r="B85">
        <v>7568527</v>
      </c>
      <c r="C85" s="13">
        <v>40202.914583333331</v>
      </c>
      <c r="D85">
        <v>4639</v>
      </c>
      <c r="E85">
        <v>62.46</v>
      </c>
      <c r="F85" t="s">
        <v>1987</v>
      </c>
      <c r="G85">
        <v>32164</v>
      </c>
      <c r="H85" t="s">
        <v>2014</v>
      </c>
      <c r="I85" t="s">
        <v>2001</v>
      </c>
      <c r="J85" s="8">
        <v>4074</v>
      </c>
      <c r="K85">
        <v>5813</v>
      </c>
    </row>
    <row r="86" spans="1:11" x14ac:dyDescent="0.3">
      <c r="A86">
        <v>0</v>
      </c>
      <c r="B86">
        <v>7568537</v>
      </c>
      <c r="C86" s="13">
        <v>40202.918749999997</v>
      </c>
      <c r="D86">
        <v>4639</v>
      </c>
      <c r="E86">
        <v>40.590000000000003</v>
      </c>
      <c r="F86" t="s">
        <v>1987</v>
      </c>
      <c r="G86">
        <v>32164</v>
      </c>
      <c r="H86" t="s">
        <v>2014</v>
      </c>
      <c r="I86" t="s">
        <v>2001</v>
      </c>
      <c r="J86" s="8">
        <v>4074</v>
      </c>
      <c r="K86">
        <v>5813</v>
      </c>
    </row>
    <row r="87" spans="1:11" x14ac:dyDescent="0.3">
      <c r="A87">
        <v>0</v>
      </c>
      <c r="B87">
        <v>7568795</v>
      </c>
      <c r="C87" s="13">
        <v>40203.128472222219</v>
      </c>
      <c r="D87">
        <v>4639</v>
      </c>
      <c r="E87">
        <v>42.28</v>
      </c>
      <c r="F87" t="s">
        <v>1994</v>
      </c>
      <c r="G87">
        <v>84682</v>
      </c>
      <c r="H87" t="s">
        <v>1993</v>
      </c>
      <c r="I87" t="s">
        <v>3719</v>
      </c>
      <c r="J87" s="8" t="s">
        <v>3719</v>
      </c>
      <c r="K87">
        <v>4900</v>
      </c>
    </row>
    <row r="88" spans="1:11" x14ac:dyDescent="0.3">
      <c r="A88">
        <v>0</v>
      </c>
      <c r="B88">
        <v>7572680</v>
      </c>
      <c r="C88" s="13">
        <v>40203.947916666664</v>
      </c>
      <c r="D88">
        <v>4639</v>
      </c>
      <c r="E88">
        <v>106.3</v>
      </c>
      <c r="F88" t="s">
        <v>1987</v>
      </c>
      <c r="G88">
        <v>60569</v>
      </c>
      <c r="H88" t="s">
        <v>2017</v>
      </c>
      <c r="I88" t="s">
        <v>2001</v>
      </c>
      <c r="J88" s="8">
        <v>4240</v>
      </c>
      <c r="K88">
        <v>5300</v>
      </c>
    </row>
    <row r="89" spans="1:11" x14ac:dyDescent="0.3">
      <c r="A89">
        <v>0</v>
      </c>
      <c r="B89">
        <v>7575494</v>
      </c>
      <c r="C89" s="13">
        <v>40204.620138888888</v>
      </c>
      <c r="D89">
        <v>4639</v>
      </c>
      <c r="E89">
        <v>22.53</v>
      </c>
      <c r="F89" t="s">
        <v>1994</v>
      </c>
      <c r="G89">
        <v>18563</v>
      </c>
      <c r="H89" t="s">
        <v>1993</v>
      </c>
      <c r="I89" t="s">
        <v>3719</v>
      </c>
      <c r="J89" s="8" t="s">
        <v>3719</v>
      </c>
      <c r="K89">
        <v>4121</v>
      </c>
    </row>
    <row r="90" spans="1:11" x14ac:dyDescent="0.3">
      <c r="A90">
        <v>0</v>
      </c>
      <c r="B90">
        <v>7578718</v>
      </c>
      <c r="C90" s="13">
        <v>40205.499305555553</v>
      </c>
      <c r="D90">
        <v>4639</v>
      </c>
      <c r="E90">
        <v>84.54</v>
      </c>
      <c r="F90" t="s">
        <v>1987</v>
      </c>
      <c r="G90">
        <v>57053</v>
      </c>
      <c r="H90" t="s">
        <v>2014</v>
      </c>
      <c r="I90" t="s">
        <v>2001</v>
      </c>
      <c r="J90" s="8">
        <v>4074</v>
      </c>
      <c r="K90">
        <v>7538</v>
      </c>
    </row>
    <row r="91" spans="1:11" x14ac:dyDescent="0.3">
      <c r="A91">
        <v>0</v>
      </c>
      <c r="B91">
        <v>7579106</v>
      </c>
      <c r="C91" s="13">
        <v>40205.549305555556</v>
      </c>
      <c r="D91">
        <v>4639</v>
      </c>
      <c r="E91">
        <v>48.93</v>
      </c>
      <c r="F91" t="s">
        <v>1987</v>
      </c>
      <c r="G91">
        <v>50783</v>
      </c>
      <c r="H91" t="s">
        <v>2023</v>
      </c>
      <c r="I91" t="s">
        <v>2001</v>
      </c>
      <c r="J91" s="8">
        <v>4085</v>
      </c>
      <c r="K91">
        <v>5411</v>
      </c>
    </row>
    <row r="92" spans="1:11" x14ac:dyDescent="0.3">
      <c r="A92">
        <v>0</v>
      </c>
      <c r="B92">
        <v>7581778</v>
      </c>
      <c r="C92" s="13">
        <v>40206.356944444444</v>
      </c>
      <c r="D92">
        <v>4639</v>
      </c>
      <c r="E92">
        <v>108.47</v>
      </c>
      <c r="F92" t="s">
        <v>1987</v>
      </c>
      <c r="G92">
        <v>30286</v>
      </c>
      <c r="H92" t="s">
        <v>2002</v>
      </c>
      <c r="I92" t="s">
        <v>2001</v>
      </c>
      <c r="J92" s="8">
        <v>4104</v>
      </c>
      <c r="K92">
        <v>4814</v>
      </c>
    </row>
    <row r="93" spans="1:11" x14ac:dyDescent="0.3">
      <c r="A93">
        <v>0</v>
      </c>
      <c r="B93">
        <v>7582582</v>
      </c>
      <c r="C93" s="13">
        <v>40206.481944444444</v>
      </c>
      <c r="D93">
        <v>4639</v>
      </c>
      <c r="E93">
        <v>83.26</v>
      </c>
      <c r="F93" t="s">
        <v>1987</v>
      </c>
      <c r="G93">
        <v>24823</v>
      </c>
      <c r="H93" t="s">
        <v>2014</v>
      </c>
      <c r="I93" t="s">
        <v>2001</v>
      </c>
      <c r="J93" s="8">
        <v>4074</v>
      </c>
      <c r="K93">
        <v>7538</v>
      </c>
    </row>
    <row r="94" spans="1:11" x14ac:dyDescent="0.3">
      <c r="A94">
        <v>0</v>
      </c>
      <c r="B94">
        <v>7583004</v>
      </c>
      <c r="C94" s="13">
        <v>40206.545138888891</v>
      </c>
      <c r="D94">
        <v>4639</v>
      </c>
      <c r="E94">
        <v>31.86</v>
      </c>
      <c r="F94" t="s">
        <v>1987</v>
      </c>
      <c r="G94">
        <v>16256</v>
      </c>
      <c r="H94" t="s">
        <v>2014</v>
      </c>
      <c r="I94" t="s">
        <v>2001</v>
      </c>
      <c r="J94" s="8">
        <v>4074</v>
      </c>
      <c r="K94">
        <v>5211</v>
      </c>
    </row>
    <row r="95" spans="1:11" x14ac:dyDescent="0.3">
      <c r="A95">
        <v>0</v>
      </c>
      <c r="B95">
        <v>7584466</v>
      </c>
      <c r="C95" s="13">
        <v>40206.822916666664</v>
      </c>
      <c r="D95">
        <v>4639</v>
      </c>
      <c r="E95">
        <v>8.66</v>
      </c>
      <c r="F95" t="s">
        <v>1987</v>
      </c>
      <c r="G95">
        <v>98648</v>
      </c>
      <c r="H95" t="s">
        <v>2014</v>
      </c>
      <c r="I95" t="s">
        <v>2001</v>
      </c>
      <c r="J95" s="8">
        <v>4074</v>
      </c>
      <c r="K95">
        <v>5814</v>
      </c>
    </row>
    <row r="96" spans="1:11" x14ac:dyDescent="0.3">
      <c r="A96">
        <v>0</v>
      </c>
      <c r="B96">
        <v>7594406</v>
      </c>
      <c r="C96" s="13">
        <v>40209.547222222223</v>
      </c>
      <c r="D96">
        <v>4639</v>
      </c>
      <c r="E96">
        <v>42.61</v>
      </c>
      <c r="F96" t="s">
        <v>1987</v>
      </c>
      <c r="G96">
        <v>60510</v>
      </c>
      <c r="H96" t="s">
        <v>2014</v>
      </c>
      <c r="I96" t="s">
        <v>2001</v>
      </c>
      <c r="J96" s="8">
        <v>4074</v>
      </c>
      <c r="K96">
        <v>5912</v>
      </c>
    </row>
    <row r="97" spans="1:12" x14ac:dyDescent="0.3">
      <c r="A97">
        <v>0</v>
      </c>
      <c r="B97">
        <v>7598312</v>
      </c>
      <c r="C97" s="13">
        <v>40210.527083333334</v>
      </c>
      <c r="D97">
        <v>4639</v>
      </c>
      <c r="E97">
        <v>64</v>
      </c>
      <c r="F97" t="s">
        <v>1987</v>
      </c>
      <c r="G97">
        <v>28395</v>
      </c>
      <c r="H97" t="s">
        <v>2022</v>
      </c>
      <c r="I97" t="s">
        <v>2001</v>
      </c>
      <c r="J97" s="8">
        <v>4083</v>
      </c>
      <c r="K97">
        <v>5541</v>
      </c>
    </row>
    <row r="98" spans="1:12" x14ac:dyDescent="0.3">
      <c r="A98">
        <v>0</v>
      </c>
      <c r="B98">
        <v>7598324</v>
      </c>
      <c r="C98" s="13">
        <v>40210.529166666667</v>
      </c>
      <c r="D98">
        <v>4639</v>
      </c>
      <c r="E98">
        <v>-64</v>
      </c>
      <c r="F98" t="s">
        <v>1987</v>
      </c>
      <c r="G98">
        <v>28395</v>
      </c>
      <c r="H98" t="s">
        <v>2022</v>
      </c>
      <c r="I98" t="s">
        <v>2001</v>
      </c>
      <c r="J98" s="8">
        <v>4083</v>
      </c>
      <c r="K98">
        <v>5541</v>
      </c>
    </row>
    <row r="99" spans="1:12" x14ac:dyDescent="0.3">
      <c r="A99">
        <v>0</v>
      </c>
      <c r="B99">
        <v>7598349</v>
      </c>
      <c r="C99" s="13">
        <v>40210.533333333333</v>
      </c>
      <c r="D99">
        <v>4639</v>
      </c>
      <c r="E99">
        <v>68.239999999999995</v>
      </c>
      <c r="F99" t="s">
        <v>1987</v>
      </c>
      <c r="G99">
        <v>28395</v>
      </c>
      <c r="H99" t="s">
        <v>2022</v>
      </c>
      <c r="I99" t="s">
        <v>2001</v>
      </c>
      <c r="J99" s="8">
        <v>4083</v>
      </c>
      <c r="K99">
        <v>5541</v>
      </c>
    </row>
    <row r="100" spans="1:12" x14ac:dyDescent="0.3">
      <c r="A100">
        <v>0</v>
      </c>
      <c r="B100">
        <v>7598540</v>
      </c>
      <c r="C100" s="13">
        <v>40210.559027777781</v>
      </c>
      <c r="D100">
        <v>4639</v>
      </c>
      <c r="E100">
        <v>44.15</v>
      </c>
      <c r="F100" t="s">
        <v>1987</v>
      </c>
      <c r="G100">
        <v>69956</v>
      </c>
      <c r="H100" t="s">
        <v>2022</v>
      </c>
      <c r="I100" t="s">
        <v>2001</v>
      </c>
      <c r="J100" s="8">
        <v>4083</v>
      </c>
      <c r="K100">
        <v>5310</v>
      </c>
    </row>
    <row r="101" spans="1:12" x14ac:dyDescent="0.3">
      <c r="A101">
        <v>0</v>
      </c>
      <c r="B101">
        <v>7601886</v>
      </c>
      <c r="C101" s="13">
        <v>40211.461805555555</v>
      </c>
      <c r="D101">
        <v>4639</v>
      </c>
      <c r="E101">
        <v>28.49</v>
      </c>
      <c r="F101" t="s">
        <v>1987</v>
      </c>
      <c r="G101">
        <v>83480</v>
      </c>
      <c r="H101" t="s">
        <v>2014</v>
      </c>
      <c r="I101" t="s">
        <v>2001</v>
      </c>
      <c r="J101" s="8">
        <v>4074</v>
      </c>
      <c r="K101">
        <v>9402</v>
      </c>
    </row>
    <row r="102" spans="1:12" x14ac:dyDescent="0.3">
      <c r="A102">
        <v>0</v>
      </c>
      <c r="B102">
        <v>7602020</v>
      </c>
      <c r="C102" s="13">
        <v>40211.479861111111</v>
      </c>
      <c r="D102">
        <v>4639</v>
      </c>
      <c r="E102">
        <v>70.709999999999994</v>
      </c>
      <c r="F102" t="s">
        <v>1987</v>
      </c>
      <c r="G102">
        <v>57053</v>
      </c>
      <c r="H102" t="s">
        <v>2014</v>
      </c>
      <c r="I102" t="s">
        <v>2001</v>
      </c>
      <c r="J102" s="8">
        <v>4074</v>
      </c>
      <c r="K102">
        <v>7538</v>
      </c>
    </row>
    <row r="103" spans="1:12" x14ac:dyDescent="0.3">
      <c r="A103">
        <v>0</v>
      </c>
      <c r="B103">
        <v>7602321</v>
      </c>
      <c r="C103" s="13">
        <v>40211.522222222222</v>
      </c>
      <c r="D103">
        <v>4639</v>
      </c>
      <c r="E103">
        <v>-61</v>
      </c>
      <c r="F103" t="s">
        <v>1987</v>
      </c>
      <c r="G103">
        <v>43293</v>
      </c>
      <c r="H103" t="s">
        <v>2014</v>
      </c>
      <c r="I103" t="s">
        <v>2001</v>
      </c>
      <c r="J103" s="8">
        <v>4074</v>
      </c>
      <c r="K103">
        <v>5499</v>
      </c>
    </row>
    <row r="104" spans="1:12" x14ac:dyDescent="0.3">
      <c r="A104">
        <v>0</v>
      </c>
      <c r="B104">
        <v>7602380</v>
      </c>
      <c r="C104" s="13">
        <v>40211.530555555553</v>
      </c>
      <c r="D104">
        <v>4639</v>
      </c>
      <c r="E104">
        <v>61</v>
      </c>
      <c r="F104" t="s">
        <v>1987</v>
      </c>
      <c r="G104">
        <v>43293</v>
      </c>
      <c r="H104" t="s">
        <v>2014</v>
      </c>
      <c r="I104" t="s">
        <v>2001</v>
      </c>
      <c r="J104" s="8">
        <v>4074</v>
      </c>
      <c r="K104">
        <v>5499</v>
      </c>
    </row>
    <row r="105" spans="1:12" x14ac:dyDescent="0.3">
      <c r="A105">
        <v>0</v>
      </c>
      <c r="B105">
        <v>7602461</v>
      </c>
      <c r="C105" s="13">
        <v>40211.540277777778</v>
      </c>
      <c r="D105">
        <v>4639</v>
      </c>
      <c r="E105">
        <v>62.45</v>
      </c>
      <c r="F105" t="s">
        <v>1987</v>
      </c>
      <c r="G105">
        <v>43293</v>
      </c>
      <c r="H105" t="s">
        <v>2014</v>
      </c>
      <c r="I105" t="s">
        <v>2001</v>
      </c>
      <c r="J105" s="8">
        <v>4074</v>
      </c>
      <c r="K105">
        <v>5499</v>
      </c>
    </row>
    <row r="106" spans="1:12" x14ac:dyDescent="0.3">
      <c r="A106">
        <v>0</v>
      </c>
      <c r="B106">
        <v>7603503</v>
      </c>
      <c r="C106" s="13">
        <v>40211.702777777777</v>
      </c>
      <c r="D106">
        <v>4639</v>
      </c>
      <c r="E106">
        <v>97.14</v>
      </c>
      <c r="F106" t="s">
        <v>1987</v>
      </c>
      <c r="G106">
        <v>87879</v>
      </c>
      <c r="H106" t="s">
        <v>2014</v>
      </c>
      <c r="I106" t="s">
        <v>2001</v>
      </c>
      <c r="J106" s="8">
        <v>4074</v>
      </c>
      <c r="K106">
        <v>8099</v>
      </c>
    </row>
    <row r="107" spans="1:12" x14ac:dyDescent="0.3">
      <c r="A107">
        <v>0</v>
      </c>
      <c r="B107">
        <v>7604775</v>
      </c>
      <c r="C107" s="13">
        <v>40212.286805555559</v>
      </c>
      <c r="D107">
        <v>4639</v>
      </c>
      <c r="E107">
        <v>13.25</v>
      </c>
      <c r="F107" t="s">
        <v>1987</v>
      </c>
      <c r="G107">
        <v>43925</v>
      </c>
      <c r="H107" t="s">
        <v>2014</v>
      </c>
      <c r="I107" t="s">
        <v>2001</v>
      </c>
      <c r="J107" s="8">
        <v>4074</v>
      </c>
      <c r="K107">
        <v>5411</v>
      </c>
    </row>
    <row r="108" spans="1:12" x14ac:dyDescent="0.3">
      <c r="A108">
        <v>0</v>
      </c>
      <c r="B108">
        <v>7607819</v>
      </c>
      <c r="C108" s="13">
        <v>40212.791666666664</v>
      </c>
      <c r="D108">
        <v>4639</v>
      </c>
      <c r="E108">
        <v>120</v>
      </c>
      <c r="F108" t="s">
        <v>1987</v>
      </c>
      <c r="G108">
        <v>27092</v>
      </c>
      <c r="H108" t="s">
        <v>2002</v>
      </c>
      <c r="I108" t="s">
        <v>2001</v>
      </c>
      <c r="J108" s="8">
        <v>4102</v>
      </c>
      <c r="K108">
        <v>4829</v>
      </c>
      <c r="L108" t="s">
        <v>1988</v>
      </c>
    </row>
    <row r="109" spans="1:12" x14ac:dyDescent="0.3">
      <c r="A109">
        <v>0</v>
      </c>
      <c r="B109">
        <v>7607848</v>
      </c>
      <c r="C109" s="13">
        <v>40212.79791666667</v>
      </c>
      <c r="D109">
        <v>4639</v>
      </c>
      <c r="E109">
        <v>160</v>
      </c>
      <c r="F109" t="s">
        <v>1987</v>
      </c>
      <c r="G109">
        <v>27092</v>
      </c>
      <c r="H109" t="s">
        <v>2002</v>
      </c>
      <c r="I109" t="s">
        <v>2001</v>
      </c>
      <c r="J109" s="8">
        <v>4102</v>
      </c>
      <c r="K109">
        <v>4829</v>
      </c>
    </row>
    <row r="110" spans="1:12" x14ac:dyDescent="0.3">
      <c r="A110">
        <v>0</v>
      </c>
      <c r="B110">
        <v>7607924</v>
      </c>
      <c r="C110" s="13">
        <v>40212.817361111112</v>
      </c>
      <c r="D110">
        <v>4639</v>
      </c>
      <c r="E110">
        <v>8.18</v>
      </c>
      <c r="F110" t="s">
        <v>1987</v>
      </c>
      <c r="G110">
        <v>55060</v>
      </c>
      <c r="H110" t="s">
        <v>2014</v>
      </c>
      <c r="I110" t="s">
        <v>2001</v>
      </c>
      <c r="J110" s="8">
        <v>4074</v>
      </c>
      <c r="K110">
        <v>5812</v>
      </c>
    </row>
    <row r="111" spans="1:12" x14ac:dyDescent="0.3">
      <c r="A111">
        <v>0</v>
      </c>
      <c r="B111">
        <v>7608231</v>
      </c>
      <c r="C111" s="13">
        <v>40212.920138888891</v>
      </c>
      <c r="D111">
        <v>4639</v>
      </c>
      <c r="E111">
        <v>54.56</v>
      </c>
      <c r="F111" t="s">
        <v>1987</v>
      </c>
      <c r="G111">
        <v>32164</v>
      </c>
      <c r="H111" t="s">
        <v>2014</v>
      </c>
      <c r="I111" t="s">
        <v>2001</v>
      </c>
      <c r="J111" s="8">
        <v>4074</v>
      </c>
      <c r="K111">
        <v>5813</v>
      </c>
    </row>
    <row r="112" spans="1:12" x14ac:dyDescent="0.3">
      <c r="A112">
        <v>0</v>
      </c>
      <c r="B112">
        <v>7610659</v>
      </c>
      <c r="C112" s="13">
        <v>40213.561111111114</v>
      </c>
      <c r="D112">
        <v>4639</v>
      </c>
      <c r="E112">
        <v>22.25</v>
      </c>
      <c r="F112" t="s">
        <v>1987</v>
      </c>
      <c r="G112">
        <v>74778</v>
      </c>
      <c r="H112" t="s">
        <v>2014</v>
      </c>
      <c r="I112" t="s">
        <v>2001</v>
      </c>
      <c r="J112" s="8">
        <v>4074</v>
      </c>
      <c r="K112">
        <v>7542</v>
      </c>
    </row>
    <row r="113" spans="1:11" x14ac:dyDescent="0.3">
      <c r="A113">
        <v>0</v>
      </c>
      <c r="B113">
        <v>7610961</v>
      </c>
      <c r="C113" s="13">
        <v>40213.61041666667</v>
      </c>
      <c r="D113">
        <v>4639</v>
      </c>
      <c r="E113">
        <v>11.55</v>
      </c>
      <c r="F113" t="s">
        <v>1987</v>
      </c>
      <c r="G113">
        <v>20561</v>
      </c>
      <c r="H113" t="s">
        <v>2014</v>
      </c>
      <c r="I113" t="s">
        <v>2001</v>
      </c>
      <c r="J113" s="8">
        <v>4074</v>
      </c>
      <c r="K113">
        <v>5912</v>
      </c>
    </row>
    <row r="114" spans="1:11" x14ac:dyDescent="0.3">
      <c r="A114">
        <v>0</v>
      </c>
      <c r="B114">
        <v>7612537</v>
      </c>
      <c r="C114" s="13">
        <v>40214.148611111108</v>
      </c>
      <c r="D114">
        <v>4639</v>
      </c>
      <c r="E114">
        <v>41.12</v>
      </c>
      <c r="F114" t="s">
        <v>1987</v>
      </c>
      <c r="G114">
        <v>29219</v>
      </c>
      <c r="H114" t="s">
        <v>2014</v>
      </c>
      <c r="I114" t="s">
        <v>2001</v>
      </c>
      <c r="J114" s="8">
        <v>4074</v>
      </c>
      <c r="K114">
        <v>4900</v>
      </c>
    </row>
    <row r="115" spans="1:11" x14ac:dyDescent="0.3">
      <c r="A115">
        <v>0</v>
      </c>
      <c r="B115">
        <v>7618448</v>
      </c>
      <c r="C115" s="13">
        <v>40215.607638888891</v>
      </c>
      <c r="D115">
        <v>4639</v>
      </c>
      <c r="E115">
        <v>11.79</v>
      </c>
      <c r="F115" t="s">
        <v>1987</v>
      </c>
      <c r="G115">
        <v>60510</v>
      </c>
      <c r="H115" t="s">
        <v>2014</v>
      </c>
      <c r="I115" t="s">
        <v>2001</v>
      </c>
      <c r="J115" s="8">
        <v>4074</v>
      </c>
      <c r="K115">
        <v>5912</v>
      </c>
    </row>
    <row r="116" spans="1:11" x14ac:dyDescent="0.3">
      <c r="A116">
        <v>0</v>
      </c>
      <c r="B116">
        <v>7619528</v>
      </c>
      <c r="C116" s="13">
        <v>40215.82708333333</v>
      </c>
      <c r="D116">
        <v>4639</v>
      </c>
      <c r="E116">
        <v>7.67</v>
      </c>
      <c r="F116" t="s">
        <v>1987</v>
      </c>
      <c r="G116">
        <v>98648</v>
      </c>
      <c r="H116" t="s">
        <v>2014</v>
      </c>
      <c r="I116" t="s">
        <v>2001</v>
      </c>
      <c r="J116" s="8">
        <v>4074</v>
      </c>
      <c r="K116">
        <v>5814</v>
      </c>
    </row>
    <row r="117" spans="1:11" x14ac:dyDescent="0.3">
      <c r="A117">
        <v>0</v>
      </c>
      <c r="B117">
        <v>7622601</v>
      </c>
      <c r="C117" s="13">
        <v>40216.609722222223</v>
      </c>
      <c r="D117">
        <v>4639</v>
      </c>
      <c r="E117">
        <v>2.15</v>
      </c>
      <c r="F117" t="s">
        <v>1987</v>
      </c>
      <c r="G117">
        <v>89069</v>
      </c>
      <c r="H117" t="s">
        <v>2033</v>
      </c>
      <c r="I117" t="s">
        <v>2001</v>
      </c>
      <c r="J117" s="8">
        <v>4095</v>
      </c>
      <c r="K117">
        <v>5251</v>
      </c>
    </row>
    <row r="118" spans="1:11" x14ac:dyDescent="0.3">
      <c r="A118">
        <v>0</v>
      </c>
      <c r="B118">
        <v>7622646</v>
      </c>
      <c r="C118" s="13">
        <v>40216.615277777775</v>
      </c>
      <c r="D118">
        <v>4639</v>
      </c>
      <c r="E118">
        <v>14.77</v>
      </c>
      <c r="F118" t="s">
        <v>1987</v>
      </c>
      <c r="G118">
        <v>60510</v>
      </c>
      <c r="H118" t="s">
        <v>2014</v>
      </c>
      <c r="I118" t="s">
        <v>2001</v>
      </c>
      <c r="J118" s="8">
        <v>4074</v>
      </c>
      <c r="K118">
        <v>5912</v>
      </c>
    </row>
    <row r="119" spans="1:11" x14ac:dyDescent="0.3">
      <c r="A119">
        <v>0</v>
      </c>
      <c r="B119">
        <v>7622833</v>
      </c>
      <c r="C119" s="13">
        <v>40216.642361111109</v>
      </c>
      <c r="D119">
        <v>4639</v>
      </c>
      <c r="E119">
        <v>7.53</v>
      </c>
      <c r="F119" t="s">
        <v>1987</v>
      </c>
      <c r="G119">
        <v>26909</v>
      </c>
      <c r="H119" t="s">
        <v>2026</v>
      </c>
      <c r="I119" t="s">
        <v>2001</v>
      </c>
      <c r="J119" s="8">
        <v>4084</v>
      </c>
      <c r="K119">
        <v>5211</v>
      </c>
    </row>
    <row r="120" spans="1:11" x14ac:dyDescent="0.3">
      <c r="A120">
        <v>0</v>
      </c>
      <c r="B120">
        <v>7626264</v>
      </c>
      <c r="C120" s="13">
        <v>40217.525000000001</v>
      </c>
      <c r="D120">
        <v>4639</v>
      </c>
      <c r="E120">
        <v>44.1</v>
      </c>
      <c r="F120" t="s">
        <v>1987</v>
      </c>
      <c r="G120">
        <v>43293</v>
      </c>
      <c r="H120" t="s">
        <v>2014</v>
      </c>
      <c r="I120" t="s">
        <v>2001</v>
      </c>
      <c r="J120" s="8">
        <v>4074</v>
      </c>
      <c r="K120">
        <v>5499</v>
      </c>
    </row>
    <row r="121" spans="1:11" x14ac:dyDescent="0.3">
      <c r="A121">
        <v>0</v>
      </c>
      <c r="B121">
        <v>7626311</v>
      </c>
      <c r="C121" s="13">
        <v>40217.531944444447</v>
      </c>
      <c r="D121">
        <v>4639</v>
      </c>
      <c r="E121">
        <v>51</v>
      </c>
      <c r="F121" t="s">
        <v>1987</v>
      </c>
      <c r="G121">
        <v>43293</v>
      </c>
      <c r="H121" t="s">
        <v>2014</v>
      </c>
      <c r="I121" t="s">
        <v>2001</v>
      </c>
      <c r="J121" s="8">
        <v>4074</v>
      </c>
      <c r="K121">
        <v>5499</v>
      </c>
    </row>
    <row r="122" spans="1:11" x14ac:dyDescent="0.3">
      <c r="A122">
        <v>0</v>
      </c>
      <c r="B122">
        <v>7626359</v>
      </c>
      <c r="C122" s="13">
        <v>40217.536805555559</v>
      </c>
      <c r="D122">
        <v>4639</v>
      </c>
      <c r="E122">
        <v>-51</v>
      </c>
      <c r="F122" t="s">
        <v>1987</v>
      </c>
      <c r="G122">
        <v>43293</v>
      </c>
      <c r="H122" t="s">
        <v>2014</v>
      </c>
      <c r="I122" t="s">
        <v>2001</v>
      </c>
      <c r="J122" s="8">
        <v>4074</v>
      </c>
      <c r="K122">
        <v>5499</v>
      </c>
    </row>
    <row r="123" spans="1:11" x14ac:dyDescent="0.3">
      <c r="A123">
        <v>0</v>
      </c>
      <c r="B123">
        <v>7627844</v>
      </c>
      <c r="C123" s="13">
        <v>40217.818055555559</v>
      </c>
      <c r="D123">
        <v>4639</v>
      </c>
      <c r="E123">
        <v>7.6</v>
      </c>
      <c r="F123" t="s">
        <v>1987</v>
      </c>
      <c r="G123">
        <v>98648</v>
      </c>
      <c r="H123" t="s">
        <v>2014</v>
      </c>
      <c r="I123" t="s">
        <v>2001</v>
      </c>
      <c r="J123" s="8">
        <v>4074</v>
      </c>
      <c r="K123">
        <v>5814</v>
      </c>
    </row>
    <row r="124" spans="1:11" x14ac:dyDescent="0.3">
      <c r="A124">
        <v>0</v>
      </c>
      <c r="B124">
        <v>7630235</v>
      </c>
      <c r="C124" s="13">
        <v>40218.506249999999</v>
      </c>
      <c r="D124">
        <v>4639</v>
      </c>
      <c r="E124">
        <v>-53</v>
      </c>
      <c r="F124" t="s">
        <v>1987</v>
      </c>
      <c r="G124">
        <v>43293</v>
      </c>
      <c r="H124" t="s">
        <v>2014</v>
      </c>
      <c r="I124" t="s">
        <v>2001</v>
      </c>
      <c r="J124" s="8">
        <v>4074</v>
      </c>
      <c r="K124">
        <v>5499</v>
      </c>
    </row>
    <row r="125" spans="1:11" x14ac:dyDescent="0.3">
      <c r="A125">
        <v>0</v>
      </c>
      <c r="B125">
        <v>7630305</v>
      </c>
      <c r="C125" s="13">
        <v>40218.51458333333</v>
      </c>
      <c r="D125">
        <v>4639</v>
      </c>
      <c r="E125">
        <v>84.67</v>
      </c>
      <c r="F125" t="s">
        <v>1987</v>
      </c>
      <c r="G125">
        <v>43293</v>
      </c>
      <c r="H125" t="s">
        <v>2014</v>
      </c>
      <c r="I125" t="s">
        <v>2001</v>
      </c>
      <c r="J125" s="8">
        <v>4074</v>
      </c>
      <c r="K125">
        <v>5499</v>
      </c>
    </row>
    <row r="126" spans="1:11" x14ac:dyDescent="0.3">
      <c r="A126">
        <v>0</v>
      </c>
      <c r="B126">
        <v>7630332</v>
      </c>
      <c r="C126" s="13">
        <v>40218.517361111109</v>
      </c>
      <c r="D126">
        <v>4639</v>
      </c>
      <c r="E126">
        <v>53</v>
      </c>
      <c r="F126" t="s">
        <v>1987</v>
      </c>
      <c r="G126">
        <v>43293</v>
      </c>
      <c r="H126" t="s">
        <v>2014</v>
      </c>
      <c r="I126" t="s">
        <v>2001</v>
      </c>
      <c r="J126" s="8">
        <v>4074</v>
      </c>
      <c r="K126">
        <v>5499</v>
      </c>
    </row>
    <row r="127" spans="1:11" x14ac:dyDescent="0.3">
      <c r="A127">
        <v>0</v>
      </c>
      <c r="B127">
        <v>7630346</v>
      </c>
      <c r="C127" s="13">
        <v>40218.519444444442</v>
      </c>
      <c r="D127">
        <v>4639</v>
      </c>
      <c r="E127">
        <v>52.29</v>
      </c>
      <c r="F127" t="s">
        <v>1987</v>
      </c>
      <c r="G127">
        <v>24823</v>
      </c>
      <c r="H127" t="s">
        <v>2014</v>
      </c>
      <c r="I127" t="s">
        <v>2001</v>
      </c>
      <c r="J127" s="8">
        <v>4074</v>
      </c>
      <c r="K127">
        <v>7538</v>
      </c>
    </row>
    <row r="128" spans="1:11" x14ac:dyDescent="0.3">
      <c r="A128">
        <v>0</v>
      </c>
      <c r="B128">
        <v>7630446</v>
      </c>
      <c r="C128" s="13">
        <v>40218.53402777778</v>
      </c>
      <c r="D128">
        <v>4639</v>
      </c>
      <c r="E128">
        <v>79</v>
      </c>
      <c r="F128" t="s">
        <v>1987</v>
      </c>
      <c r="G128">
        <v>43293</v>
      </c>
      <c r="H128" t="s">
        <v>2014</v>
      </c>
      <c r="I128" t="s">
        <v>2001</v>
      </c>
      <c r="J128" s="8">
        <v>4074</v>
      </c>
      <c r="K128">
        <v>5499</v>
      </c>
    </row>
    <row r="129" spans="1:12" x14ac:dyDescent="0.3">
      <c r="A129">
        <v>0</v>
      </c>
      <c r="B129">
        <v>7630461</v>
      </c>
      <c r="C129" s="13">
        <v>40218.536805555559</v>
      </c>
      <c r="D129">
        <v>4639</v>
      </c>
      <c r="E129">
        <v>-88</v>
      </c>
      <c r="F129" t="s">
        <v>1987</v>
      </c>
      <c r="G129">
        <v>43293</v>
      </c>
      <c r="H129" t="s">
        <v>2014</v>
      </c>
      <c r="I129" t="s">
        <v>2001</v>
      </c>
      <c r="J129" s="8">
        <v>4074</v>
      </c>
      <c r="K129">
        <v>5499</v>
      </c>
    </row>
    <row r="130" spans="1:12" x14ac:dyDescent="0.3">
      <c r="A130">
        <v>0</v>
      </c>
      <c r="B130">
        <v>7630468</v>
      </c>
      <c r="C130" s="13">
        <v>40218.538194444445</v>
      </c>
      <c r="D130">
        <v>4639</v>
      </c>
      <c r="E130">
        <v>88</v>
      </c>
      <c r="F130" t="s">
        <v>1987</v>
      </c>
      <c r="G130">
        <v>43293</v>
      </c>
      <c r="H130" t="s">
        <v>2014</v>
      </c>
      <c r="I130" t="s">
        <v>2001</v>
      </c>
      <c r="J130" s="8">
        <v>4074</v>
      </c>
      <c r="K130">
        <v>5499</v>
      </c>
    </row>
    <row r="131" spans="1:12" x14ac:dyDescent="0.3">
      <c r="A131">
        <v>0</v>
      </c>
      <c r="B131">
        <v>7630667</v>
      </c>
      <c r="C131" s="13">
        <v>40218.564583333333</v>
      </c>
      <c r="D131">
        <v>4639</v>
      </c>
      <c r="E131">
        <v>2.5099999999999998</v>
      </c>
      <c r="F131" t="s">
        <v>1987</v>
      </c>
      <c r="G131">
        <v>26593</v>
      </c>
      <c r="H131" t="s">
        <v>2014</v>
      </c>
      <c r="I131" t="s">
        <v>2001</v>
      </c>
      <c r="J131" s="8">
        <v>4074</v>
      </c>
      <c r="K131">
        <v>5300</v>
      </c>
    </row>
    <row r="132" spans="1:12" x14ac:dyDescent="0.3">
      <c r="A132">
        <v>0</v>
      </c>
      <c r="B132">
        <v>7630887</v>
      </c>
      <c r="C132" s="13">
        <v>40218.598611111112</v>
      </c>
      <c r="D132">
        <v>4639</v>
      </c>
      <c r="E132">
        <v>7.26</v>
      </c>
      <c r="F132" t="s">
        <v>1994</v>
      </c>
      <c r="G132">
        <v>88459</v>
      </c>
      <c r="H132" t="s">
        <v>1993</v>
      </c>
      <c r="I132" t="s">
        <v>3719</v>
      </c>
      <c r="J132" s="8" t="s">
        <v>3719</v>
      </c>
      <c r="K132">
        <v>5311</v>
      </c>
    </row>
    <row r="133" spans="1:12" x14ac:dyDescent="0.3">
      <c r="A133">
        <v>0</v>
      </c>
      <c r="B133">
        <v>7631057</v>
      </c>
      <c r="C133" s="13">
        <v>40218.623611111114</v>
      </c>
      <c r="D133">
        <v>4639</v>
      </c>
      <c r="E133">
        <v>15.09</v>
      </c>
      <c r="F133" t="s">
        <v>1987</v>
      </c>
      <c r="G133">
        <v>60510</v>
      </c>
      <c r="H133" t="s">
        <v>2014</v>
      </c>
      <c r="I133" t="s">
        <v>2001</v>
      </c>
      <c r="J133" s="8">
        <v>4074</v>
      </c>
      <c r="K133">
        <v>5912</v>
      </c>
    </row>
    <row r="134" spans="1:12" x14ac:dyDescent="0.3">
      <c r="A134">
        <v>0</v>
      </c>
      <c r="B134">
        <v>7632003</v>
      </c>
      <c r="C134" s="13">
        <v>40218.816666666666</v>
      </c>
      <c r="D134">
        <v>4639</v>
      </c>
      <c r="E134">
        <v>7.44</v>
      </c>
      <c r="F134" t="s">
        <v>1987</v>
      </c>
      <c r="G134">
        <v>98648</v>
      </c>
      <c r="H134" t="s">
        <v>2014</v>
      </c>
      <c r="I134" t="s">
        <v>2001</v>
      </c>
      <c r="J134" s="8">
        <v>4074</v>
      </c>
      <c r="K134">
        <v>5814</v>
      </c>
    </row>
    <row r="135" spans="1:12" x14ac:dyDescent="0.3">
      <c r="A135">
        <v>0</v>
      </c>
      <c r="B135">
        <v>7632334</v>
      </c>
      <c r="C135" s="13">
        <v>40218.93472222222</v>
      </c>
      <c r="D135">
        <v>4639</v>
      </c>
      <c r="E135">
        <v>50.31</v>
      </c>
      <c r="F135" t="s">
        <v>1987</v>
      </c>
      <c r="G135">
        <v>32164</v>
      </c>
      <c r="H135" t="s">
        <v>2014</v>
      </c>
      <c r="I135" t="s">
        <v>2001</v>
      </c>
      <c r="J135" s="8">
        <v>4074</v>
      </c>
      <c r="K135">
        <v>5813</v>
      </c>
    </row>
    <row r="136" spans="1:12" x14ac:dyDescent="0.3">
      <c r="A136">
        <v>0</v>
      </c>
      <c r="B136">
        <v>7632351</v>
      </c>
      <c r="C136" s="13">
        <v>40218.94027777778</v>
      </c>
      <c r="D136">
        <v>4639</v>
      </c>
      <c r="E136">
        <v>51.27</v>
      </c>
      <c r="F136" t="s">
        <v>1987</v>
      </c>
      <c r="G136">
        <v>32164</v>
      </c>
      <c r="H136" t="s">
        <v>2014</v>
      </c>
      <c r="I136" t="s">
        <v>2001</v>
      </c>
      <c r="J136" s="8">
        <v>4074</v>
      </c>
      <c r="K136">
        <v>5813</v>
      </c>
    </row>
    <row r="137" spans="1:12" x14ac:dyDescent="0.3">
      <c r="A137">
        <v>0</v>
      </c>
      <c r="B137">
        <v>7642617</v>
      </c>
      <c r="C137" s="13">
        <v>40221.558333333334</v>
      </c>
      <c r="D137">
        <v>4639</v>
      </c>
      <c r="E137">
        <v>33.58</v>
      </c>
      <c r="F137" t="s">
        <v>1987</v>
      </c>
      <c r="G137">
        <v>11468</v>
      </c>
      <c r="H137" t="s">
        <v>1996</v>
      </c>
      <c r="I137" t="s">
        <v>2001</v>
      </c>
      <c r="J137" s="8">
        <v>4938</v>
      </c>
      <c r="K137">
        <v>5970</v>
      </c>
    </row>
    <row r="138" spans="1:12" x14ac:dyDescent="0.3">
      <c r="A138">
        <v>0</v>
      </c>
      <c r="B138">
        <v>7644247</v>
      </c>
      <c r="C138" s="13">
        <v>40221.930555555555</v>
      </c>
      <c r="D138">
        <v>4639</v>
      </c>
      <c r="E138">
        <v>64.069999999999993</v>
      </c>
      <c r="F138" t="s">
        <v>1987</v>
      </c>
      <c r="G138">
        <v>32164</v>
      </c>
      <c r="H138" t="s">
        <v>2014</v>
      </c>
      <c r="I138" t="s">
        <v>2001</v>
      </c>
      <c r="J138" s="8">
        <v>4074</v>
      </c>
      <c r="K138">
        <v>5813</v>
      </c>
    </row>
    <row r="139" spans="1:12" x14ac:dyDescent="0.3">
      <c r="A139">
        <v>0</v>
      </c>
      <c r="B139">
        <v>7647649</v>
      </c>
      <c r="C139" s="13">
        <v>40222.830555555556</v>
      </c>
      <c r="D139">
        <v>4639</v>
      </c>
      <c r="E139">
        <v>9.69</v>
      </c>
      <c r="F139" t="s">
        <v>1987</v>
      </c>
      <c r="G139">
        <v>55060</v>
      </c>
      <c r="H139" t="s">
        <v>2014</v>
      </c>
      <c r="I139" t="s">
        <v>2001</v>
      </c>
      <c r="J139" s="8">
        <v>4074</v>
      </c>
      <c r="K139">
        <v>5812</v>
      </c>
    </row>
    <row r="140" spans="1:12" x14ac:dyDescent="0.3">
      <c r="A140">
        <v>0</v>
      </c>
      <c r="B140">
        <v>7650140</v>
      </c>
      <c r="C140" s="13">
        <v>40223.525694444441</v>
      </c>
      <c r="D140">
        <v>4639</v>
      </c>
      <c r="E140">
        <v>68</v>
      </c>
      <c r="F140" t="s">
        <v>1987</v>
      </c>
      <c r="G140">
        <v>43293</v>
      </c>
      <c r="H140" t="s">
        <v>2014</v>
      </c>
      <c r="I140" t="s">
        <v>2001</v>
      </c>
      <c r="J140" s="8">
        <v>4074</v>
      </c>
      <c r="K140">
        <v>5499</v>
      </c>
    </row>
    <row r="141" spans="1:12" x14ac:dyDescent="0.3">
      <c r="A141">
        <v>0</v>
      </c>
      <c r="B141">
        <v>7650141</v>
      </c>
      <c r="C141" s="13">
        <v>40223.525694444441</v>
      </c>
      <c r="D141">
        <v>4639</v>
      </c>
      <c r="E141">
        <v>54.97</v>
      </c>
      <c r="F141" t="s">
        <v>1987</v>
      </c>
      <c r="G141">
        <v>43293</v>
      </c>
      <c r="H141" t="s">
        <v>2014</v>
      </c>
      <c r="I141" t="s">
        <v>2001</v>
      </c>
      <c r="J141" s="8">
        <v>4074</v>
      </c>
      <c r="K141">
        <v>5499</v>
      </c>
    </row>
    <row r="142" spans="1:12" x14ac:dyDescent="0.3">
      <c r="A142">
        <v>0</v>
      </c>
      <c r="B142">
        <v>7650197</v>
      </c>
      <c r="C142" s="13">
        <v>40223.53402777778</v>
      </c>
      <c r="D142">
        <v>4639</v>
      </c>
      <c r="E142">
        <v>-68</v>
      </c>
      <c r="F142" t="s">
        <v>1987</v>
      </c>
      <c r="G142">
        <v>43293</v>
      </c>
      <c r="H142" t="s">
        <v>2014</v>
      </c>
      <c r="I142" t="s">
        <v>2001</v>
      </c>
      <c r="J142" s="8">
        <v>4074</v>
      </c>
      <c r="K142">
        <v>5499</v>
      </c>
      <c r="L142" t="s">
        <v>2011</v>
      </c>
    </row>
    <row r="143" spans="1:12" x14ac:dyDescent="0.3">
      <c r="A143">
        <v>0</v>
      </c>
      <c r="B143">
        <v>7650269</v>
      </c>
      <c r="C143" s="13">
        <v>40223.545138888891</v>
      </c>
      <c r="D143">
        <v>4639</v>
      </c>
      <c r="E143">
        <v>613.41</v>
      </c>
      <c r="F143" t="s">
        <v>1994</v>
      </c>
      <c r="G143">
        <v>6063</v>
      </c>
      <c r="H143" t="s">
        <v>1993</v>
      </c>
      <c r="I143" t="s">
        <v>3719</v>
      </c>
      <c r="J143" s="8" t="s">
        <v>3719</v>
      </c>
      <c r="K143">
        <v>4511</v>
      </c>
    </row>
    <row r="144" spans="1:12" x14ac:dyDescent="0.3">
      <c r="A144">
        <v>0</v>
      </c>
      <c r="B144">
        <v>7650696</v>
      </c>
      <c r="C144" s="13">
        <v>40223.618055555555</v>
      </c>
      <c r="D144">
        <v>4639</v>
      </c>
      <c r="E144">
        <v>12.44</v>
      </c>
      <c r="F144" t="s">
        <v>1987</v>
      </c>
      <c r="G144">
        <v>50783</v>
      </c>
      <c r="H144" t="s">
        <v>2023</v>
      </c>
      <c r="I144" t="s">
        <v>2001</v>
      </c>
      <c r="J144" s="8">
        <v>4085</v>
      </c>
      <c r="K144">
        <v>5411</v>
      </c>
    </row>
    <row r="145" spans="1:12" x14ac:dyDescent="0.3">
      <c r="A145">
        <v>0</v>
      </c>
      <c r="B145">
        <v>7652484</v>
      </c>
      <c r="C145" s="13">
        <v>40224.270138888889</v>
      </c>
      <c r="D145">
        <v>4639</v>
      </c>
      <c r="E145">
        <v>171.37</v>
      </c>
      <c r="F145" t="s">
        <v>1987</v>
      </c>
      <c r="G145">
        <v>90865</v>
      </c>
      <c r="H145" t="s">
        <v>2025</v>
      </c>
      <c r="I145" t="s">
        <v>2001</v>
      </c>
      <c r="J145" s="8">
        <v>4254</v>
      </c>
      <c r="K145">
        <v>5311</v>
      </c>
    </row>
    <row r="146" spans="1:12" x14ac:dyDescent="0.3">
      <c r="A146">
        <v>0</v>
      </c>
      <c r="B146">
        <v>7654663</v>
      </c>
      <c r="C146" s="13">
        <v>40224.59375</v>
      </c>
      <c r="D146">
        <v>4639</v>
      </c>
      <c r="E146">
        <v>276.41000000000003</v>
      </c>
      <c r="F146" t="s">
        <v>1987</v>
      </c>
      <c r="G146">
        <v>76639</v>
      </c>
      <c r="H146" t="s">
        <v>2006</v>
      </c>
      <c r="I146" t="s">
        <v>1990</v>
      </c>
      <c r="J146" s="8">
        <v>6010</v>
      </c>
      <c r="K146">
        <v>5732</v>
      </c>
    </row>
    <row r="147" spans="1:12" x14ac:dyDescent="0.3">
      <c r="A147">
        <v>0</v>
      </c>
      <c r="B147">
        <v>7658848</v>
      </c>
      <c r="C147" s="13">
        <v>40225.618750000001</v>
      </c>
      <c r="D147">
        <v>4639</v>
      </c>
      <c r="E147">
        <v>16.86</v>
      </c>
      <c r="F147" t="s">
        <v>1987</v>
      </c>
      <c r="G147">
        <v>43925</v>
      </c>
      <c r="H147" t="s">
        <v>2014</v>
      </c>
      <c r="I147" t="s">
        <v>2001</v>
      </c>
      <c r="J147" s="8">
        <v>4074</v>
      </c>
      <c r="K147">
        <v>5411</v>
      </c>
    </row>
    <row r="148" spans="1:12" x14ac:dyDescent="0.3">
      <c r="A148">
        <v>0</v>
      </c>
      <c r="B148">
        <v>7660091</v>
      </c>
      <c r="C148" s="13">
        <v>40225.92291666667</v>
      </c>
      <c r="D148">
        <v>4639</v>
      </c>
      <c r="E148">
        <v>54.48</v>
      </c>
      <c r="F148" t="s">
        <v>1987</v>
      </c>
      <c r="G148">
        <v>32164</v>
      </c>
      <c r="H148" t="s">
        <v>2014</v>
      </c>
      <c r="I148" t="s">
        <v>2001</v>
      </c>
      <c r="J148" s="8">
        <v>4074</v>
      </c>
      <c r="K148">
        <v>5813</v>
      </c>
    </row>
    <row r="149" spans="1:12" x14ac:dyDescent="0.3">
      <c r="A149">
        <v>0</v>
      </c>
      <c r="B149">
        <v>7662461</v>
      </c>
      <c r="C149" s="13">
        <v>40226.550694444442</v>
      </c>
      <c r="D149">
        <v>4639</v>
      </c>
      <c r="E149">
        <v>45.36</v>
      </c>
      <c r="F149" t="s">
        <v>1987</v>
      </c>
      <c r="G149">
        <v>34490</v>
      </c>
      <c r="H149" t="s">
        <v>2015</v>
      </c>
      <c r="I149" t="s">
        <v>2001</v>
      </c>
      <c r="J149" s="8">
        <v>4401</v>
      </c>
      <c r="K149">
        <v>5719</v>
      </c>
    </row>
    <row r="150" spans="1:12" x14ac:dyDescent="0.3">
      <c r="A150">
        <v>0</v>
      </c>
      <c r="B150">
        <v>7663816</v>
      </c>
      <c r="C150" s="13">
        <v>40226.817361111112</v>
      </c>
      <c r="D150">
        <v>4639</v>
      </c>
      <c r="E150">
        <v>10.06</v>
      </c>
      <c r="F150" t="s">
        <v>1987</v>
      </c>
      <c r="G150">
        <v>55060</v>
      </c>
      <c r="H150" t="s">
        <v>2014</v>
      </c>
      <c r="I150" t="s">
        <v>2001</v>
      </c>
      <c r="J150" s="8">
        <v>4074</v>
      </c>
      <c r="K150">
        <v>5812</v>
      </c>
    </row>
    <row r="151" spans="1:12" x14ac:dyDescent="0.3">
      <c r="A151">
        <v>0</v>
      </c>
      <c r="B151">
        <v>7663956</v>
      </c>
      <c r="C151" s="13">
        <v>40226.863194444442</v>
      </c>
      <c r="D151">
        <v>4639</v>
      </c>
      <c r="E151">
        <v>33.590000000000003</v>
      </c>
      <c r="F151" t="s">
        <v>1987</v>
      </c>
      <c r="G151">
        <v>11468</v>
      </c>
      <c r="H151" t="s">
        <v>1996</v>
      </c>
      <c r="I151" t="s">
        <v>2001</v>
      </c>
      <c r="J151" s="8">
        <v>4938</v>
      </c>
      <c r="K151">
        <v>5970</v>
      </c>
    </row>
    <row r="152" spans="1:12" x14ac:dyDescent="0.3">
      <c r="A152">
        <v>0</v>
      </c>
      <c r="B152">
        <v>7665931</v>
      </c>
      <c r="C152" s="13">
        <v>40227.458333333336</v>
      </c>
      <c r="D152">
        <v>4639</v>
      </c>
      <c r="E152">
        <v>24.73</v>
      </c>
      <c r="F152" t="s">
        <v>1987</v>
      </c>
      <c r="G152">
        <v>83480</v>
      </c>
      <c r="H152" t="s">
        <v>2014</v>
      </c>
      <c r="I152" t="s">
        <v>2001</v>
      </c>
      <c r="J152" s="8">
        <v>4074</v>
      </c>
      <c r="K152">
        <v>9402</v>
      </c>
    </row>
    <row r="153" spans="1:12" x14ac:dyDescent="0.3">
      <c r="A153">
        <v>0</v>
      </c>
      <c r="B153">
        <v>7667067</v>
      </c>
      <c r="C153" s="13">
        <v>40227.62222222222</v>
      </c>
      <c r="D153">
        <v>4639</v>
      </c>
      <c r="E153">
        <v>20.5</v>
      </c>
      <c r="F153" t="s">
        <v>1987</v>
      </c>
      <c r="G153">
        <v>43925</v>
      </c>
      <c r="H153" t="s">
        <v>2014</v>
      </c>
      <c r="I153" t="s">
        <v>2001</v>
      </c>
      <c r="J153" s="8">
        <v>4074</v>
      </c>
      <c r="K153">
        <v>5411</v>
      </c>
    </row>
    <row r="154" spans="1:12" x14ac:dyDescent="0.3">
      <c r="A154">
        <v>0</v>
      </c>
      <c r="B154">
        <v>7668884</v>
      </c>
      <c r="C154" s="13">
        <v>40228.301388888889</v>
      </c>
      <c r="D154">
        <v>4639</v>
      </c>
      <c r="E154">
        <v>91.07</v>
      </c>
      <c r="F154" t="s">
        <v>1987</v>
      </c>
      <c r="G154">
        <v>48919</v>
      </c>
      <c r="H154" t="s">
        <v>2022</v>
      </c>
      <c r="I154" t="s">
        <v>2001</v>
      </c>
      <c r="J154" s="8">
        <v>4083</v>
      </c>
      <c r="K154">
        <v>5311</v>
      </c>
    </row>
    <row r="155" spans="1:12" x14ac:dyDescent="0.3">
      <c r="A155">
        <v>0</v>
      </c>
      <c r="B155">
        <v>7672027</v>
      </c>
      <c r="C155" s="13">
        <v>40228.928472222222</v>
      </c>
      <c r="D155">
        <v>4639</v>
      </c>
      <c r="E155">
        <v>73.69</v>
      </c>
      <c r="F155" t="s">
        <v>1987</v>
      </c>
      <c r="G155">
        <v>32164</v>
      </c>
      <c r="H155" t="s">
        <v>2014</v>
      </c>
      <c r="I155" t="s">
        <v>2001</v>
      </c>
      <c r="J155" s="8">
        <v>4074</v>
      </c>
      <c r="K155">
        <v>5813</v>
      </c>
    </row>
    <row r="156" spans="1:12" x14ac:dyDescent="0.3">
      <c r="A156">
        <v>0</v>
      </c>
      <c r="B156">
        <v>7673987</v>
      </c>
      <c r="C156" s="13">
        <v>40229.548611111109</v>
      </c>
      <c r="D156">
        <v>4639</v>
      </c>
      <c r="E156">
        <v>46.23</v>
      </c>
      <c r="F156" t="s">
        <v>1987</v>
      </c>
      <c r="G156">
        <v>41527</v>
      </c>
      <c r="H156" t="s">
        <v>2014</v>
      </c>
      <c r="I156" t="s">
        <v>2001</v>
      </c>
      <c r="J156" s="8">
        <v>4074</v>
      </c>
      <c r="K156">
        <v>5310</v>
      </c>
    </row>
    <row r="157" spans="1:12" x14ac:dyDescent="0.3">
      <c r="A157">
        <v>0</v>
      </c>
      <c r="B157">
        <v>7676174</v>
      </c>
      <c r="C157" s="13">
        <v>40230.256249999999</v>
      </c>
      <c r="D157">
        <v>4639</v>
      </c>
      <c r="E157">
        <v>195.63</v>
      </c>
      <c r="F157" t="s">
        <v>1987</v>
      </c>
      <c r="G157">
        <v>26593</v>
      </c>
      <c r="H157" t="s">
        <v>2014</v>
      </c>
      <c r="I157" t="s">
        <v>2001</v>
      </c>
      <c r="J157" s="8">
        <v>4074</v>
      </c>
      <c r="K157">
        <v>5300</v>
      </c>
    </row>
    <row r="158" spans="1:12" x14ac:dyDescent="0.3">
      <c r="A158">
        <v>0</v>
      </c>
      <c r="B158">
        <v>7676352</v>
      </c>
      <c r="C158" s="13">
        <v>40230.290277777778</v>
      </c>
      <c r="D158">
        <v>4639</v>
      </c>
      <c r="E158">
        <v>10.14</v>
      </c>
      <c r="F158" t="s">
        <v>1987</v>
      </c>
      <c r="G158">
        <v>55060</v>
      </c>
      <c r="H158" t="s">
        <v>2014</v>
      </c>
      <c r="I158" t="s">
        <v>2001</v>
      </c>
      <c r="J158" s="8">
        <v>4074</v>
      </c>
      <c r="K158">
        <v>5812</v>
      </c>
    </row>
    <row r="159" spans="1:12" x14ac:dyDescent="0.3">
      <c r="A159">
        <v>0</v>
      </c>
      <c r="B159">
        <v>7676761</v>
      </c>
      <c r="C159" s="13">
        <v>40230.354166666664</v>
      </c>
      <c r="D159">
        <v>4639</v>
      </c>
      <c r="E159">
        <v>127.96</v>
      </c>
      <c r="F159" t="s">
        <v>1987</v>
      </c>
      <c r="G159">
        <v>30286</v>
      </c>
      <c r="H159" t="s">
        <v>2002</v>
      </c>
      <c r="I159" t="s">
        <v>2001</v>
      </c>
      <c r="J159" s="8">
        <v>4104</v>
      </c>
      <c r="K159">
        <v>4814</v>
      </c>
      <c r="L159" t="s">
        <v>1988</v>
      </c>
    </row>
    <row r="160" spans="1:12" x14ac:dyDescent="0.3">
      <c r="A160">
        <v>0</v>
      </c>
      <c r="B160">
        <v>7676762</v>
      </c>
      <c r="C160" s="13">
        <v>40230.354166666664</v>
      </c>
      <c r="D160">
        <v>4639</v>
      </c>
      <c r="E160">
        <v>80.010000000000005</v>
      </c>
      <c r="F160" t="s">
        <v>1987</v>
      </c>
      <c r="G160">
        <v>30286</v>
      </c>
      <c r="H160" t="s">
        <v>2002</v>
      </c>
      <c r="I160" t="s">
        <v>2001</v>
      </c>
      <c r="J160" s="8">
        <v>4104</v>
      </c>
      <c r="K160">
        <v>4814</v>
      </c>
    </row>
    <row r="161" spans="1:11" x14ac:dyDescent="0.3">
      <c r="A161">
        <v>0</v>
      </c>
      <c r="B161">
        <v>7677991</v>
      </c>
      <c r="C161" s="13">
        <v>40230.530555555553</v>
      </c>
      <c r="D161">
        <v>4639</v>
      </c>
      <c r="E161">
        <v>78.72</v>
      </c>
      <c r="F161" t="s">
        <v>1987</v>
      </c>
      <c r="G161">
        <v>43293</v>
      </c>
      <c r="H161" t="s">
        <v>2014</v>
      </c>
      <c r="I161" t="s">
        <v>2001</v>
      </c>
      <c r="J161" s="8">
        <v>4074</v>
      </c>
      <c r="K161">
        <v>5499</v>
      </c>
    </row>
    <row r="162" spans="1:11" x14ac:dyDescent="0.3">
      <c r="A162">
        <v>0</v>
      </c>
      <c r="B162">
        <v>7678037</v>
      </c>
      <c r="C162" s="13">
        <v>40230.535416666666</v>
      </c>
      <c r="D162">
        <v>4639</v>
      </c>
      <c r="E162">
        <v>85</v>
      </c>
      <c r="F162" t="s">
        <v>1987</v>
      </c>
      <c r="G162">
        <v>43293</v>
      </c>
      <c r="H162" t="s">
        <v>2014</v>
      </c>
      <c r="I162" t="s">
        <v>2001</v>
      </c>
      <c r="J162" s="8">
        <v>4074</v>
      </c>
      <c r="K162">
        <v>5499</v>
      </c>
    </row>
    <row r="163" spans="1:11" x14ac:dyDescent="0.3">
      <c r="A163">
        <v>0</v>
      </c>
      <c r="B163">
        <v>7678040</v>
      </c>
      <c r="C163" s="13">
        <v>40230.536111111112</v>
      </c>
      <c r="D163">
        <v>4639</v>
      </c>
      <c r="E163">
        <v>-85</v>
      </c>
      <c r="F163" t="s">
        <v>1987</v>
      </c>
      <c r="G163">
        <v>43293</v>
      </c>
      <c r="H163" t="s">
        <v>2014</v>
      </c>
      <c r="I163" t="s">
        <v>2001</v>
      </c>
      <c r="J163" s="8">
        <v>4074</v>
      </c>
      <c r="K163">
        <v>5499</v>
      </c>
    </row>
    <row r="164" spans="1:11" x14ac:dyDescent="0.3">
      <c r="A164">
        <v>0</v>
      </c>
      <c r="B164">
        <v>7678526</v>
      </c>
      <c r="C164" s="13">
        <v>40230.613194444442</v>
      </c>
      <c r="D164">
        <v>4639</v>
      </c>
      <c r="E164">
        <v>22.58</v>
      </c>
      <c r="F164" t="s">
        <v>1987</v>
      </c>
      <c r="G164">
        <v>24206</v>
      </c>
      <c r="H164" t="s">
        <v>2014</v>
      </c>
      <c r="I164" t="s">
        <v>2001</v>
      </c>
      <c r="J164" s="8">
        <v>4074</v>
      </c>
      <c r="K164">
        <v>4121</v>
      </c>
    </row>
    <row r="165" spans="1:11" x14ac:dyDescent="0.3">
      <c r="A165">
        <v>0</v>
      </c>
      <c r="B165">
        <v>7679544</v>
      </c>
      <c r="C165" s="13">
        <v>40230.822916666664</v>
      </c>
      <c r="D165">
        <v>4639</v>
      </c>
      <c r="E165">
        <v>11.34</v>
      </c>
      <c r="F165" t="s">
        <v>1987</v>
      </c>
      <c r="G165">
        <v>13153</v>
      </c>
      <c r="H165" t="s">
        <v>2014</v>
      </c>
      <c r="I165" t="s">
        <v>2001</v>
      </c>
      <c r="J165" s="8">
        <v>4074</v>
      </c>
      <c r="K165">
        <v>5812</v>
      </c>
    </row>
    <row r="166" spans="1:11" x14ac:dyDescent="0.3">
      <c r="A166">
        <v>0</v>
      </c>
      <c r="B166">
        <v>7679868</v>
      </c>
      <c r="C166" s="13">
        <v>40230.911805555559</v>
      </c>
      <c r="D166">
        <v>4639</v>
      </c>
      <c r="E166">
        <v>48.37</v>
      </c>
      <c r="F166" t="s">
        <v>1987</v>
      </c>
      <c r="G166">
        <v>32164</v>
      </c>
      <c r="H166" t="s">
        <v>2014</v>
      </c>
      <c r="I166" t="s">
        <v>2001</v>
      </c>
      <c r="J166" s="8">
        <v>4074</v>
      </c>
      <c r="K166">
        <v>5813</v>
      </c>
    </row>
    <row r="167" spans="1:11" x14ac:dyDescent="0.3">
      <c r="A167">
        <v>0</v>
      </c>
      <c r="B167">
        <v>7679901</v>
      </c>
      <c r="C167" s="13">
        <v>40230.919444444444</v>
      </c>
      <c r="D167">
        <v>4639</v>
      </c>
      <c r="E167">
        <v>61.77</v>
      </c>
      <c r="F167" t="s">
        <v>1987</v>
      </c>
      <c r="G167">
        <v>32164</v>
      </c>
      <c r="H167" t="s">
        <v>2014</v>
      </c>
      <c r="I167" t="s">
        <v>2001</v>
      </c>
      <c r="J167" s="8">
        <v>4074</v>
      </c>
      <c r="K167">
        <v>5813</v>
      </c>
    </row>
    <row r="168" spans="1:11" x14ac:dyDescent="0.3">
      <c r="A168">
        <v>0</v>
      </c>
      <c r="B168">
        <v>7682581</v>
      </c>
      <c r="C168" s="13">
        <v>40231.588888888888</v>
      </c>
      <c r="D168">
        <v>4639</v>
      </c>
      <c r="E168">
        <v>365.34</v>
      </c>
      <c r="F168" t="s">
        <v>1994</v>
      </c>
      <c r="G168">
        <v>86286</v>
      </c>
      <c r="H168" t="s">
        <v>1993</v>
      </c>
      <c r="I168" t="s">
        <v>3719</v>
      </c>
      <c r="J168" s="8" t="s">
        <v>3719</v>
      </c>
      <c r="K168">
        <v>5732</v>
      </c>
    </row>
    <row r="169" spans="1:11" x14ac:dyDescent="0.3">
      <c r="A169">
        <v>0</v>
      </c>
      <c r="B169">
        <v>7683732</v>
      </c>
      <c r="C169" s="13">
        <v>40231.831250000003</v>
      </c>
      <c r="D169">
        <v>4639</v>
      </c>
      <c r="E169">
        <v>8.66</v>
      </c>
      <c r="F169" t="s">
        <v>1987</v>
      </c>
      <c r="G169">
        <v>98648</v>
      </c>
      <c r="H169" t="s">
        <v>2014</v>
      </c>
      <c r="I169" t="s">
        <v>2001</v>
      </c>
      <c r="J169" s="8">
        <v>4074</v>
      </c>
      <c r="K169">
        <v>5814</v>
      </c>
    </row>
    <row r="170" spans="1:11" x14ac:dyDescent="0.3">
      <c r="A170">
        <v>0</v>
      </c>
      <c r="B170">
        <v>7684713</v>
      </c>
      <c r="C170" s="13">
        <v>40232.308333333334</v>
      </c>
      <c r="D170">
        <v>4639</v>
      </c>
      <c r="E170">
        <v>100.95</v>
      </c>
      <c r="F170" t="s">
        <v>1987</v>
      </c>
      <c r="G170">
        <v>20561</v>
      </c>
      <c r="H170" t="s">
        <v>2014</v>
      </c>
      <c r="I170" t="s">
        <v>2001</v>
      </c>
      <c r="J170" s="8">
        <v>4074</v>
      </c>
      <c r="K170">
        <v>5912</v>
      </c>
    </row>
    <row r="171" spans="1:11" x14ac:dyDescent="0.3">
      <c r="A171">
        <v>0</v>
      </c>
      <c r="B171">
        <v>7686482</v>
      </c>
      <c r="C171" s="13">
        <v>40232.560416666667</v>
      </c>
      <c r="D171">
        <v>4639</v>
      </c>
      <c r="E171">
        <v>49.26</v>
      </c>
      <c r="F171" t="s">
        <v>1987</v>
      </c>
      <c r="G171">
        <v>11468</v>
      </c>
      <c r="H171" t="s">
        <v>1996</v>
      </c>
      <c r="I171" t="s">
        <v>2001</v>
      </c>
      <c r="J171" s="8">
        <v>4938</v>
      </c>
      <c r="K171">
        <v>5970</v>
      </c>
    </row>
    <row r="172" spans="1:11" x14ac:dyDescent="0.3">
      <c r="A172">
        <v>0</v>
      </c>
      <c r="B172">
        <v>7686865</v>
      </c>
      <c r="C172" s="13">
        <v>40232.626388888886</v>
      </c>
      <c r="D172">
        <v>4639</v>
      </c>
      <c r="E172">
        <v>17.66</v>
      </c>
      <c r="F172" t="s">
        <v>1987</v>
      </c>
      <c r="G172">
        <v>20519</v>
      </c>
      <c r="H172" t="s">
        <v>2002</v>
      </c>
      <c r="I172" t="s">
        <v>2001</v>
      </c>
      <c r="J172" s="8">
        <v>4101</v>
      </c>
      <c r="K172">
        <v>5942</v>
      </c>
    </row>
    <row r="173" spans="1:11" x14ac:dyDescent="0.3">
      <c r="A173">
        <v>0</v>
      </c>
      <c r="B173">
        <v>7690475</v>
      </c>
      <c r="C173" s="13">
        <v>40233.555555555555</v>
      </c>
      <c r="D173">
        <v>4639</v>
      </c>
      <c r="E173">
        <v>33.49</v>
      </c>
      <c r="F173" t="s">
        <v>1987</v>
      </c>
      <c r="G173">
        <v>60569</v>
      </c>
      <c r="H173" t="s">
        <v>2017</v>
      </c>
      <c r="I173" t="s">
        <v>2001</v>
      </c>
      <c r="J173" s="8">
        <v>4240</v>
      </c>
      <c r="K173">
        <v>5300</v>
      </c>
    </row>
    <row r="174" spans="1:11" x14ac:dyDescent="0.3">
      <c r="A174">
        <v>0</v>
      </c>
      <c r="B174">
        <v>7691837</v>
      </c>
      <c r="C174" s="13">
        <v>40233.82916666667</v>
      </c>
      <c r="D174">
        <v>4639</v>
      </c>
      <c r="E174">
        <v>5.84</v>
      </c>
      <c r="F174" t="s">
        <v>1987</v>
      </c>
      <c r="G174">
        <v>13153</v>
      </c>
      <c r="H174" t="s">
        <v>2014</v>
      </c>
      <c r="I174" t="s">
        <v>2001</v>
      </c>
      <c r="J174" s="8">
        <v>4074</v>
      </c>
      <c r="K174">
        <v>5812</v>
      </c>
    </row>
    <row r="175" spans="1:11" x14ac:dyDescent="0.3">
      <c r="A175">
        <v>0</v>
      </c>
      <c r="B175">
        <v>7692203</v>
      </c>
      <c r="C175" s="13">
        <v>40233.950694444444</v>
      </c>
      <c r="D175">
        <v>4639</v>
      </c>
      <c r="E175">
        <v>176.5</v>
      </c>
      <c r="F175" t="s">
        <v>1987</v>
      </c>
      <c r="G175">
        <v>69956</v>
      </c>
      <c r="H175" t="s">
        <v>2022</v>
      </c>
      <c r="I175" t="s">
        <v>2001</v>
      </c>
      <c r="J175" s="8">
        <v>4083</v>
      </c>
      <c r="K175">
        <v>5310</v>
      </c>
    </row>
    <row r="176" spans="1:11" x14ac:dyDescent="0.3">
      <c r="A176">
        <v>0</v>
      </c>
      <c r="B176">
        <v>7693901</v>
      </c>
      <c r="C176" s="13">
        <v>40234.459027777775</v>
      </c>
      <c r="D176">
        <v>4639</v>
      </c>
      <c r="E176">
        <v>12.92</v>
      </c>
      <c r="F176" t="s">
        <v>1987</v>
      </c>
      <c r="G176">
        <v>83271</v>
      </c>
      <c r="H176" t="s">
        <v>2002</v>
      </c>
      <c r="I176" t="s">
        <v>2001</v>
      </c>
      <c r="J176" s="8">
        <v>4103</v>
      </c>
      <c r="K176">
        <v>4214</v>
      </c>
    </row>
    <row r="177" spans="1:11" x14ac:dyDescent="0.3">
      <c r="A177">
        <v>0</v>
      </c>
      <c r="B177">
        <v>7694581</v>
      </c>
      <c r="C177" s="13">
        <v>40234.554861111108</v>
      </c>
      <c r="D177">
        <v>4639</v>
      </c>
      <c r="E177">
        <v>32.119999999999997</v>
      </c>
      <c r="F177" t="s">
        <v>1987</v>
      </c>
      <c r="G177">
        <v>60569</v>
      </c>
      <c r="H177" t="s">
        <v>2017</v>
      </c>
      <c r="I177" t="s">
        <v>2001</v>
      </c>
      <c r="J177" s="8">
        <v>4240</v>
      </c>
      <c r="K177">
        <v>5300</v>
      </c>
    </row>
    <row r="178" spans="1:11" x14ac:dyDescent="0.3">
      <c r="A178">
        <v>0</v>
      </c>
      <c r="B178">
        <v>7695979</v>
      </c>
      <c r="C178" s="13">
        <v>40234.830555555556</v>
      </c>
      <c r="D178">
        <v>4639</v>
      </c>
      <c r="E178">
        <v>8.2100000000000009</v>
      </c>
      <c r="F178" t="s">
        <v>1987</v>
      </c>
      <c r="G178">
        <v>13153</v>
      </c>
      <c r="H178" t="s">
        <v>2014</v>
      </c>
      <c r="I178" t="s">
        <v>2001</v>
      </c>
      <c r="J178" s="8">
        <v>4074</v>
      </c>
      <c r="K178">
        <v>5812</v>
      </c>
    </row>
    <row r="179" spans="1:11" x14ac:dyDescent="0.3">
      <c r="A179">
        <v>0</v>
      </c>
      <c r="B179">
        <v>7696257</v>
      </c>
      <c r="C179" s="13">
        <v>40234.928472222222</v>
      </c>
      <c r="D179">
        <v>4639</v>
      </c>
      <c r="E179">
        <v>52.49</v>
      </c>
      <c r="F179" t="s">
        <v>1987</v>
      </c>
      <c r="G179">
        <v>32164</v>
      </c>
      <c r="H179" t="s">
        <v>2014</v>
      </c>
      <c r="I179" t="s">
        <v>2001</v>
      </c>
      <c r="J179" s="8">
        <v>4074</v>
      </c>
      <c r="K179">
        <v>5813</v>
      </c>
    </row>
    <row r="180" spans="1:11" x14ac:dyDescent="0.3">
      <c r="A180">
        <v>0</v>
      </c>
      <c r="B180">
        <v>7698299</v>
      </c>
      <c r="C180" s="13">
        <v>40235.554861111108</v>
      </c>
      <c r="D180">
        <v>4639</v>
      </c>
      <c r="E180">
        <v>47.91</v>
      </c>
      <c r="F180" t="s">
        <v>1987</v>
      </c>
      <c r="G180">
        <v>26593</v>
      </c>
      <c r="H180" t="s">
        <v>2014</v>
      </c>
      <c r="I180" t="s">
        <v>2001</v>
      </c>
      <c r="J180" s="8">
        <v>4074</v>
      </c>
      <c r="K180">
        <v>5300</v>
      </c>
    </row>
    <row r="181" spans="1:11" x14ac:dyDescent="0.3">
      <c r="A181">
        <v>0</v>
      </c>
      <c r="B181">
        <v>7699023</v>
      </c>
      <c r="C181" s="13">
        <v>40235.67083333333</v>
      </c>
      <c r="D181">
        <v>4639</v>
      </c>
      <c r="E181">
        <v>148.85</v>
      </c>
      <c r="F181" t="s">
        <v>1987</v>
      </c>
      <c r="G181">
        <v>29219</v>
      </c>
      <c r="H181" t="s">
        <v>2014</v>
      </c>
      <c r="I181" t="s">
        <v>2001</v>
      </c>
      <c r="J181" s="8">
        <v>4074</v>
      </c>
      <c r="K181">
        <v>4900</v>
      </c>
    </row>
    <row r="182" spans="1:11" x14ac:dyDescent="0.3">
      <c r="A182">
        <v>0</v>
      </c>
      <c r="B182">
        <v>7699598</v>
      </c>
      <c r="C182" s="13">
        <v>40235.817361111112</v>
      </c>
      <c r="D182">
        <v>4639</v>
      </c>
      <c r="E182">
        <v>9.06</v>
      </c>
      <c r="F182" t="s">
        <v>1987</v>
      </c>
      <c r="G182">
        <v>98648</v>
      </c>
      <c r="H182" t="s">
        <v>2014</v>
      </c>
      <c r="I182" t="s">
        <v>2001</v>
      </c>
      <c r="J182" s="8">
        <v>4074</v>
      </c>
      <c r="K182">
        <v>5814</v>
      </c>
    </row>
    <row r="183" spans="1:11" x14ac:dyDescent="0.3">
      <c r="A183">
        <v>0</v>
      </c>
      <c r="B183">
        <v>7699984</v>
      </c>
      <c r="C183" s="13">
        <v>40235.929861111108</v>
      </c>
      <c r="D183">
        <v>4639</v>
      </c>
      <c r="E183">
        <v>60.4</v>
      </c>
      <c r="F183" t="s">
        <v>1987</v>
      </c>
      <c r="G183">
        <v>32164</v>
      </c>
      <c r="H183" t="s">
        <v>2014</v>
      </c>
      <c r="I183" t="s">
        <v>2001</v>
      </c>
      <c r="J183" s="8">
        <v>4074</v>
      </c>
      <c r="K183">
        <v>5813</v>
      </c>
    </row>
    <row r="184" spans="1:11" x14ac:dyDescent="0.3">
      <c r="A184">
        <v>0</v>
      </c>
      <c r="B184">
        <v>7700174</v>
      </c>
      <c r="C184" s="13">
        <v>40236.073611111111</v>
      </c>
      <c r="D184">
        <v>4639</v>
      </c>
      <c r="E184">
        <v>100.23</v>
      </c>
      <c r="F184" t="s">
        <v>1987</v>
      </c>
      <c r="G184">
        <v>30286</v>
      </c>
      <c r="H184" t="s">
        <v>2002</v>
      </c>
      <c r="I184" t="s">
        <v>2001</v>
      </c>
      <c r="J184" s="8">
        <v>4104</v>
      </c>
      <c r="K184">
        <v>4814</v>
      </c>
    </row>
    <row r="185" spans="1:11" x14ac:dyDescent="0.3">
      <c r="A185">
        <v>0</v>
      </c>
      <c r="B185">
        <v>7702185</v>
      </c>
      <c r="C185" s="13">
        <v>40236.595833333333</v>
      </c>
      <c r="D185">
        <v>4639</v>
      </c>
      <c r="E185">
        <v>20.46</v>
      </c>
      <c r="F185" t="s">
        <v>1994</v>
      </c>
      <c r="G185">
        <v>16798</v>
      </c>
      <c r="H185" t="s">
        <v>1993</v>
      </c>
      <c r="I185" t="s">
        <v>3719</v>
      </c>
      <c r="J185" s="8" t="s">
        <v>3719</v>
      </c>
      <c r="K185">
        <v>4121</v>
      </c>
    </row>
    <row r="186" spans="1:11" x14ac:dyDescent="0.3">
      <c r="A186">
        <v>0</v>
      </c>
      <c r="B186">
        <v>7706066</v>
      </c>
      <c r="C186" s="13">
        <v>40237.549305555556</v>
      </c>
      <c r="D186">
        <v>4639</v>
      </c>
      <c r="E186">
        <v>66.42</v>
      </c>
      <c r="F186" t="s">
        <v>1987</v>
      </c>
      <c r="G186">
        <v>32858</v>
      </c>
      <c r="H186" t="s">
        <v>2012</v>
      </c>
      <c r="I186" t="s">
        <v>2000</v>
      </c>
      <c r="J186" s="8">
        <v>5401</v>
      </c>
      <c r="K186">
        <v>5311</v>
      </c>
    </row>
    <row r="187" spans="1:11" x14ac:dyDescent="0.3">
      <c r="A187">
        <v>0</v>
      </c>
      <c r="B187">
        <v>7707307</v>
      </c>
      <c r="C187" s="13">
        <v>40237.803472222222</v>
      </c>
      <c r="D187">
        <v>4639</v>
      </c>
      <c r="E187">
        <v>7.45</v>
      </c>
      <c r="F187" t="s">
        <v>1987</v>
      </c>
      <c r="G187">
        <v>98648</v>
      </c>
      <c r="H187" t="s">
        <v>2014</v>
      </c>
      <c r="I187" t="s">
        <v>2001</v>
      </c>
      <c r="J187" s="8">
        <v>4074</v>
      </c>
      <c r="K187">
        <v>5814</v>
      </c>
    </row>
    <row r="188" spans="1:11" x14ac:dyDescent="0.3">
      <c r="A188">
        <v>0</v>
      </c>
      <c r="B188">
        <v>7707308</v>
      </c>
      <c r="C188" s="13">
        <v>40237.803472222222</v>
      </c>
      <c r="D188">
        <v>4639</v>
      </c>
      <c r="E188">
        <v>100</v>
      </c>
      <c r="F188" t="s">
        <v>1987</v>
      </c>
      <c r="G188">
        <v>27092</v>
      </c>
      <c r="H188" t="s">
        <v>2002</v>
      </c>
      <c r="I188" t="s">
        <v>2001</v>
      </c>
      <c r="J188" s="8">
        <v>4102</v>
      </c>
      <c r="K188">
        <v>4829</v>
      </c>
    </row>
    <row r="189" spans="1:11" x14ac:dyDescent="0.3">
      <c r="A189">
        <v>0</v>
      </c>
      <c r="B189">
        <v>7710465</v>
      </c>
      <c r="C189" s="13">
        <v>40238.615277777775</v>
      </c>
      <c r="D189">
        <v>4639</v>
      </c>
      <c r="E189">
        <v>28.33</v>
      </c>
      <c r="F189" t="s">
        <v>1994</v>
      </c>
      <c r="G189">
        <v>16798</v>
      </c>
      <c r="H189" t="s">
        <v>1993</v>
      </c>
      <c r="I189" t="s">
        <v>3719</v>
      </c>
      <c r="J189" s="8" t="s">
        <v>3719</v>
      </c>
      <c r="K189">
        <v>4121</v>
      </c>
    </row>
    <row r="190" spans="1:11" x14ac:dyDescent="0.3">
      <c r="A190">
        <v>0</v>
      </c>
      <c r="B190">
        <v>7713675</v>
      </c>
      <c r="C190" s="13">
        <v>40239.486805555556</v>
      </c>
      <c r="D190">
        <v>4639</v>
      </c>
      <c r="E190">
        <v>103.7</v>
      </c>
      <c r="F190" t="s">
        <v>1987</v>
      </c>
      <c r="G190">
        <v>32175</v>
      </c>
      <c r="H190" t="s">
        <v>2002</v>
      </c>
      <c r="I190" t="s">
        <v>2001</v>
      </c>
      <c r="J190" s="8">
        <v>4103</v>
      </c>
      <c r="K190">
        <v>7538</v>
      </c>
    </row>
    <row r="191" spans="1:11" x14ac:dyDescent="0.3">
      <c r="A191">
        <v>0</v>
      </c>
      <c r="B191">
        <v>7714210</v>
      </c>
      <c r="C191" s="13">
        <v>40239.554166666669</v>
      </c>
      <c r="D191">
        <v>4639</v>
      </c>
      <c r="E191">
        <v>53.24</v>
      </c>
      <c r="F191" t="s">
        <v>1987</v>
      </c>
      <c r="G191">
        <v>34490</v>
      </c>
      <c r="H191" t="s">
        <v>2015</v>
      </c>
      <c r="I191" t="s">
        <v>2001</v>
      </c>
      <c r="J191" s="8">
        <v>4401</v>
      </c>
      <c r="K191">
        <v>5719</v>
      </c>
    </row>
    <row r="192" spans="1:11" x14ac:dyDescent="0.3">
      <c r="A192">
        <v>0</v>
      </c>
      <c r="B192">
        <v>7715598</v>
      </c>
      <c r="C192" s="13">
        <v>40239.825694444444</v>
      </c>
      <c r="D192">
        <v>4639</v>
      </c>
      <c r="E192">
        <v>8.02</v>
      </c>
      <c r="F192" t="s">
        <v>1987</v>
      </c>
      <c r="G192">
        <v>55060</v>
      </c>
      <c r="H192" t="s">
        <v>2014</v>
      </c>
      <c r="I192" t="s">
        <v>2001</v>
      </c>
      <c r="J192" s="8">
        <v>4074</v>
      </c>
      <c r="K192">
        <v>5812</v>
      </c>
    </row>
    <row r="193" spans="1:11" x14ac:dyDescent="0.3">
      <c r="A193">
        <v>0</v>
      </c>
      <c r="B193">
        <v>7715937</v>
      </c>
      <c r="C193" s="13">
        <v>40239.945138888892</v>
      </c>
      <c r="D193">
        <v>4639</v>
      </c>
      <c r="E193">
        <v>44.36</v>
      </c>
      <c r="F193" t="s">
        <v>1987</v>
      </c>
      <c r="G193">
        <v>32164</v>
      </c>
      <c r="H193" t="s">
        <v>2014</v>
      </c>
      <c r="I193" t="s">
        <v>2001</v>
      </c>
      <c r="J193" s="8">
        <v>4074</v>
      </c>
      <c r="K193">
        <v>5813</v>
      </c>
    </row>
    <row r="194" spans="1:11" x14ac:dyDescent="0.3">
      <c r="A194">
        <v>0</v>
      </c>
      <c r="B194">
        <v>7716567</v>
      </c>
      <c r="C194" s="13">
        <v>40240.29791666667</v>
      </c>
      <c r="D194">
        <v>4639</v>
      </c>
      <c r="E194">
        <v>132.09</v>
      </c>
      <c r="F194" t="s">
        <v>1987</v>
      </c>
      <c r="G194">
        <v>43925</v>
      </c>
      <c r="H194" t="s">
        <v>2014</v>
      </c>
      <c r="I194" t="s">
        <v>2001</v>
      </c>
      <c r="J194" s="8">
        <v>4074</v>
      </c>
      <c r="K194">
        <v>5411</v>
      </c>
    </row>
    <row r="195" spans="1:11" x14ac:dyDescent="0.3">
      <c r="A195">
        <v>0</v>
      </c>
      <c r="B195">
        <v>7718284</v>
      </c>
      <c r="C195" s="13">
        <v>40240.546527777777</v>
      </c>
      <c r="D195">
        <v>4639</v>
      </c>
      <c r="E195">
        <v>26.57</v>
      </c>
      <c r="F195" t="s">
        <v>1987</v>
      </c>
      <c r="G195">
        <v>32858</v>
      </c>
      <c r="H195" t="s">
        <v>2012</v>
      </c>
      <c r="I195" t="s">
        <v>2000</v>
      </c>
      <c r="J195" s="8">
        <v>5401</v>
      </c>
      <c r="K195">
        <v>5311</v>
      </c>
    </row>
    <row r="196" spans="1:11" x14ac:dyDescent="0.3">
      <c r="A196">
        <v>0</v>
      </c>
      <c r="B196">
        <v>7719651</v>
      </c>
      <c r="C196" s="13">
        <v>40240.791666666664</v>
      </c>
      <c r="D196">
        <v>4639</v>
      </c>
      <c r="E196">
        <v>7.67</v>
      </c>
      <c r="F196" t="s">
        <v>1987</v>
      </c>
      <c r="G196">
        <v>98648</v>
      </c>
      <c r="H196" t="s">
        <v>2014</v>
      </c>
      <c r="I196" t="s">
        <v>2001</v>
      </c>
      <c r="J196" s="8">
        <v>4074</v>
      </c>
      <c r="K196">
        <v>5814</v>
      </c>
    </row>
    <row r="197" spans="1:11" x14ac:dyDescent="0.3">
      <c r="A197">
        <v>0</v>
      </c>
      <c r="B197">
        <v>7722706</v>
      </c>
      <c r="C197" s="13">
        <v>40241.576388888891</v>
      </c>
      <c r="D197">
        <v>4639</v>
      </c>
      <c r="E197">
        <v>114.81</v>
      </c>
      <c r="F197" t="s">
        <v>1987</v>
      </c>
      <c r="G197">
        <v>41523</v>
      </c>
      <c r="H197" t="s">
        <v>2019</v>
      </c>
      <c r="I197" t="s">
        <v>1992</v>
      </c>
      <c r="J197" s="8">
        <v>49269</v>
      </c>
      <c r="K197">
        <v>3387</v>
      </c>
    </row>
    <row r="198" spans="1:11" x14ac:dyDescent="0.3">
      <c r="A198">
        <v>0</v>
      </c>
      <c r="B198">
        <v>7724831</v>
      </c>
      <c r="C198" s="13">
        <v>40242.30972222222</v>
      </c>
      <c r="D198">
        <v>4639</v>
      </c>
      <c r="E198">
        <v>102.96</v>
      </c>
      <c r="F198" t="s">
        <v>1987</v>
      </c>
      <c r="G198">
        <v>26593</v>
      </c>
      <c r="H198" t="s">
        <v>2014</v>
      </c>
      <c r="I198" t="s">
        <v>2001</v>
      </c>
      <c r="J198" s="8">
        <v>4074</v>
      </c>
      <c r="K198">
        <v>5300</v>
      </c>
    </row>
    <row r="199" spans="1:11" x14ac:dyDescent="0.3">
      <c r="A199">
        <v>0</v>
      </c>
      <c r="B199">
        <v>7726298</v>
      </c>
      <c r="C199" s="13">
        <v>40242.556944444441</v>
      </c>
      <c r="D199">
        <v>4639</v>
      </c>
      <c r="E199">
        <v>40.67</v>
      </c>
      <c r="F199" t="s">
        <v>1987</v>
      </c>
      <c r="G199">
        <v>60510</v>
      </c>
      <c r="H199" t="s">
        <v>2014</v>
      </c>
      <c r="I199" t="s">
        <v>2001</v>
      </c>
      <c r="J199" s="8">
        <v>4074</v>
      </c>
      <c r="K199">
        <v>5912</v>
      </c>
    </row>
    <row r="200" spans="1:11" x14ac:dyDescent="0.3">
      <c r="A200">
        <v>0</v>
      </c>
      <c r="B200">
        <v>7726494</v>
      </c>
      <c r="C200" s="13">
        <v>40242.584722222222</v>
      </c>
      <c r="D200">
        <v>4639</v>
      </c>
      <c r="E200">
        <v>345.16</v>
      </c>
      <c r="F200" t="s">
        <v>1994</v>
      </c>
      <c r="G200">
        <v>86286</v>
      </c>
      <c r="H200" t="s">
        <v>1993</v>
      </c>
      <c r="I200" t="s">
        <v>3719</v>
      </c>
      <c r="J200" s="8" t="s">
        <v>3719</v>
      </c>
      <c r="K200">
        <v>5732</v>
      </c>
    </row>
    <row r="201" spans="1:11" x14ac:dyDescent="0.3">
      <c r="A201">
        <v>0</v>
      </c>
      <c r="B201">
        <v>7726551</v>
      </c>
      <c r="C201" s="13">
        <v>40242.593055555553</v>
      </c>
      <c r="D201">
        <v>4639</v>
      </c>
      <c r="E201">
        <v>18.64</v>
      </c>
      <c r="F201" t="s">
        <v>1994</v>
      </c>
      <c r="G201">
        <v>16798</v>
      </c>
      <c r="H201" t="s">
        <v>1993</v>
      </c>
      <c r="I201" t="s">
        <v>3719</v>
      </c>
      <c r="J201" s="8" t="s">
        <v>3719</v>
      </c>
      <c r="K201">
        <v>4121</v>
      </c>
    </row>
    <row r="202" spans="1:11" x14ac:dyDescent="0.3">
      <c r="A202">
        <v>0</v>
      </c>
      <c r="B202">
        <v>7729718</v>
      </c>
      <c r="C202" s="13">
        <v>40243.529861111114</v>
      </c>
      <c r="D202">
        <v>4639</v>
      </c>
      <c r="E202">
        <v>-96</v>
      </c>
      <c r="F202" t="s">
        <v>1987</v>
      </c>
      <c r="G202">
        <v>43293</v>
      </c>
      <c r="H202" t="s">
        <v>2014</v>
      </c>
      <c r="I202" t="s">
        <v>2001</v>
      </c>
      <c r="J202" s="8">
        <v>4074</v>
      </c>
      <c r="K202">
        <v>5499</v>
      </c>
    </row>
    <row r="203" spans="1:11" x14ac:dyDescent="0.3">
      <c r="A203">
        <v>0</v>
      </c>
      <c r="B203">
        <v>7729741</v>
      </c>
      <c r="C203" s="13">
        <v>40243.532638888886</v>
      </c>
      <c r="D203">
        <v>4639</v>
      </c>
      <c r="E203">
        <v>96</v>
      </c>
      <c r="F203" t="s">
        <v>1987</v>
      </c>
      <c r="G203">
        <v>43293</v>
      </c>
      <c r="H203" t="s">
        <v>2014</v>
      </c>
      <c r="I203" t="s">
        <v>2001</v>
      </c>
      <c r="J203" s="8">
        <v>4074</v>
      </c>
      <c r="K203">
        <v>5499</v>
      </c>
    </row>
    <row r="204" spans="1:11" x14ac:dyDescent="0.3">
      <c r="A204">
        <v>0</v>
      </c>
      <c r="B204">
        <v>7729756</v>
      </c>
      <c r="C204" s="13">
        <v>40243.535416666666</v>
      </c>
      <c r="D204">
        <v>4639</v>
      </c>
      <c r="E204">
        <v>80.459999999999994</v>
      </c>
      <c r="F204" t="s">
        <v>1987</v>
      </c>
      <c r="G204">
        <v>43293</v>
      </c>
      <c r="H204" t="s">
        <v>2014</v>
      </c>
      <c r="I204" t="s">
        <v>2001</v>
      </c>
      <c r="J204" s="8">
        <v>4074</v>
      </c>
      <c r="K204">
        <v>5499</v>
      </c>
    </row>
    <row r="205" spans="1:11" x14ac:dyDescent="0.3">
      <c r="A205">
        <v>0</v>
      </c>
      <c r="B205">
        <v>7729853</v>
      </c>
      <c r="C205" s="13">
        <v>40243.550694444442</v>
      </c>
      <c r="D205">
        <v>4639</v>
      </c>
      <c r="E205">
        <v>48.59</v>
      </c>
      <c r="F205" t="s">
        <v>1987</v>
      </c>
      <c r="G205">
        <v>26593</v>
      </c>
      <c r="H205" t="s">
        <v>2014</v>
      </c>
      <c r="I205" t="s">
        <v>2001</v>
      </c>
      <c r="J205" s="8">
        <v>4074</v>
      </c>
      <c r="K205">
        <v>5300</v>
      </c>
    </row>
    <row r="206" spans="1:11" x14ac:dyDescent="0.3">
      <c r="A206">
        <v>0</v>
      </c>
      <c r="B206">
        <v>7731158</v>
      </c>
      <c r="C206" s="13">
        <v>40243.790972222225</v>
      </c>
      <c r="D206">
        <v>4639</v>
      </c>
      <c r="E206">
        <v>9.2799999999999994</v>
      </c>
      <c r="F206" t="s">
        <v>1987</v>
      </c>
      <c r="G206">
        <v>55060</v>
      </c>
      <c r="H206" t="s">
        <v>2014</v>
      </c>
      <c r="I206" t="s">
        <v>2001</v>
      </c>
      <c r="J206" s="8">
        <v>4074</v>
      </c>
      <c r="K206">
        <v>5812</v>
      </c>
    </row>
    <row r="207" spans="1:11" x14ac:dyDescent="0.3">
      <c r="A207">
        <v>0</v>
      </c>
      <c r="B207">
        <v>7731309</v>
      </c>
      <c r="C207" s="13">
        <v>40243.830555555556</v>
      </c>
      <c r="D207">
        <v>4639</v>
      </c>
      <c r="E207">
        <v>6.6</v>
      </c>
      <c r="F207" t="s">
        <v>1987</v>
      </c>
      <c r="G207">
        <v>13153</v>
      </c>
      <c r="H207" t="s">
        <v>2014</v>
      </c>
      <c r="I207" t="s">
        <v>2001</v>
      </c>
      <c r="J207" s="8">
        <v>4074</v>
      </c>
      <c r="K207">
        <v>5812</v>
      </c>
    </row>
    <row r="208" spans="1:11" x14ac:dyDescent="0.3">
      <c r="A208">
        <v>0</v>
      </c>
      <c r="B208">
        <v>7731676</v>
      </c>
      <c r="C208" s="13">
        <v>40243.949999999997</v>
      </c>
      <c r="D208">
        <v>4639</v>
      </c>
      <c r="E208">
        <v>206.64</v>
      </c>
      <c r="F208" t="s">
        <v>1994</v>
      </c>
      <c r="G208">
        <v>84682</v>
      </c>
      <c r="H208" t="s">
        <v>1993</v>
      </c>
      <c r="I208" t="s">
        <v>3719</v>
      </c>
      <c r="J208" s="8" t="s">
        <v>3719</v>
      </c>
      <c r="K208">
        <v>4900</v>
      </c>
    </row>
    <row r="209" spans="1:11" x14ac:dyDescent="0.3">
      <c r="A209">
        <v>0</v>
      </c>
      <c r="B209">
        <v>7734490</v>
      </c>
      <c r="C209" s="13">
        <v>40244.622916666667</v>
      </c>
      <c r="D209">
        <v>4639</v>
      </c>
      <c r="E209">
        <v>18.399999999999999</v>
      </c>
      <c r="F209" t="s">
        <v>1987</v>
      </c>
      <c r="G209">
        <v>60510</v>
      </c>
      <c r="H209" t="s">
        <v>2014</v>
      </c>
      <c r="I209" t="s">
        <v>2001</v>
      </c>
      <c r="J209" s="8">
        <v>4074</v>
      </c>
      <c r="K209">
        <v>5912</v>
      </c>
    </row>
    <row r="210" spans="1:11" x14ac:dyDescent="0.3">
      <c r="A210">
        <v>0</v>
      </c>
      <c r="B210">
        <v>7735550</v>
      </c>
      <c r="C210" s="13">
        <v>40244.879861111112</v>
      </c>
      <c r="D210">
        <v>4639</v>
      </c>
      <c r="E210">
        <v>44.41</v>
      </c>
      <c r="F210" t="s">
        <v>1987</v>
      </c>
      <c r="G210">
        <v>32164</v>
      </c>
      <c r="H210" t="s">
        <v>2014</v>
      </c>
      <c r="I210" t="s">
        <v>2001</v>
      </c>
      <c r="J210" s="8">
        <v>4074</v>
      </c>
      <c r="K210">
        <v>5813</v>
      </c>
    </row>
    <row r="211" spans="1:11" x14ac:dyDescent="0.3">
      <c r="A211">
        <v>0</v>
      </c>
      <c r="B211">
        <v>7737608</v>
      </c>
      <c r="C211" s="13">
        <v>40245.486805555556</v>
      </c>
      <c r="D211">
        <v>4639</v>
      </c>
      <c r="E211">
        <v>96.3</v>
      </c>
      <c r="F211" t="s">
        <v>1987</v>
      </c>
      <c r="G211">
        <v>32175</v>
      </c>
      <c r="H211" t="s">
        <v>2002</v>
      </c>
      <c r="I211" t="s">
        <v>2001</v>
      </c>
      <c r="J211" s="8">
        <v>4103</v>
      </c>
      <c r="K211">
        <v>7538</v>
      </c>
    </row>
    <row r="212" spans="1:11" x14ac:dyDescent="0.3">
      <c r="A212">
        <v>0</v>
      </c>
      <c r="B212">
        <v>7737887</v>
      </c>
      <c r="C212" s="13">
        <v>40245.525694444441</v>
      </c>
      <c r="D212">
        <v>4639</v>
      </c>
      <c r="E212">
        <v>62.31</v>
      </c>
      <c r="F212" t="s">
        <v>1987</v>
      </c>
      <c r="G212">
        <v>43293</v>
      </c>
      <c r="H212" t="s">
        <v>2014</v>
      </c>
      <c r="I212" t="s">
        <v>2001</v>
      </c>
      <c r="J212" s="8">
        <v>4074</v>
      </c>
      <c r="K212">
        <v>5499</v>
      </c>
    </row>
    <row r="213" spans="1:11" x14ac:dyDescent="0.3">
      <c r="A213">
        <v>0</v>
      </c>
      <c r="B213">
        <v>7737944</v>
      </c>
      <c r="C213" s="13">
        <v>40245.53125</v>
      </c>
      <c r="D213">
        <v>4639</v>
      </c>
      <c r="E213">
        <v>97</v>
      </c>
      <c r="F213" t="s">
        <v>1987</v>
      </c>
      <c r="G213">
        <v>43293</v>
      </c>
      <c r="H213" t="s">
        <v>2014</v>
      </c>
      <c r="I213" t="s">
        <v>2001</v>
      </c>
      <c r="J213" s="8">
        <v>4074</v>
      </c>
      <c r="K213">
        <v>5499</v>
      </c>
    </row>
    <row r="214" spans="1:11" x14ac:dyDescent="0.3">
      <c r="A214">
        <v>0</v>
      </c>
      <c r="B214">
        <v>7738004</v>
      </c>
      <c r="C214" s="13">
        <v>40245.540972222225</v>
      </c>
      <c r="D214">
        <v>4639</v>
      </c>
      <c r="E214">
        <v>-97</v>
      </c>
      <c r="F214" t="s">
        <v>1987</v>
      </c>
      <c r="G214">
        <v>43293</v>
      </c>
      <c r="H214" t="s">
        <v>2014</v>
      </c>
      <c r="I214" t="s">
        <v>2001</v>
      </c>
      <c r="J214" s="8">
        <v>4074</v>
      </c>
      <c r="K214">
        <v>5499</v>
      </c>
    </row>
    <row r="215" spans="1:11" x14ac:dyDescent="0.3">
      <c r="A215">
        <v>0</v>
      </c>
      <c r="B215">
        <v>7738135</v>
      </c>
      <c r="C215" s="13">
        <v>40245.556250000001</v>
      </c>
      <c r="D215">
        <v>4639</v>
      </c>
      <c r="E215">
        <v>49.07</v>
      </c>
      <c r="F215" t="s">
        <v>1987</v>
      </c>
      <c r="G215">
        <v>50783</v>
      </c>
      <c r="H215" t="s">
        <v>2023</v>
      </c>
      <c r="I215" t="s">
        <v>2001</v>
      </c>
      <c r="J215" s="8">
        <v>4085</v>
      </c>
      <c r="K215">
        <v>5411</v>
      </c>
    </row>
    <row r="216" spans="1:11" x14ac:dyDescent="0.3">
      <c r="A216">
        <v>0</v>
      </c>
      <c r="B216">
        <v>7738541</v>
      </c>
      <c r="C216" s="13">
        <v>40245.623611111114</v>
      </c>
      <c r="D216">
        <v>4639</v>
      </c>
      <c r="E216">
        <v>1.26</v>
      </c>
      <c r="F216" t="s">
        <v>1987</v>
      </c>
      <c r="G216">
        <v>14528</v>
      </c>
      <c r="H216" t="s">
        <v>2014</v>
      </c>
      <c r="I216" t="s">
        <v>2001</v>
      </c>
      <c r="J216" s="8">
        <v>4074</v>
      </c>
      <c r="K216">
        <v>5499</v>
      </c>
    </row>
    <row r="217" spans="1:11" x14ac:dyDescent="0.3">
      <c r="A217">
        <v>0</v>
      </c>
      <c r="B217">
        <v>7739438</v>
      </c>
      <c r="C217" s="13">
        <v>40245.818055555559</v>
      </c>
      <c r="D217">
        <v>4639</v>
      </c>
      <c r="E217">
        <v>9.59</v>
      </c>
      <c r="F217" t="s">
        <v>1987</v>
      </c>
      <c r="G217">
        <v>13153</v>
      </c>
      <c r="H217" t="s">
        <v>2014</v>
      </c>
      <c r="I217" t="s">
        <v>2001</v>
      </c>
      <c r="J217" s="8">
        <v>4074</v>
      </c>
      <c r="K217">
        <v>5812</v>
      </c>
    </row>
    <row r="218" spans="1:11" x14ac:dyDescent="0.3">
      <c r="A218">
        <v>0</v>
      </c>
      <c r="B218">
        <v>7742614</v>
      </c>
      <c r="C218" s="13">
        <v>40246.623611111114</v>
      </c>
      <c r="D218">
        <v>4639</v>
      </c>
      <c r="E218">
        <v>7.92</v>
      </c>
      <c r="F218" t="s">
        <v>1987</v>
      </c>
      <c r="G218">
        <v>50783</v>
      </c>
      <c r="H218" t="s">
        <v>2023</v>
      </c>
      <c r="I218" t="s">
        <v>2001</v>
      </c>
      <c r="J218" s="8">
        <v>4085</v>
      </c>
      <c r="K218">
        <v>5411</v>
      </c>
    </row>
    <row r="219" spans="1:11" x14ac:dyDescent="0.3">
      <c r="A219">
        <v>0</v>
      </c>
      <c r="B219">
        <v>7743557</v>
      </c>
      <c r="C219" s="13">
        <v>40246.830555555556</v>
      </c>
      <c r="D219">
        <v>4639</v>
      </c>
      <c r="E219">
        <v>9.36</v>
      </c>
      <c r="F219" t="s">
        <v>1987</v>
      </c>
      <c r="G219">
        <v>98648</v>
      </c>
      <c r="H219" t="s">
        <v>2014</v>
      </c>
      <c r="I219" t="s">
        <v>2001</v>
      </c>
      <c r="J219" s="8">
        <v>4074</v>
      </c>
      <c r="K219">
        <v>5814</v>
      </c>
    </row>
    <row r="220" spans="1:11" x14ac:dyDescent="0.3">
      <c r="A220">
        <v>0</v>
      </c>
      <c r="B220">
        <v>7743887</v>
      </c>
      <c r="C220" s="13">
        <v>40246.945138888892</v>
      </c>
      <c r="D220">
        <v>4639</v>
      </c>
      <c r="E220">
        <v>306.51</v>
      </c>
      <c r="F220" t="s">
        <v>1987</v>
      </c>
      <c r="G220">
        <v>29219</v>
      </c>
      <c r="H220" t="s">
        <v>2014</v>
      </c>
      <c r="I220" t="s">
        <v>2001</v>
      </c>
      <c r="J220" s="8">
        <v>4074</v>
      </c>
      <c r="K220">
        <v>4900</v>
      </c>
    </row>
    <row r="221" spans="1:11" x14ac:dyDescent="0.3">
      <c r="A221">
        <v>0</v>
      </c>
      <c r="B221">
        <v>7744020</v>
      </c>
      <c r="C221" s="13">
        <v>40247.076388888891</v>
      </c>
      <c r="D221">
        <v>4639</v>
      </c>
      <c r="E221">
        <v>89.81</v>
      </c>
      <c r="F221" t="s">
        <v>1987</v>
      </c>
      <c r="G221">
        <v>30286</v>
      </c>
      <c r="H221" t="s">
        <v>2002</v>
      </c>
      <c r="I221" t="s">
        <v>2001</v>
      </c>
      <c r="J221" s="8">
        <v>4104</v>
      </c>
      <c r="K221">
        <v>4814</v>
      </c>
    </row>
    <row r="222" spans="1:11" x14ac:dyDescent="0.3">
      <c r="A222">
        <v>0</v>
      </c>
      <c r="B222">
        <v>7746255</v>
      </c>
      <c r="C222" s="13">
        <v>40247.558333333334</v>
      </c>
      <c r="D222">
        <v>4639</v>
      </c>
      <c r="E222">
        <v>46.24</v>
      </c>
      <c r="F222" t="s">
        <v>1987</v>
      </c>
      <c r="G222">
        <v>34490</v>
      </c>
      <c r="H222" t="s">
        <v>2015</v>
      </c>
      <c r="I222" t="s">
        <v>2001</v>
      </c>
      <c r="J222" s="8">
        <v>4401</v>
      </c>
      <c r="K222">
        <v>5719</v>
      </c>
    </row>
    <row r="223" spans="1:11" x14ac:dyDescent="0.3">
      <c r="A223">
        <v>0</v>
      </c>
      <c r="B223">
        <v>7746839</v>
      </c>
      <c r="C223" s="13">
        <v>40247.658333333333</v>
      </c>
      <c r="D223">
        <v>4639</v>
      </c>
      <c r="E223">
        <v>7.06</v>
      </c>
      <c r="F223" t="s">
        <v>1987</v>
      </c>
      <c r="G223">
        <v>69956</v>
      </c>
      <c r="H223" t="s">
        <v>2022</v>
      </c>
      <c r="I223" t="s">
        <v>2001</v>
      </c>
      <c r="J223" s="8">
        <v>4083</v>
      </c>
      <c r="K223">
        <v>5310</v>
      </c>
    </row>
    <row r="224" spans="1:11" x14ac:dyDescent="0.3">
      <c r="A224">
        <v>0</v>
      </c>
      <c r="B224">
        <v>7747525</v>
      </c>
      <c r="C224" s="13">
        <v>40247.820138888892</v>
      </c>
      <c r="D224">
        <v>4639</v>
      </c>
      <c r="E224">
        <v>7.47</v>
      </c>
      <c r="F224" t="s">
        <v>1987</v>
      </c>
      <c r="G224">
        <v>13153</v>
      </c>
      <c r="H224" t="s">
        <v>2014</v>
      </c>
      <c r="I224" t="s">
        <v>2001</v>
      </c>
      <c r="J224" s="8">
        <v>4074</v>
      </c>
      <c r="K224">
        <v>5812</v>
      </c>
    </row>
    <row r="225" spans="1:11" x14ac:dyDescent="0.3">
      <c r="A225">
        <v>0</v>
      </c>
      <c r="B225">
        <v>7747818</v>
      </c>
      <c r="C225" s="13">
        <v>40247.918055555558</v>
      </c>
      <c r="D225">
        <v>4639</v>
      </c>
      <c r="E225">
        <v>50.46</v>
      </c>
      <c r="F225" t="s">
        <v>1987</v>
      </c>
      <c r="G225">
        <v>32164</v>
      </c>
      <c r="H225" t="s">
        <v>2014</v>
      </c>
      <c r="I225" t="s">
        <v>2001</v>
      </c>
      <c r="J225" s="8">
        <v>4074</v>
      </c>
      <c r="K225">
        <v>5813</v>
      </c>
    </row>
    <row r="226" spans="1:11" x14ac:dyDescent="0.3">
      <c r="A226">
        <v>0</v>
      </c>
      <c r="B226">
        <v>7750510</v>
      </c>
      <c r="C226" s="13">
        <v>40248.589583333334</v>
      </c>
      <c r="D226">
        <v>4639</v>
      </c>
      <c r="E226">
        <v>25.64</v>
      </c>
      <c r="F226" t="s">
        <v>1987</v>
      </c>
      <c r="G226">
        <v>24206</v>
      </c>
      <c r="H226" t="s">
        <v>2014</v>
      </c>
      <c r="I226" t="s">
        <v>2001</v>
      </c>
      <c r="J226" s="8">
        <v>4074</v>
      </c>
      <c r="K226">
        <v>4121</v>
      </c>
    </row>
    <row r="227" spans="1:11" x14ac:dyDescent="0.3">
      <c r="A227">
        <v>0</v>
      </c>
      <c r="B227">
        <v>7751412</v>
      </c>
      <c r="C227" s="13">
        <v>40248.767361111109</v>
      </c>
      <c r="D227">
        <v>4639</v>
      </c>
      <c r="E227">
        <v>143.19999999999999</v>
      </c>
      <c r="F227" t="s">
        <v>1987</v>
      </c>
      <c r="G227">
        <v>11809</v>
      </c>
      <c r="H227" t="s">
        <v>2014</v>
      </c>
      <c r="I227" t="s">
        <v>2001</v>
      </c>
      <c r="J227" s="8">
        <v>4074</v>
      </c>
      <c r="K227">
        <v>8011</v>
      </c>
    </row>
    <row r="228" spans="1:11" x14ac:dyDescent="0.3">
      <c r="A228">
        <v>0</v>
      </c>
      <c r="B228">
        <v>7753849</v>
      </c>
      <c r="C228" s="13">
        <v>40249.54583333333</v>
      </c>
      <c r="D228">
        <v>4639</v>
      </c>
      <c r="E228">
        <v>34.659999999999997</v>
      </c>
      <c r="F228" t="s">
        <v>1987</v>
      </c>
      <c r="G228">
        <v>41527</v>
      </c>
      <c r="H228" t="s">
        <v>2014</v>
      </c>
      <c r="I228" t="s">
        <v>2001</v>
      </c>
      <c r="J228" s="8">
        <v>4074</v>
      </c>
      <c r="K228">
        <v>5310</v>
      </c>
    </row>
    <row r="229" spans="1:11" x14ac:dyDescent="0.3">
      <c r="A229">
        <v>0</v>
      </c>
      <c r="B229">
        <v>7754146</v>
      </c>
      <c r="C229" s="13">
        <v>40249.594444444447</v>
      </c>
      <c r="D229">
        <v>4639</v>
      </c>
      <c r="E229">
        <v>365.46</v>
      </c>
      <c r="F229" t="s">
        <v>1987</v>
      </c>
      <c r="G229">
        <v>60569</v>
      </c>
      <c r="H229" t="s">
        <v>2017</v>
      </c>
      <c r="I229" t="s">
        <v>2001</v>
      </c>
      <c r="J229" s="8">
        <v>4240</v>
      </c>
      <c r="K229">
        <v>5300</v>
      </c>
    </row>
    <row r="230" spans="1:11" x14ac:dyDescent="0.3">
      <c r="A230">
        <v>0</v>
      </c>
      <c r="B230">
        <v>7754929</v>
      </c>
      <c r="C230" s="13">
        <v>40249.731249999997</v>
      </c>
      <c r="D230">
        <v>4639</v>
      </c>
      <c r="E230">
        <v>113.95</v>
      </c>
      <c r="F230" t="s">
        <v>1987</v>
      </c>
      <c r="G230">
        <v>68751</v>
      </c>
      <c r="H230" t="s">
        <v>2021</v>
      </c>
      <c r="I230" t="s">
        <v>2001</v>
      </c>
      <c r="J230" s="8">
        <v>4092</v>
      </c>
      <c r="K230">
        <v>5651</v>
      </c>
    </row>
    <row r="231" spans="1:11" x14ac:dyDescent="0.3">
      <c r="A231">
        <v>0</v>
      </c>
      <c r="B231">
        <v>7755258</v>
      </c>
      <c r="C231" s="13">
        <v>40249.828472222223</v>
      </c>
      <c r="D231">
        <v>4639</v>
      </c>
      <c r="E231">
        <v>9.27</v>
      </c>
      <c r="F231" t="s">
        <v>1987</v>
      </c>
      <c r="G231">
        <v>13153</v>
      </c>
      <c r="H231" t="s">
        <v>2014</v>
      </c>
      <c r="I231" t="s">
        <v>2001</v>
      </c>
      <c r="J231" s="8">
        <v>4074</v>
      </c>
      <c r="K231">
        <v>5812</v>
      </c>
    </row>
    <row r="232" spans="1:11" x14ac:dyDescent="0.3">
      <c r="A232">
        <v>0</v>
      </c>
      <c r="B232">
        <v>7757553</v>
      </c>
      <c r="C232" s="13">
        <v>40250.567361111112</v>
      </c>
      <c r="D232">
        <v>4639</v>
      </c>
      <c r="E232">
        <v>50.06</v>
      </c>
      <c r="F232" t="s">
        <v>1987</v>
      </c>
      <c r="G232">
        <v>48919</v>
      </c>
      <c r="H232" t="s">
        <v>2022</v>
      </c>
      <c r="I232" t="s">
        <v>2001</v>
      </c>
      <c r="J232" s="8">
        <v>4083</v>
      </c>
      <c r="K232">
        <v>5311</v>
      </c>
    </row>
    <row r="233" spans="1:11" x14ac:dyDescent="0.3">
      <c r="A233">
        <v>0</v>
      </c>
      <c r="B233">
        <v>7758758</v>
      </c>
      <c r="C233" s="13">
        <v>40250.802777777775</v>
      </c>
      <c r="D233">
        <v>4639</v>
      </c>
      <c r="E233">
        <v>7.32</v>
      </c>
      <c r="F233" t="s">
        <v>1987</v>
      </c>
      <c r="G233">
        <v>13153</v>
      </c>
      <c r="H233" t="s">
        <v>2014</v>
      </c>
      <c r="I233" t="s">
        <v>2001</v>
      </c>
      <c r="J233" s="8">
        <v>4074</v>
      </c>
      <c r="K233">
        <v>5812</v>
      </c>
    </row>
    <row r="234" spans="1:11" x14ac:dyDescent="0.3">
      <c r="A234">
        <v>0</v>
      </c>
      <c r="B234">
        <v>7758817</v>
      </c>
      <c r="C234" s="13">
        <v>40250.816666666666</v>
      </c>
      <c r="D234">
        <v>4639</v>
      </c>
      <c r="E234">
        <v>7.97</v>
      </c>
      <c r="F234" t="s">
        <v>1987</v>
      </c>
      <c r="G234">
        <v>13153</v>
      </c>
      <c r="H234" t="s">
        <v>2014</v>
      </c>
      <c r="I234" t="s">
        <v>2001</v>
      </c>
      <c r="J234" s="8">
        <v>4074</v>
      </c>
      <c r="K234">
        <v>5812</v>
      </c>
    </row>
    <row r="235" spans="1:11" x14ac:dyDescent="0.3">
      <c r="A235">
        <v>0</v>
      </c>
      <c r="B235">
        <v>7763335</v>
      </c>
      <c r="C235" s="13">
        <v>40251.927083333336</v>
      </c>
      <c r="D235">
        <v>4639</v>
      </c>
      <c r="E235">
        <v>54.22</v>
      </c>
      <c r="F235" t="s">
        <v>1987</v>
      </c>
      <c r="G235">
        <v>32164</v>
      </c>
      <c r="H235" t="s">
        <v>2014</v>
      </c>
      <c r="I235" t="s">
        <v>2001</v>
      </c>
      <c r="J235" s="8">
        <v>4074</v>
      </c>
      <c r="K235">
        <v>5813</v>
      </c>
    </row>
    <row r="236" spans="1:11" x14ac:dyDescent="0.3">
      <c r="A236">
        <v>0</v>
      </c>
      <c r="B236">
        <v>7763568</v>
      </c>
      <c r="C236" s="13">
        <v>40252.098611111112</v>
      </c>
      <c r="D236">
        <v>4639</v>
      </c>
      <c r="E236">
        <v>126.8</v>
      </c>
      <c r="F236" t="s">
        <v>1987</v>
      </c>
      <c r="G236">
        <v>30286</v>
      </c>
      <c r="H236" t="s">
        <v>2002</v>
      </c>
      <c r="I236" t="s">
        <v>2001</v>
      </c>
      <c r="J236" s="8">
        <v>4104</v>
      </c>
      <c r="K236">
        <v>4814</v>
      </c>
    </row>
    <row r="237" spans="1:11" x14ac:dyDescent="0.3">
      <c r="A237">
        <v>0</v>
      </c>
      <c r="B237">
        <v>7764498</v>
      </c>
      <c r="C237" s="13">
        <v>40252.37222222222</v>
      </c>
      <c r="D237">
        <v>4639</v>
      </c>
      <c r="E237">
        <v>91.16</v>
      </c>
      <c r="F237" t="s">
        <v>1994</v>
      </c>
      <c r="G237">
        <v>73186</v>
      </c>
      <c r="H237" t="s">
        <v>1993</v>
      </c>
      <c r="I237" t="s">
        <v>3719</v>
      </c>
      <c r="J237" s="8" t="s">
        <v>3719</v>
      </c>
      <c r="K237">
        <v>4814</v>
      </c>
    </row>
    <row r="238" spans="1:11" x14ac:dyDescent="0.3">
      <c r="A238">
        <v>0</v>
      </c>
      <c r="B238">
        <v>7765730</v>
      </c>
      <c r="C238" s="13">
        <v>40252.543055555558</v>
      </c>
      <c r="D238">
        <v>4639</v>
      </c>
      <c r="E238">
        <v>52.6</v>
      </c>
      <c r="F238" t="s">
        <v>1987</v>
      </c>
      <c r="G238">
        <v>20561</v>
      </c>
      <c r="H238" t="s">
        <v>2014</v>
      </c>
      <c r="I238" t="s">
        <v>2001</v>
      </c>
      <c r="J238" s="8">
        <v>4074</v>
      </c>
      <c r="K238">
        <v>5912</v>
      </c>
    </row>
    <row r="239" spans="1:11" x14ac:dyDescent="0.3">
      <c r="A239">
        <v>0</v>
      </c>
      <c r="B239">
        <v>7767100</v>
      </c>
      <c r="C239" s="13">
        <v>40252.807638888888</v>
      </c>
      <c r="D239">
        <v>4639</v>
      </c>
      <c r="E239">
        <v>259</v>
      </c>
      <c r="F239" t="s">
        <v>1994</v>
      </c>
      <c r="G239">
        <v>52073</v>
      </c>
      <c r="H239" t="s">
        <v>1993</v>
      </c>
      <c r="I239" t="s">
        <v>3719</v>
      </c>
      <c r="J239" s="8" t="s">
        <v>3719</v>
      </c>
      <c r="K239">
        <v>4722</v>
      </c>
    </row>
    <row r="240" spans="1:11" x14ac:dyDescent="0.3">
      <c r="A240">
        <v>0</v>
      </c>
      <c r="B240">
        <v>7767106</v>
      </c>
      <c r="C240" s="13">
        <v>40252.809027777781</v>
      </c>
      <c r="D240">
        <v>4639</v>
      </c>
      <c r="E240">
        <v>13.01</v>
      </c>
      <c r="F240" t="s">
        <v>1987</v>
      </c>
      <c r="G240">
        <v>55060</v>
      </c>
      <c r="H240" t="s">
        <v>2032</v>
      </c>
      <c r="I240" t="s">
        <v>1992</v>
      </c>
      <c r="J240" s="8">
        <v>49112</v>
      </c>
      <c r="K240">
        <v>5812</v>
      </c>
    </row>
    <row r="241" spans="1:11" x14ac:dyDescent="0.3">
      <c r="A241">
        <v>0</v>
      </c>
      <c r="B241">
        <v>7767284</v>
      </c>
      <c r="C241" s="13">
        <v>40252.873611111114</v>
      </c>
      <c r="D241">
        <v>4639</v>
      </c>
      <c r="E241">
        <v>201</v>
      </c>
      <c r="F241" t="s">
        <v>1987</v>
      </c>
      <c r="G241">
        <v>97398</v>
      </c>
      <c r="H241" t="s">
        <v>2030</v>
      </c>
      <c r="I241" t="s">
        <v>1992</v>
      </c>
      <c r="J241" s="8">
        <v>49107</v>
      </c>
      <c r="K241">
        <v>7011</v>
      </c>
    </row>
    <row r="242" spans="1:11" x14ac:dyDescent="0.3">
      <c r="A242">
        <v>0</v>
      </c>
      <c r="B242">
        <v>7771253</v>
      </c>
      <c r="C242" s="13">
        <v>40253.822222222225</v>
      </c>
      <c r="D242">
        <v>4639</v>
      </c>
      <c r="E242">
        <v>7.5</v>
      </c>
      <c r="F242" t="s">
        <v>1987</v>
      </c>
      <c r="G242">
        <v>55060</v>
      </c>
      <c r="H242" t="s">
        <v>2032</v>
      </c>
      <c r="I242" t="s">
        <v>1992</v>
      </c>
      <c r="J242" s="8">
        <v>49112</v>
      </c>
      <c r="K242">
        <v>5812</v>
      </c>
    </row>
    <row r="243" spans="1:11" x14ac:dyDescent="0.3">
      <c r="A243">
        <v>0</v>
      </c>
      <c r="B243">
        <v>7771552</v>
      </c>
      <c r="C243" s="13">
        <v>40253.927777777775</v>
      </c>
      <c r="D243">
        <v>4639</v>
      </c>
      <c r="E243">
        <v>52.39</v>
      </c>
      <c r="F243" t="s">
        <v>1987</v>
      </c>
      <c r="G243">
        <v>1212</v>
      </c>
      <c r="H243" t="s">
        <v>2030</v>
      </c>
      <c r="I243" t="s">
        <v>1992</v>
      </c>
      <c r="J243" s="8">
        <v>49107</v>
      </c>
      <c r="K243">
        <v>5813</v>
      </c>
    </row>
    <row r="244" spans="1:11" x14ac:dyDescent="0.3">
      <c r="A244">
        <v>0</v>
      </c>
      <c r="B244">
        <v>7771598</v>
      </c>
      <c r="C244" s="13">
        <v>40253.944444444445</v>
      </c>
      <c r="D244">
        <v>4639</v>
      </c>
      <c r="E244">
        <v>30.28</v>
      </c>
      <c r="F244" t="s">
        <v>1987</v>
      </c>
      <c r="G244">
        <v>1212</v>
      </c>
      <c r="H244" t="s">
        <v>2030</v>
      </c>
      <c r="I244" t="s">
        <v>1992</v>
      </c>
      <c r="J244" s="8">
        <v>49107</v>
      </c>
      <c r="K244">
        <v>5813</v>
      </c>
    </row>
    <row r="245" spans="1:11" x14ac:dyDescent="0.3">
      <c r="A245">
        <v>0</v>
      </c>
      <c r="B245">
        <v>7773896</v>
      </c>
      <c r="C245" s="13">
        <v>40254.552083333336</v>
      </c>
      <c r="D245">
        <v>4639</v>
      </c>
      <c r="E245">
        <v>46.61</v>
      </c>
      <c r="F245" t="s">
        <v>1987</v>
      </c>
      <c r="G245">
        <v>86942</v>
      </c>
      <c r="H245" t="s">
        <v>2030</v>
      </c>
      <c r="I245" t="s">
        <v>1992</v>
      </c>
      <c r="J245" s="8">
        <v>49107</v>
      </c>
      <c r="K245">
        <v>5411</v>
      </c>
    </row>
    <row r="246" spans="1:11" x14ac:dyDescent="0.3">
      <c r="A246">
        <v>0</v>
      </c>
      <c r="B246">
        <v>7775250</v>
      </c>
      <c r="C246" s="13">
        <v>40254.820138888892</v>
      </c>
      <c r="D246">
        <v>4639</v>
      </c>
      <c r="E246">
        <v>5.09</v>
      </c>
      <c r="F246" t="s">
        <v>1987</v>
      </c>
      <c r="G246">
        <v>43967</v>
      </c>
      <c r="H246" t="s">
        <v>2030</v>
      </c>
      <c r="I246" t="s">
        <v>1992</v>
      </c>
      <c r="J246" s="8">
        <v>49107</v>
      </c>
      <c r="K246">
        <v>5812</v>
      </c>
    </row>
    <row r="247" spans="1:11" x14ac:dyDescent="0.3">
      <c r="A247">
        <v>0</v>
      </c>
      <c r="B247">
        <v>7775561</v>
      </c>
      <c r="C247" s="13">
        <v>40254.923611111109</v>
      </c>
      <c r="D247">
        <v>4639</v>
      </c>
      <c r="E247">
        <v>68.09</v>
      </c>
      <c r="F247" t="s">
        <v>1987</v>
      </c>
      <c r="G247">
        <v>1212</v>
      </c>
      <c r="H247" t="s">
        <v>2030</v>
      </c>
      <c r="I247" t="s">
        <v>1992</v>
      </c>
      <c r="J247" s="8">
        <v>49107</v>
      </c>
      <c r="K247">
        <v>5813</v>
      </c>
    </row>
    <row r="248" spans="1:11" x14ac:dyDescent="0.3">
      <c r="A248">
        <v>0</v>
      </c>
      <c r="B248">
        <v>7777347</v>
      </c>
      <c r="C248" s="13">
        <v>40255.479166666664</v>
      </c>
      <c r="D248">
        <v>4639</v>
      </c>
      <c r="E248">
        <v>84.96</v>
      </c>
      <c r="F248" t="s">
        <v>1987</v>
      </c>
      <c r="G248">
        <v>13646</v>
      </c>
      <c r="H248" t="s">
        <v>2018</v>
      </c>
      <c r="I248" t="s">
        <v>1992</v>
      </c>
      <c r="J248" s="8">
        <v>49127</v>
      </c>
      <c r="K248">
        <v>7538</v>
      </c>
    </row>
    <row r="249" spans="1:11" x14ac:dyDescent="0.3">
      <c r="A249">
        <v>0</v>
      </c>
      <c r="B249">
        <v>7778333</v>
      </c>
      <c r="C249" s="13">
        <v>40255.623611111114</v>
      </c>
      <c r="D249">
        <v>4639</v>
      </c>
      <c r="E249">
        <v>1.99</v>
      </c>
      <c r="F249" t="s">
        <v>1987</v>
      </c>
      <c r="G249">
        <v>14528</v>
      </c>
      <c r="H249" t="s">
        <v>2030</v>
      </c>
      <c r="I249" t="s">
        <v>1992</v>
      </c>
      <c r="J249" s="8">
        <v>49107</v>
      </c>
      <c r="K249">
        <v>5499</v>
      </c>
    </row>
    <row r="250" spans="1:11" x14ac:dyDescent="0.3">
      <c r="A250">
        <v>0</v>
      </c>
      <c r="B250">
        <v>7779341</v>
      </c>
      <c r="C250" s="13">
        <v>40255.831944444442</v>
      </c>
      <c r="D250">
        <v>4639</v>
      </c>
      <c r="E250">
        <v>8.2799999999999994</v>
      </c>
      <c r="F250" t="s">
        <v>1987</v>
      </c>
      <c r="G250">
        <v>43967</v>
      </c>
      <c r="H250" t="s">
        <v>2030</v>
      </c>
      <c r="I250" t="s">
        <v>1992</v>
      </c>
      <c r="J250" s="8">
        <v>49107</v>
      </c>
      <c r="K250">
        <v>5812</v>
      </c>
    </row>
    <row r="251" spans="1:11" x14ac:dyDescent="0.3">
      <c r="A251">
        <v>0</v>
      </c>
      <c r="B251">
        <v>7781691</v>
      </c>
      <c r="C251" s="13">
        <v>40256.570833333331</v>
      </c>
      <c r="D251">
        <v>4639</v>
      </c>
      <c r="E251">
        <v>95.34</v>
      </c>
      <c r="F251" t="s">
        <v>1987</v>
      </c>
      <c r="G251">
        <v>97398</v>
      </c>
      <c r="H251" t="s">
        <v>2030</v>
      </c>
      <c r="I251" t="s">
        <v>1992</v>
      </c>
      <c r="J251" s="8">
        <v>49107</v>
      </c>
      <c r="K251">
        <v>7011</v>
      </c>
    </row>
    <row r="252" spans="1:11" x14ac:dyDescent="0.3">
      <c r="A252">
        <v>0</v>
      </c>
      <c r="B252">
        <v>7781728</v>
      </c>
      <c r="C252" s="13">
        <v>40256.57708333333</v>
      </c>
      <c r="D252">
        <v>4639</v>
      </c>
      <c r="E252">
        <v>2.79</v>
      </c>
      <c r="F252" t="s">
        <v>1987</v>
      </c>
      <c r="G252">
        <v>48919</v>
      </c>
      <c r="H252" t="s">
        <v>2022</v>
      </c>
      <c r="I252" t="s">
        <v>2001</v>
      </c>
      <c r="J252" s="8">
        <v>4083</v>
      </c>
      <c r="K252">
        <v>5311</v>
      </c>
    </row>
    <row r="253" spans="1:11" x14ac:dyDescent="0.3">
      <c r="A253">
        <v>0</v>
      </c>
      <c r="B253">
        <v>7781744</v>
      </c>
      <c r="C253" s="13">
        <v>40256.579861111109</v>
      </c>
      <c r="D253">
        <v>4639</v>
      </c>
      <c r="E253">
        <v>-201</v>
      </c>
      <c r="F253" t="s">
        <v>1987</v>
      </c>
      <c r="G253">
        <v>97398</v>
      </c>
      <c r="H253" t="s">
        <v>2030</v>
      </c>
      <c r="I253" t="s">
        <v>1992</v>
      </c>
      <c r="J253" s="8">
        <v>49107</v>
      </c>
      <c r="K253">
        <v>7011</v>
      </c>
    </row>
    <row r="254" spans="1:11" x14ac:dyDescent="0.3">
      <c r="A254">
        <v>0</v>
      </c>
      <c r="B254">
        <v>7781776</v>
      </c>
      <c r="C254" s="13">
        <v>40256.586111111108</v>
      </c>
      <c r="D254">
        <v>4639</v>
      </c>
      <c r="E254">
        <v>126.2</v>
      </c>
      <c r="F254" t="s">
        <v>1994</v>
      </c>
      <c r="G254">
        <v>52073</v>
      </c>
      <c r="H254" t="s">
        <v>1993</v>
      </c>
      <c r="I254" t="s">
        <v>3719</v>
      </c>
      <c r="J254" s="8" t="s">
        <v>3719</v>
      </c>
      <c r="K254">
        <v>4722</v>
      </c>
    </row>
    <row r="255" spans="1:11" x14ac:dyDescent="0.3">
      <c r="A255">
        <v>0</v>
      </c>
      <c r="B255">
        <v>7781832</v>
      </c>
      <c r="C255" s="13">
        <v>40256.595138888886</v>
      </c>
      <c r="D255">
        <v>4639</v>
      </c>
      <c r="E255">
        <v>-259</v>
      </c>
      <c r="F255" t="s">
        <v>1994</v>
      </c>
      <c r="G255">
        <v>52073</v>
      </c>
      <c r="H255" t="s">
        <v>1993</v>
      </c>
      <c r="I255" t="s">
        <v>3719</v>
      </c>
      <c r="J255" s="8" t="s">
        <v>3719</v>
      </c>
      <c r="K255">
        <v>4722</v>
      </c>
    </row>
    <row r="256" spans="1:11" x14ac:dyDescent="0.3">
      <c r="A256">
        <v>0</v>
      </c>
      <c r="B256">
        <v>7782933</v>
      </c>
      <c r="C256" s="13">
        <v>40256.819444444445</v>
      </c>
      <c r="D256">
        <v>4639</v>
      </c>
      <c r="E256">
        <v>9.3800000000000008</v>
      </c>
      <c r="F256" t="s">
        <v>1987</v>
      </c>
      <c r="G256">
        <v>13153</v>
      </c>
      <c r="H256" t="s">
        <v>2014</v>
      </c>
      <c r="I256" t="s">
        <v>2001</v>
      </c>
      <c r="J256" s="8">
        <v>4074</v>
      </c>
      <c r="K256">
        <v>5812</v>
      </c>
    </row>
    <row r="257" spans="1:11" x14ac:dyDescent="0.3">
      <c r="A257">
        <v>0</v>
      </c>
      <c r="B257">
        <v>7785314</v>
      </c>
      <c r="C257" s="13">
        <v>40257.559027777781</v>
      </c>
      <c r="D257">
        <v>4639</v>
      </c>
      <c r="E257">
        <v>37.35</v>
      </c>
      <c r="F257" t="s">
        <v>1987</v>
      </c>
      <c r="G257">
        <v>43925</v>
      </c>
      <c r="H257" t="s">
        <v>2014</v>
      </c>
      <c r="I257" t="s">
        <v>2001</v>
      </c>
      <c r="J257" s="8">
        <v>4074</v>
      </c>
      <c r="K257">
        <v>5411</v>
      </c>
    </row>
    <row r="258" spans="1:11" x14ac:dyDescent="0.3">
      <c r="A258">
        <v>0</v>
      </c>
      <c r="B258">
        <v>7785698</v>
      </c>
      <c r="C258" s="13">
        <v>40257.619444444441</v>
      </c>
      <c r="D258">
        <v>4639</v>
      </c>
      <c r="E258">
        <v>1.51</v>
      </c>
      <c r="F258" t="s">
        <v>1987</v>
      </c>
      <c r="G258">
        <v>14528</v>
      </c>
      <c r="H258" t="s">
        <v>2014</v>
      </c>
      <c r="I258" t="s">
        <v>2001</v>
      </c>
      <c r="J258" s="8">
        <v>4074</v>
      </c>
      <c r="K258">
        <v>5499</v>
      </c>
    </row>
    <row r="259" spans="1:11" x14ac:dyDescent="0.3">
      <c r="A259">
        <v>0</v>
      </c>
      <c r="B259">
        <v>7786573</v>
      </c>
      <c r="C259" s="13">
        <v>40257.803472222222</v>
      </c>
      <c r="D259">
        <v>4639</v>
      </c>
      <c r="E259">
        <v>6.44</v>
      </c>
      <c r="F259" t="s">
        <v>1987</v>
      </c>
      <c r="G259">
        <v>13153</v>
      </c>
      <c r="H259" t="s">
        <v>2014</v>
      </c>
      <c r="I259" t="s">
        <v>2001</v>
      </c>
      <c r="J259" s="8">
        <v>4074</v>
      </c>
      <c r="K259">
        <v>5812</v>
      </c>
    </row>
    <row r="260" spans="1:11" x14ac:dyDescent="0.3">
      <c r="A260">
        <v>0</v>
      </c>
      <c r="B260">
        <v>7786632</v>
      </c>
      <c r="C260" s="13">
        <v>40257.820833333331</v>
      </c>
      <c r="D260">
        <v>4639</v>
      </c>
      <c r="E260">
        <v>7.67</v>
      </c>
      <c r="F260" t="s">
        <v>1987</v>
      </c>
      <c r="G260">
        <v>55060</v>
      </c>
      <c r="H260" t="s">
        <v>2014</v>
      </c>
      <c r="I260" t="s">
        <v>2001</v>
      </c>
      <c r="J260" s="8">
        <v>4074</v>
      </c>
      <c r="K260">
        <v>5812</v>
      </c>
    </row>
    <row r="261" spans="1:11" x14ac:dyDescent="0.3">
      <c r="A261">
        <v>0</v>
      </c>
      <c r="B261">
        <v>7786701</v>
      </c>
      <c r="C261" s="13">
        <v>40257.84375</v>
      </c>
      <c r="D261">
        <v>4639</v>
      </c>
      <c r="E261">
        <v>414.43</v>
      </c>
      <c r="F261" t="s">
        <v>1987</v>
      </c>
      <c r="G261">
        <v>29742</v>
      </c>
      <c r="H261" t="s">
        <v>2010</v>
      </c>
      <c r="I261" t="s">
        <v>2001</v>
      </c>
      <c r="J261" s="8">
        <v>4937</v>
      </c>
      <c r="K261">
        <v>3256</v>
      </c>
    </row>
    <row r="262" spans="1:11" x14ac:dyDescent="0.3">
      <c r="A262">
        <v>0</v>
      </c>
      <c r="B262">
        <v>7789061</v>
      </c>
      <c r="C262" s="13">
        <v>40258.490277777775</v>
      </c>
      <c r="D262">
        <v>4639</v>
      </c>
      <c r="E262">
        <v>91.33</v>
      </c>
      <c r="F262" t="s">
        <v>1987</v>
      </c>
      <c r="G262">
        <v>32175</v>
      </c>
      <c r="H262" t="s">
        <v>2002</v>
      </c>
      <c r="I262" t="s">
        <v>2001</v>
      </c>
      <c r="J262" s="8">
        <v>4103</v>
      </c>
      <c r="K262">
        <v>7538</v>
      </c>
    </row>
    <row r="263" spans="1:11" x14ac:dyDescent="0.3">
      <c r="A263">
        <v>0</v>
      </c>
      <c r="B263">
        <v>7789456</v>
      </c>
      <c r="C263" s="13">
        <v>40258.54583333333</v>
      </c>
      <c r="D263">
        <v>4639</v>
      </c>
      <c r="E263">
        <v>38.96</v>
      </c>
      <c r="F263" t="s">
        <v>1987</v>
      </c>
      <c r="G263">
        <v>69956</v>
      </c>
      <c r="H263" t="s">
        <v>2022</v>
      </c>
      <c r="I263" t="s">
        <v>2001</v>
      </c>
      <c r="J263" s="8">
        <v>4083</v>
      </c>
      <c r="K263">
        <v>5310</v>
      </c>
    </row>
    <row r="264" spans="1:11" x14ac:dyDescent="0.3">
      <c r="A264">
        <v>0</v>
      </c>
      <c r="B264">
        <v>7791214</v>
      </c>
      <c r="C264" s="13">
        <v>40258.918055555558</v>
      </c>
      <c r="D264">
        <v>4639</v>
      </c>
      <c r="E264">
        <v>55.96</v>
      </c>
      <c r="F264" t="s">
        <v>1987</v>
      </c>
      <c r="G264">
        <v>32164</v>
      </c>
      <c r="H264" t="s">
        <v>2014</v>
      </c>
      <c r="I264" t="s">
        <v>2001</v>
      </c>
      <c r="J264" s="8">
        <v>4074</v>
      </c>
      <c r="K264">
        <v>5813</v>
      </c>
    </row>
    <row r="265" spans="1:11" x14ac:dyDescent="0.3">
      <c r="A265">
        <v>0</v>
      </c>
      <c r="B265">
        <v>7793923</v>
      </c>
      <c r="C265" s="13">
        <v>40259.587500000001</v>
      </c>
      <c r="D265">
        <v>4639</v>
      </c>
      <c r="E265">
        <v>28.66</v>
      </c>
      <c r="F265" t="s">
        <v>1987</v>
      </c>
      <c r="G265">
        <v>32858</v>
      </c>
      <c r="H265" t="s">
        <v>2012</v>
      </c>
      <c r="I265" t="s">
        <v>2000</v>
      </c>
      <c r="J265" s="8">
        <v>5401</v>
      </c>
      <c r="K265">
        <v>5311</v>
      </c>
    </row>
    <row r="266" spans="1:11" x14ac:dyDescent="0.3">
      <c r="A266">
        <v>0</v>
      </c>
      <c r="B266">
        <v>7793950</v>
      </c>
      <c r="C266" s="13">
        <v>40259.591666666667</v>
      </c>
      <c r="D266">
        <v>4639</v>
      </c>
      <c r="E266">
        <v>1.52</v>
      </c>
      <c r="F266" t="s">
        <v>1987</v>
      </c>
      <c r="G266">
        <v>14528</v>
      </c>
      <c r="H266" t="s">
        <v>2014</v>
      </c>
      <c r="I266" t="s">
        <v>2001</v>
      </c>
      <c r="J266" s="8">
        <v>4074</v>
      </c>
      <c r="K266">
        <v>5499</v>
      </c>
    </row>
    <row r="267" spans="1:11" x14ac:dyDescent="0.3">
      <c r="A267">
        <v>0</v>
      </c>
      <c r="B267">
        <v>7795380</v>
      </c>
      <c r="C267" s="13">
        <v>40259.934027777781</v>
      </c>
      <c r="D267">
        <v>4639</v>
      </c>
      <c r="E267">
        <v>58.56</v>
      </c>
      <c r="F267" t="s">
        <v>1987</v>
      </c>
      <c r="G267">
        <v>32164</v>
      </c>
      <c r="H267" t="s">
        <v>2014</v>
      </c>
      <c r="I267" t="s">
        <v>2001</v>
      </c>
      <c r="J267" s="8">
        <v>4074</v>
      </c>
      <c r="K267">
        <v>5813</v>
      </c>
    </row>
    <row r="268" spans="1:11" x14ac:dyDescent="0.3">
      <c r="A268">
        <v>0</v>
      </c>
      <c r="B268">
        <v>7797584</v>
      </c>
      <c r="C268" s="13">
        <v>40260.526388888888</v>
      </c>
      <c r="D268">
        <v>4639</v>
      </c>
      <c r="E268">
        <v>-64</v>
      </c>
      <c r="F268" t="s">
        <v>1987</v>
      </c>
      <c r="G268">
        <v>28395</v>
      </c>
      <c r="H268" t="s">
        <v>2022</v>
      </c>
      <c r="I268" t="s">
        <v>2001</v>
      </c>
      <c r="J268" s="8">
        <v>4083</v>
      </c>
      <c r="K268">
        <v>5541</v>
      </c>
    </row>
    <row r="269" spans="1:11" x14ac:dyDescent="0.3">
      <c r="A269">
        <v>0</v>
      </c>
      <c r="B269">
        <v>7797612</v>
      </c>
      <c r="C269" s="13">
        <v>40260.530555555553</v>
      </c>
      <c r="D269">
        <v>4639</v>
      </c>
      <c r="E269">
        <v>63.67</v>
      </c>
      <c r="F269" t="s">
        <v>1987</v>
      </c>
      <c r="G269">
        <v>28395</v>
      </c>
      <c r="H269" t="s">
        <v>2022</v>
      </c>
      <c r="I269" t="s">
        <v>2001</v>
      </c>
      <c r="J269" s="8">
        <v>4083</v>
      </c>
      <c r="K269">
        <v>5541</v>
      </c>
    </row>
    <row r="270" spans="1:11" x14ac:dyDescent="0.3">
      <c r="A270">
        <v>0</v>
      </c>
      <c r="B270">
        <v>7797638</v>
      </c>
      <c r="C270" s="13">
        <v>40260.533333333333</v>
      </c>
      <c r="D270">
        <v>4639</v>
      </c>
      <c r="E270">
        <v>64</v>
      </c>
      <c r="F270" t="s">
        <v>1987</v>
      </c>
      <c r="G270">
        <v>28395</v>
      </c>
      <c r="H270" t="s">
        <v>2022</v>
      </c>
      <c r="I270" t="s">
        <v>2001</v>
      </c>
      <c r="J270" s="8">
        <v>4083</v>
      </c>
      <c r="K270">
        <v>5541</v>
      </c>
    </row>
    <row r="271" spans="1:11" x14ac:dyDescent="0.3">
      <c r="A271">
        <v>0</v>
      </c>
      <c r="B271">
        <v>7797696</v>
      </c>
      <c r="C271" s="13">
        <v>40260.541666666664</v>
      </c>
      <c r="D271">
        <v>4639</v>
      </c>
      <c r="E271">
        <v>49.56</v>
      </c>
      <c r="F271" t="s">
        <v>1987</v>
      </c>
      <c r="G271">
        <v>69956</v>
      </c>
      <c r="H271" t="s">
        <v>2022</v>
      </c>
      <c r="I271" t="s">
        <v>2001</v>
      </c>
      <c r="J271" s="8">
        <v>4083</v>
      </c>
      <c r="K271">
        <v>5310</v>
      </c>
    </row>
    <row r="272" spans="1:11" x14ac:dyDescent="0.3">
      <c r="A272">
        <v>0</v>
      </c>
      <c r="B272">
        <v>7799124</v>
      </c>
      <c r="C272" s="13">
        <v>40260.820833333331</v>
      </c>
      <c r="D272">
        <v>4639</v>
      </c>
      <c r="E272">
        <v>9.6300000000000008</v>
      </c>
      <c r="F272" t="s">
        <v>1987</v>
      </c>
      <c r="G272">
        <v>55060</v>
      </c>
      <c r="H272" t="s">
        <v>2014</v>
      </c>
      <c r="I272" t="s">
        <v>2001</v>
      </c>
      <c r="J272" s="8">
        <v>4074</v>
      </c>
      <c r="K272">
        <v>5812</v>
      </c>
    </row>
    <row r="273" spans="1:11" x14ac:dyDescent="0.3">
      <c r="A273">
        <v>0</v>
      </c>
      <c r="B273">
        <v>7799457</v>
      </c>
      <c r="C273" s="13">
        <v>40260.927083333336</v>
      </c>
      <c r="D273">
        <v>4639</v>
      </c>
      <c r="E273">
        <v>54.29</v>
      </c>
      <c r="F273" t="s">
        <v>1987</v>
      </c>
      <c r="G273">
        <v>32164</v>
      </c>
      <c r="H273" t="s">
        <v>2014</v>
      </c>
      <c r="I273" t="s">
        <v>2001</v>
      </c>
      <c r="J273" s="8">
        <v>4074</v>
      </c>
      <c r="K273">
        <v>5813</v>
      </c>
    </row>
    <row r="274" spans="1:11" x14ac:dyDescent="0.3">
      <c r="A274">
        <v>0</v>
      </c>
      <c r="B274">
        <v>7800993</v>
      </c>
      <c r="C274" s="13">
        <v>40261.433333333334</v>
      </c>
      <c r="D274">
        <v>4639</v>
      </c>
      <c r="E274">
        <v>27.43</v>
      </c>
      <c r="F274" t="s">
        <v>1987</v>
      </c>
      <c r="G274">
        <v>83480</v>
      </c>
      <c r="H274" t="s">
        <v>2014</v>
      </c>
      <c r="I274" t="s">
        <v>2001</v>
      </c>
      <c r="J274" s="8">
        <v>4074</v>
      </c>
      <c r="K274">
        <v>9402</v>
      </c>
    </row>
    <row r="275" spans="1:11" x14ac:dyDescent="0.3">
      <c r="A275">
        <v>0</v>
      </c>
      <c r="B275">
        <v>7803199</v>
      </c>
      <c r="C275" s="13">
        <v>40261.815972222219</v>
      </c>
      <c r="D275">
        <v>4639</v>
      </c>
      <c r="E275">
        <v>7.39</v>
      </c>
      <c r="F275" t="s">
        <v>1987</v>
      </c>
      <c r="G275">
        <v>13153</v>
      </c>
      <c r="H275" t="s">
        <v>2014</v>
      </c>
      <c r="I275" t="s">
        <v>2001</v>
      </c>
      <c r="J275" s="8">
        <v>4074</v>
      </c>
      <c r="K275">
        <v>5812</v>
      </c>
    </row>
    <row r="276" spans="1:11" x14ac:dyDescent="0.3">
      <c r="A276">
        <v>0</v>
      </c>
      <c r="B276">
        <v>7803474</v>
      </c>
      <c r="C276" s="13">
        <v>40261.904166666667</v>
      </c>
      <c r="D276">
        <v>4639</v>
      </c>
      <c r="E276">
        <v>43.69</v>
      </c>
      <c r="F276" t="s">
        <v>1994</v>
      </c>
      <c r="G276">
        <v>73186</v>
      </c>
      <c r="H276" t="s">
        <v>1993</v>
      </c>
      <c r="I276" t="s">
        <v>3719</v>
      </c>
      <c r="J276" s="8" t="s">
        <v>3719</v>
      </c>
      <c r="K276">
        <v>4814</v>
      </c>
    </row>
    <row r="277" spans="1:11" x14ac:dyDescent="0.3">
      <c r="A277">
        <v>0</v>
      </c>
      <c r="B277">
        <v>7804176</v>
      </c>
      <c r="C277" s="13">
        <v>40262.29791666667</v>
      </c>
      <c r="D277">
        <v>4639</v>
      </c>
      <c r="E277">
        <v>77.41</v>
      </c>
      <c r="F277" t="s">
        <v>1987</v>
      </c>
      <c r="G277">
        <v>48919</v>
      </c>
      <c r="H277" t="s">
        <v>2022</v>
      </c>
      <c r="I277" t="s">
        <v>2001</v>
      </c>
      <c r="J277" s="8">
        <v>4083</v>
      </c>
      <c r="K277">
        <v>5311</v>
      </c>
    </row>
    <row r="278" spans="1:11" x14ac:dyDescent="0.3">
      <c r="A278">
        <v>0</v>
      </c>
      <c r="B278">
        <v>7805326</v>
      </c>
      <c r="C278" s="13">
        <v>40262.466666666667</v>
      </c>
      <c r="D278">
        <v>4639</v>
      </c>
      <c r="E278">
        <v>28.91</v>
      </c>
      <c r="F278" t="s">
        <v>1987</v>
      </c>
      <c r="G278">
        <v>83271</v>
      </c>
      <c r="H278" t="s">
        <v>2002</v>
      </c>
      <c r="I278" t="s">
        <v>2001</v>
      </c>
      <c r="J278" s="8">
        <v>4103</v>
      </c>
      <c r="K278">
        <v>4214</v>
      </c>
    </row>
    <row r="279" spans="1:11" x14ac:dyDescent="0.3">
      <c r="A279">
        <v>0</v>
      </c>
      <c r="B279">
        <v>7806435</v>
      </c>
      <c r="C279" s="13">
        <v>40262.62222222222</v>
      </c>
      <c r="D279">
        <v>4639</v>
      </c>
      <c r="E279">
        <v>15.65</v>
      </c>
      <c r="F279" t="s">
        <v>1987</v>
      </c>
      <c r="G279">
        <v>60510</v>
      </c>
      <c r="H279" t="s">
        <v>2014</v>
      </c>
      <c r="I279" t="s">
        <v>2001</v>
      </c>
      <c r="J279" s="8">
        <v>4074</v>
      </c>
      <c r="K279">
        <v>5912</v>
      </c>
    </row>
    <row r="280" spans="1:11" x14ac:dyDescent="0.3">
      <c r="A280">
        <v>0</v>
      </c>
      <c r="B280">
        <v>7807365</v>
      </c>
      <c r="C280" s="13">
        <v>40262.824305555558</v>
      </c>
      <c r="D280">
        <v>4639</v>
      </c>
      <c r="E280">
        <v>4.75</v>
      </c>
      <c r="F280" t="s">
        <v>1987</v>
      </c>
      <c r="G280">
        <v>55060</v>
      </c>
      <c r="H280" t="s">
        <v>2014</v>
      </c>
      <c r="I280" t="s">
        <v>2001</v>
      </c>
      <c r="J280" s="8">
        <v>4074</v>
      </c>
      <c r="K280">
        <v>5812</v>
      </c>
    </row>
    <row r="281" spans="1:11" x14ac:dyDescent="0.3">
      <c r="A281">
        <v>0</v>
      </c>
      <c r="B281">
        <v>7807647</v>
      </c>
      <c r="C281" s="13">
        <v>40262.927083333336</v>
      </c>
      <c r="D281">
        <v>4639</v>
      </c>
      <c r="E281">
        <v>55.08</v>
      </c>
      <c r="F281" t="s">
        <v>1987</v>
      </c>
      <c r="G281">
        <v>32164</v>
      </c>
      <c r="H281" t="s">
        <v>2014</v>
      </c>
      <c r="I281" t="s">
        <v>2001</v>
      </c>
      <c r="J281" s="8">
        <v>4074</v>
      </c>
      <c r="K281">
        <v>5813</v>
      </c>
    </row>
    <row r="282" spans="1:11" x14ac:dyDescent="0.3">
      <c r="A282">
        <v>0</v>
      </c>
      <c r="B282">
        <v>7809157</v>
      </c>
      <c r="C282" s="13">
        <v>40263.473611111112</v>
      </c>
      <c r="D282">
        <v>4639</v>
      </c>
      <c r="E282">
        <v>23.55</v>
      </c>
      <c r="F282" t="s">
        <v>1987</v>
      </c>
      <c r="G282">
        <v>83480</v>
      </c>
      <c r="H282" t="s">
        <v>2014</v>
      </c>
      <c r="I282" t="s">
        <v>2001</v>
      </c>
      <c r="J282" s="8">
        <v>4074</v>
      </c>
      <c r="K282">
        <v>9402</v>
      </c>
    </row>
    <row r="283" spans="1:11" x14ac:dyDescent="0.3">
      <c r="A283">
        <v>0</v>
      </c>
      <c r="B283">
        <v>7809646</v>
      </c>
      <c r="C283" s="13">
        <v>40263.553472222222</v>
      </c>
      <c r="D283">
        <v>4639</v>
      </c>
      <c r="E283">
        <v>70.709999999999994</v>
      </c>
      <c r="F283" t="s">
        <v>1987</v>
      </c>
      <c r="G283">
        <v>60569</v>
      </c>
      <c r="H283" t="s">
        <v>2017</v>
      </c>
      <c r="I283" t="s">
        <v>2001</v>
      </c>
      <c r="J283" s="8">
        <v>4240</v>
      </c>
      <c r="K283">
        <v>5300</v>
      </c>
    </row>
    <row r="284" spans="1:11" x14ac:dyDescent="0.3">
      <c r="A284">
        <v>0</v>
      </c>
      <c r="B284">
        <v>7811320</v>
      </c>
      <c r="C284" s="13">
        <v>40263.931250000001</v>
      </c>
      <c r="D284">
        <v>4639</v>
      </c>
      <c r="E284">
        <v>49.47</v>
      </c>
      <c r="F284" t="s">
        <v>1987</v>
      </c>
      <c r="G284">
        <v>32164</v>
      </c>
      <c r="H284" t="s">
        <v>2014</v>
      </c>
      <c r="I284" t="s">
        <v>2001</v>
      </c>
      <c r="J284" s="8">
        <v>4074</v>
      </c>
      <c r="K284">
        <v>5813</v>
      </c>
    </row>
    <row r="285" spans="1:11" x14ac:dyDescent="0.3">
      <c r="A285">
        <v>0</v>
      </c>
      <c r="B285">
        <v>7814683</v>
      </c>
      <c r="C285" s="13">
        <v>40264.821527777778</v>
      </c>
      <c r="D285">
        <v>4639</v>
      </c>
      <c r="E285">
        <v>6.39</v>
      </c>
      <c r="F285" t="s">
        <v>1987</v>
      </c>
      <c r="G285">
        <v>55060</v>
      </c>
      <c r="H285" t="s">
        <v>2014</v>
      </c>
      <c r="I285" t="s">
        <v>2001</v>
      </c>
      <c r="J285" s="8">
        <v>4074</v>
      </c>
      <c r="K285">
        <v>5812</v>
      </c>
    </row>
    <row r="286" spans="1:11" x14ac:dyDescent="0.3">
      <c r="A286">
        <v>0</v>
      </c>
      <c r="B286">
        <v>7815088</v>
      </c>
      <c r="C286" s="13">
        <v>40264.938194444447</v>
      </c>
      <c r="D286">
        <v>4639</v>
      </c>
      <c r="E286">
        <v>197.81</v>
      </c>
      <c r="F286" t="s">
        <v>1994</v>
      </c>
      <c r="G286">
        <v>84682</v>
      </c>
      <c r="H286" t="s">
        <v>1993</v>
      </c>
      <c r="I286" t="s">
        <v>3719</v>
      </c>
      <c r="J286" s="8" t="s">
        <v>3719</v>
      </c>
      <c r="K286">
        <v>4900</v>
      </c>
    </row>
    <row r="287" spans="1:11" x14ac:dyDescent="0.3">
      <c r="A287">
        <v>0</v>
      </c>
      <c r="B287">
        <v>7818036</v>
      </c>
      <c r="C287" s="13">
        <v>40265.624305555553</v>
      </c>
      <c r="D287">
        <v>4639</v>
      </c>
      <c r="E287">
        <v>1.49</v>
      </c>
      <c r="F287" t="s">
        <v>1987</v>
      </c>
      <c r="G287">
        <v>14528</v>
      </c>
      <c r="H287" t="s">
        <v>2014</v>
      </c>
      <c r="I287" t="s">
        <v>2001</v>
      </c>
      <c r="J287" s="8">
        <v>4074</v>
      </c>
      <c r="K287">
        <v>5499</v>
      </c>
    </row>
    <row r="288" spans="1:11" x14ac:dyDescent="0.3">
      <c r="A288">
        <v>0</v>
      </c>
      <c r="B288">
        <v>7825577</v>
      </c>
      <c r="C288" s="13">
        <v>40267.509722222225</v>
      </c>
      <c r="D288">
        <v>4639</v>
      </c>
      <c r="E288">
        <v>53.7</v>
      </c>
      <c r="F288" t="s">
        <v>1987</v>
      </c>
      <c r="G288">
        <v>41527</v>
      </c>
      <c r="H288" t="s">
        <v>2014</v>
      </c>
      <c r="I288" t="s">
        <v>2001</v>
      </c>
      <c r="J288" s="8">
        <v>4074</v>
      </c>
      <c r="K288">
        <v>5310</v>
      </c>
    </row>
    <row r="289" spans="1:11" x14ac:dyDescent="0.3">
      <c r="A289">
        <v>0</v>
      </c>
      <c r="B289">
        <v>7829693</v>
      </c>
      <c r="C289" s="13">
        <v>40268.522222222222</v>
      </c>
      <c r="D289">
        <v>4639</v>
      </c>
      <c r="E289">
        <v>63.29</v>
      </c>
      <c r="F289" t="s">
        <v>1987</v>
      </c>
      <c r="G289">
        <v>43293</v>
      </c>
      <c r="H289" t="s">
        <v>2014</v>
      </c>
      <c r="I289" t="s">
        <v>2001</v>
      </c>
      <c r="J289" s="8">
        <v>4074</v>
      </c>
      <c r="K289">
        <v>5499</v>
      </c>
    </row>
    <row r="290" spans="1:11" x14ac:dyDescent="0.3">
      <c r="A290">
        <v>0</v>
      </c>
      <c r="B290">
        <v>7829737</v>
      </c>
      <c r="C290" s="13">
        <v>40268.52847222222</v>
      </c>
      <c r="D290">
        <v>4639</v>
      </c>
      <c r="E290">
        <v>86</v>
      </c>
      <c r="F290" t="s">
        <v>1987</v>
      </c>
      <c r="G290">
        <v>43293</v>
      </c>
      <c r="H290" t="s">
        <v>2014</v>
      </c>
      <c r="I290" t="s">
        <v>2001</v>
      </c>
      <c r="J290" s="8">
        <v>4074</v>
      </c>
      <c r="K290">
        <v>5499</v>
      </c>
    </row>
    <row r="291" spans="1:11" x14ac:dyDescent="0.3">
      <c r="A291">
        <v>0</v>
      </c>
      <c r="B291">
        <v>7829775</v>
      </c>
      <c r="C291" s="13">
        <v>40268.533333333333</v>
      </c>
      <c r="D291">
        <v>4639</v>
      </c>
      <c r="E291">
        <v>-86</v>
      </c>
      <c r="F291" t="s">
        <v>1987</v>
      </c>
      <c r="G291">
        <v>43293</v>
      </c>
      <c r="H291" t="s">
        <v>2014</v>
      </c>
      <c r="I291" t="s">
        <v>2001</v>
      </c>
      <c r="J291" s="8">
        <v>4074</v>
      </c>
      <c r="K291">
        <v>5499</v>
      </c>
    </row>
    <row r="292" spans="1:11" x14ac:dyDescent="0.3">
      <c r="A292">
        <v>0</v>
      </c>
      <c r="B292">
        <v>7830217</v>
      </c>
      <c r="C292" s="13">
        <v>40268.598611111112</v>
      </c>
      <c r="D292">
        <v>4639</v>
      </c>
      <c r="E292">
        <v>389.07</v>
      </c>
      <c r="F292" t="s">
        <v>1987</v>
      </c>
      <c r="G292">
        <v>69956</v>
      </c>
      <c r="H292" t="s">
        <v>2022</v>
      </c>
      <c r="I292" t="s">
        <v>2001</v>
      </c>
      <c r="J292" s="8">
        <v>4083</v>
      </c>
      <c r="K292">
        <v>5310</v>
      </c>
    </row>
    <row r="293" spans="1:11" x14ac:dyDescent="0.3">
      <c r="A293">
        <v>0</v>
      </c>
      <c r="B293">
        <v>7831530</v>
      </c>
      <c r="C293" s="13">
        <v>40268.916666666664</v>
      </c>
      <c r="D293">
        <v>4639</v>
      </c>
      <c r="E293">
        <v>54.71</v>
      </c>
      <c r="F293" t="s">
        <v>1987</v>
      </c>
      <c r="G293">
        <v>32164</v>
      </c>
      <c r="H293" t="s">
        <v>2014</v>
      </c>
      <c r="I293" t="s">
        <v>2001</v>
      </c>
      <c r="J293" s="8">
        <v>4074</v>
      </c>
      <c r="K293">
        <v>5813</v>
      </c>
    </row>
    <row r="294" spans="1:11" x14ac:dyDescent="0.3">
      <c r="A294">
        <v>0</v>
      </c>
      <c r="B294">
        <v>7833521</v>
      </c>
      <c r="C294" s="13">
        <v>40269.484722222223</v>
      </c>
      <c r="D294">
        <v>4639</v>
      </c>
      <c r="E294">
        <v>82.1</v>
      </c>
      <c r="F294" t="s">
        <v>1987</v>
      </c>
      <c r="G294">
        <v>57053</v>
      </c>
      <c r="H294" t="s">
        <v>2014</v>
      </c>
      <c r="I294" t="s">
        <v>2001</v>
      </c>
      <c r="J294" s="8">
        <v>4074</v>
      </c>
      <c r="K294">
        <v>7538</v>
      </c>
    </row>
    <row r="295" spans="1:11" x14ac:dyDescent="0.3">
      <c r="A295">
        <v>0</v>
      </c>
      <c r="B295">
        <v>7833733</v>
      </c>
      <c r="C295" s="13">
        <v>40269.517361111109</v>
      </c>
      <c r="D295">
        <v>4639</v>
      </c>
      <c r="E295">
        <v>88.08</v>
      </c>
      <c r="F295" t="s">
        <v>1987</v>
      </c>
      <c r="G295">
        <v>32175</v>
      </c>
      <c r="H295" t="s">
        <v>2002</v>
      </c>
      <c r="I295" t="s">
        <v>2001</v>
      </c>
      <c r="J295" s="8">
        <v>4103</v>
      </c>
      <c r="K295">
        <v>7538</v>
      </c>
    </row>
    <row r="296" spans="1:11" x14ac:dyDescent="0.3">
      <c r="A296">
        <v>0</v>
      </c>
      <c r="B296">
        <v>7835503</v>
      </c>
      <c r="C296" s="13">
        <v>40269.840277777781</v>
      </c>
      <c r="D296">
        <v>4639</v>
      </c>
      <c r="E296">
        <v>9.1</v>
      </c>
      <c r="F296" t="s">
        <v>1987</v>
      </c>
      <c r="G296">
        <v>55060</v>
      </c>
      <c r="H296" t="s">
        <v>2014</v>
      </c>
      <c r="I296" t="s">
        <v>2001</v>
      </c>
      <c r="J296" s="8">
        <v>4074</v>
      </c>
      <c r="K296">
        <v>5812</v>
      </c>
    </row>
    <row r="297" spans="1:11" x14ac:dyDescent="0.3">
      <c r="A297">
        <v>0</v>
      </c>
      <c r="B297">
        <v>7839038</v>
      </c>
      <c r="C297" s="13">
        <v>40270.808333333334</v>
      </c>
      <c r="D297">
        <v>4639</v>
      </c>
      <c r="E297">
        <v>120</v>
      </c>
      <c r="F297" t="s">
        <v>1987</v>
      </c>
      <c r="G297">
        <v>27092</v>
      </c>
      <c r="H297" t="s">
        <v>2002</v>
      </c>
      <c r="I297" t="s">
        <v>2001</v>
      </c>
      <c r="J297" s="8">
        <v>4102</v>
      </c>
      <c r="K297">
        <v>4829</v>
      </c>
    </row>
    <row r="298" spans="1:11" x14ac:dyDescent="0.3">
      <c r="A298">
        <v>0</v>
      </c>
      <c r="B298">
        <v>7839120</v>
      </c>
      <c r="C298" s="13">
        <v>40270.82916666667</v>
      </c>
      <c r="D298">
        <v>4639</v>
      </c>
      <c r="E298">
        <v>10.88</v>
      </c>
      <c r="F298" t="s">
        <v>1987</v>
      </c>
      <c r="G298">
        <v>55060</v>
      </c>
      <c r="H298" t="s">
        <v>2014</v>
      </c>
      <c r="I298" t="s">
        <v>2001</v>
      </c>
      <c r="J298" s="8">
        <v>4074</v>
      </c>
      <c r="K298">
        <v>5812</v>
      </c>
    </row>
    <row r="299" spans="1:11" x14ac:dyDescent="0.3">
      <c r="A299">
        <v>0</v>
      </c>
      <c r="B299">
        <v>7839391</v>
      </c>
      <c r="C299" s="13">
        <v>40270.920138888891</v>
      </c>
      <c r="D299">
        <v>4639</v>
      </c>
      <c r="E299">
        <v>50.26</v>
      </c>
      <c r="F299" t="s">
        <v>1987</v>
      </c>
      <c r="G299">
        <v>32164</v>
      </c>
      <c r="H299" t="s">
        <v>2014</v>
      </c>
      <c r="I299" t="s">
        <v>2001</v>
      </c>
      <c r="J299" s="8">
        <v>4074</v>
      </c>
      <c r="K299">
        <v>5813</v>
      </c>
    </row>
    <row r="300" spans="1:11" x14ac:dyDescent="0.3">
      <c r="A300">
        <v>0</v>
      </c>
      <c r="B300">
        <v>7841440</v>
      </c>
      <c r="C300" s="13">
        <v>40271.555555555555</v>
      </c>
      <c r="D300">
        <v>4639</v>
      </c>
      <c r="E300">
        <v>48.59</v>
      </c>
      <c r="F300" t="s">
        <v>1987</v>
      </c>
      <c r="G300">
        <v>43925</v>
      </c>
      <c r="H300" t="s">
        <v>2014</v>
      </c>
      <c r="I300" t="s">
        <v>2001</v>
      </c>
      <c r="J300" s="8">
        <v>4074</v>
      </c>
      <c r="K300">
        <v>5411</v>
      </c>
    </row>
    <row r="301" spans="1:11" x14ac:dyDescent="0.3">
      <c r="A301">
        <v>0</v>
      </c>
      <c r="B301">
        <v>7842227</v>
      </c>
      <c r="C301" s="13">
        <v>40271.686805555553</v>
      </c>
      <c r="D301">
        <v>4639</v>
      </c>
      <c r="E301">
        <v>117.26</v>
      </c>
      <c r="F301" t="s">
        <v>1994</v>
      </c>
      <c r="G301">
        <v>84682</v>
      </c>
      <c r="H301" t="s">
        <v>1993</v>
      </c>
      <c r="I301" t="s">
        <v>3719</v>
      </c>
      <c r="J301" s="8" t="s">
        <v>3719</v>
      </c>
      <c r="K301">
        <v>4900</v>
      </c>
    </row>
    <row r="302" spans="1:11" x14ac:dyDescent="0.3">
      <c r="A302">
        <v>0</v>
      </c>
      <c r="B302">
        <v>7842779</v>
      </c>
      <c r="C302" s="13">
        <v>40271.822222222225</v>
      </c>
      <c r="D302">
        <v>4639</v>
      </c>
      <c r="E302">
        <v>9.07</v>
      </c>
      <c r="F302" t="s">
        <v>1987</v>
      </c>
      <c r="G302">
        <v>13153</v>
      </c>
      <c r="H302" t="s">
        <v>2014</v>
      </c>
      <c r="I302" t="s">
        <v>2001</v>
      </c>
      <c r="J302" s="8">
        <v>4074</v>
      </c>
      <c r="K302">
        <v>5812</v>
      </c>
    </row>
    <row r="303" spans="1:11" x14ac:dyDescent="0.3">
      <c r="A303">
        <v>0</v>
      </c>
      <c r="B303">
        <v>7843101</v>
      </c>
      <c r="C303" s="13">
        <v>40271.924305555556</v>
      </c>
      <c r="D303">
        <v>4639</v>
      </c>
      <c r="E303">
        <v>54.54</v>
      </c>
      <c r="F303" t="s">
        <v>1987</v>
      </c>
      <c r="G303">
        <v>32164</v>
      </c>
      <c r="H303" t="s">
        <v>2014</v>
      </c>
      <c r="I303" t="s">
        <v>2001</v>
      </c>
      <c r="J303" s="8">
        <v>4074</v>
      </c>
      <c r="K303">
        <v>5813</v>
      </c>
    </row>
    <row r="304" spans="1:11" x14ac:dyDescent="0.3">
      <c r="A304">
        <v>0</v>
      </c>
      <c r="B304">
        <v>7845722</v>
      </c>
      <c r="C304" s="13">
        <v>40272.559027777781</v>
      </c>
      <c r="D304">
        <v>4639</v>
      </c>
      <c r="E304">
        <v>46.69</v>
      </c>
      <c r="F304" t="s">
        <v>1994</v>
      </c>
      <c r="G304">
        <v>9932</v>
      </c>
      <c r="H304" t="s">
        <v>1993</v>
      </c>
      <c r="I304" t="s">
        <v>3719</v>
      </c>
      <c r="J304" s="8" t="s">
        <v>3719</v>
      </c>
      <c r="K304">
        <v>5311</v>
      </c>
    </row>
    <row r="305" spans="1:11" x14ac:dyDescent="0.3">
      <c r="A305">
        <v>0</v>
      </c>
      <c r="B305">
        <v>7849982</v>
      </c>
      <c r="C305" s="13">
        <v>40273.591666666667</v>
      </c>
      <c r="D305">
        <v>4639</v>
      </c>
      <c r="E305">
        <v>396.11</v>
      </c>
      <c r="F305" t="s">
        <v>1987</v>
      </c>
      <c r="G305">
        <v>75034</v>
      </c>
      <c r="H305" t="s">
        <v>2014</v>
      </c>
      <c r="I305" t="s">
        <v>2001</v>
      </c>
      <c r="J305" s="8">
        <v>4074</v>
      </c>
      <c r="K305">
        <v>5045</v>
      </c>
    </row>
    <row r="306" spans="1:11" x14ac:dyDescent="0.3">
      <c r="A306">
        <v>0</v>
      </c>
      <c r="B306">
        <v>7855172</v>
      </c>
      <c r="C306" s="13">
        <v>40274.8125</v>
      </c>
      <c r="D306">
        <v>4639</v>
      </c>
      <c r="E306">
        <v>5.99</v>
      </c>
      <c r="F306" t="s">
        <v>1987</v>
      </c>
      <c r="G306">
        <v>55060</v>
      </c>
      <c r="H306" t="s">
        <v>2014</v>
      </c>
      <c r="I306" t="s">
        <v>2001</v>
      </c>
      <c r="J306" s="8">
        <v>4074</v>
      </c>
      <c r="K306">
        <v>5812</v>
      </c>
    </row>
    <row r="307" spans="1:11" x14ac:dyDescent="0.3">
      <c r="A307">
        <v>0</v>
      </c>
      <c r="B307">
        <v>7855534</v>
      </c>
      <c r="C307" s="13">
        <v>40274.944444444445</v>
      </c>
      <c r="D307">
        <v>4639</v>
      </c>
      <c r="E307">
        <v>231.9</v>
      </c>
      <c r="F307" t="s">
        <v>1987</v>
      </c>
      <c r="G307">
        <v>29219</v>
      </c>
      <c r="H307" t="s">
        <v>2014</v>
      </c>
      <c r="I307" t="s">
        <v>2001</v>
      </c>
      <c r="J307" s="8">
        <v>4074</v>
      </c>
      <c r="K307">
        <v>4900</v>
      </c>
    </row>
    <row r="308" spans="1:11" x14ac:dyDescent="0.3">
      <c r="A308">
        <v>0</v>
      </c>
      <c r="B308">
        <v>7856117</v>
      </c>
      <c r="C308" s="13">
        <v>40275.29791666667</v>
      </c>
      <c r="D308">
        <v>4639</v>
      </c>
      <c r="E308">
        <v>111.38</v>
      </c>
      <c r="F308" t="s">
        <v>1987</v>
      </c>
      <c r="G308">
        <v>28395</v>
      </c>
      <c r="H308" t="s">
        <v>2022</v>
      </c>
      <c r="I308" t="s">
        <v>2001</v>
      </c>
      <c r="J308" s="8">
        <v>4083</v>
      </c>
      <c r="K308">
        <v>5541</v>
      </c>
    </row>
    <row r="309" spans="1:11" x14ac:dyDescent="0.3">
      <c r="A309">
        <v>0</v>
      </c>
      <c r="B309">
        <v>7857895</v>
      </c>
      <c r="C309" s="13">
        <v>40275.55972222222</v>
      </c>
      <c r="D309">
        <v>4639</v>
      </c>
      <c r="E309">
        <v>60.93</v>
      </c>
      <c r="F309" t="s">
        <v>1994</v>
      </c>
      <c r="G309">
        <v>9932</v>
      </c>
      <c r="H309" t="s">
        <v>1993</v>
      </c>
      <c r="I309" t="s">
        <v>3719</v>
      </c>
      <c r="J309" s="8" t="s">
        <v>3719</v>
      </c>
      <c r="K309">
        <v>5311</v>
      </c>
    </row>
    <row r="310" spans="1:11" x14ac:dyDescent="0.3">
      <c r="A310">
        <v>0</v>
      </c>
      <c r="B310">
        <v>7861969</v>
      </c>
      <c r="C310" s="13">
        <v>40276.550000000003</v>
      </c>
      <c r="D310">
        <v>4639</v>
      </c>
      <c r="E310">
        <v>51.53</v>
      </c>
      <c r="F310" t="s">
        <v>1987</v>
      </c>
      <c r="G310">
        <v>60510</v>
      </c>
      <c r="H310" t="s">
        <v>2014</v>
      </c>
      <c r="I310" t="s">
        <v>2001</v>
      </c>
      <c r="J310" s="8">
        <v>4074</v>
      </c>
      <c r="K310">
        <v>5912</v>
      </c>
    </row>
    <row r="311" spans="1:11" x14ac:dyDescent="0.3">
      <c r="A311">
        <v>0</v>
      </c>
      <c r="B311">
        <v>7862124</v>
      </c>
      <c r="C311" s="13">
        <v>40276.572916666664</v>
      </c>
      <c r="D311">
        <v>4639</v>
      </c>
      <c r="E311">
        <v>315.27999999999997</v>
      </c>
      <c r="F311" t="s">
        <v>1987</v>
      </c>
      <c r="G311">
        <v>30286</v>
      </c>
      <c r="H311" t="s">
        <v>2002</v>
      </c>
      <c r="I311" t="s">
        <v>2001</v>
      </c>
      <c r="J311" s="8">
        <v>4104</v>
      </c>
      <c r="K311">
        <v>4814</v>
      </c>
    </row>
    <row r="312" spans="1:11" x14ac:dyDescent="0.3">
      <c r="A312">
        <v>0</v>
      </c>
      <c r="B312">
        <v>7863357</v>
      </c>
      <c r="C312" s="13">
        <v>40276.824305555558</v>
      </c>
      <c r="D312">
        <v>4639</v>
      </c>
      <c r="E312">
        <v>9.26</v>
      </c>
      <c r="F312" t="s">
        <v>1987</v>
      </c>
      <c r="G312">
        <v>98648</v>
      </c>
      <c r="H312" t="s">
        <v>2014</v>
      </c>
      <c r="I312" t="s">
        <v>2001</v>
      </c>
      <c r="J312" s="8">
        <v>4074</v>
      </c>
      <c r="K312">
        <v>5814</v>
      </c>
    </row>
    <row r="313" spans="1:11" x14ac:dyDescent="0.3">
      <c r="A313">
        <v>0</v>
      </c>
      <c r="B313">
        <v>7863675</v>
      </c>
      <c r="C313" s="13">
        <v>40276.927777777775</v>
      </c>
      <c r="D313">
        <v>4639</v>
      </c>
      <c r="E313">
        <v>52.71</v>
      </c>
      <c r="F313" t="s">
        <v>1987</v>
      </c>
      <c r="G313">
        <v>32164</v>
      </c>
      <c r="H313" t="s">
        <v>2014</v>
      </c>
      <c r="I313" t="s">
        <v>2001</v>
      </c>
      <c r="J313" s="8">
        <v>4074</v>
      </c>
      <c r="K313">
        <v>5813</v>
      </c>
    </row>
    <row r="314" spans="1:11" x14ac:dyDescent="0.3">
      <c r="A314">
        <v>0</v>
      </c>
      <c r="B314">
        <v>7863756</v>
      </c>
      <c r="C314" s="13">
        <v>40276.959722222222</v>
      </c>
      <c r="D314">
        <v>4639</v>
      </c>
      <c r="E314">
        <v>53.42</v>
      </c>
      <c r="F314" t="s">
        <v>1987</v>
      </c>
      <c r="G314">
        <v>32164</v>
      </c>
      <c r="H314" t="s">
        <v>2014</v>
      </c>
      <c r="I314" t="s">
        <v>2001</v>
      </c>
      <c r="J314" s="8">
        <v>4074</v>
      </c>
      <c r="K314">
        <v>5813</v>
      </c>
    </row>
    <row r="315" spans="1:11" x14ac:dyDescent="0.3">
      <c r="A315">
        <v>0</v>
      </c>
      <c r="B315">
        <v>7864188</v>
      </c>
      <c r="C315" s="13">
        <v>40277.28402777778</v>
      </c>
      <c r="D315">
        <v>4639</v>
      </c>
      <c r="E315">
        <v>13.3</v>
      </c>
      <c r="F315" t="s">
        <v>1987</v>
      </c>
      <c r="G315">
        <v>98648</v>
      </c>
      <c r="H315" t="s">
        <v>2014</v>
      </c>
      <c r="I315" t="s">
        <v>2001</v>
      </c>
      <c r="J315" s="8">
        <v>4074</v>
      </c>
      <c r="K315">
        <v>5814</v>
      </c>
    </row>
    <row r="316" spans="1:11" x14ac:dyDescent="0.3">
      <c r="A316">
        <v>0</v>
      </c>
      <c r="B316">
        <v>7867405</v>
      </c>
      <c r="C316" s="13">
        <v>40277.918749999997</v>
      </c>
      <c r="D316">
        <v>4639</v>
      </c>
      <c r="E316">
        <v>52.82</v>
      </c>
      <c r="F316" t="s">
        <v>1987</v>
      </c>
      <c r="G316">
        <v>32164</v>
      </c>
      <c r="H316" t="s">
        <v>2014</v>
      </c>
      <c r="I316" t="s">
        <v>2001</v>
      </c>
      <c r="J316" s="8">
        <v>4074</v>
      </c>
      <c r="K316">
        <v>5813</v>
      </c>
    </row>
    <row r="317" spans="1:11" x14ac:dyDescent="0.3">
      <c r="A317">
        <v>0</v>
      </c>
      <c r="B317">
        <v>7869307</v>
      </c>
      <c r="C317" s="13">
        <v>40278.521527777775</v>
      </c>
      <c r="D317">
        <v>4639</v>
      </c>
      <c r="E317">
        <v>-86</v>
      </c>
      <c r="F317" t="s">
        <v>1987</v>
      </c>
      <c r="G317">
        <v>28395</v>
      </c>
      <c r="H317" t="s">
        <v>2022</v>
      </c>
      <c r="I317" t="s">
        <v>2001</v>
      </c>
      <c r="J317" s="8">
        <v>4083</v>
      </c>
      <c r="K317">
        <v>5541</v>
      </c>
    </row>
    <row r="318" spans="1:11" x14ac:dyDescent="0.3">
      <c r="A318">
        <v>0</v>
      </c>
      <c r="B318">
        <v>7869337</v>
      </c>
      <c r="C318" s="13">
        <v>40278.525694444441</v>
      </c>
      <c r="D318">
        <v>4639</v>
      </c>
      <c r="E318">
        <v>66.61</v>
      </c>
      <c r="F318" t="s">
        <v>1987</v>
      </c>
      <c r="G318">
        <v>28395</v>
      </c>
      <c r="H318" t="s">
        <v>2022</v>
      </c>
      <c r="I318" t="s">
        <v>2001</v>
      </c>
      <c r="J318" s="8">
        <v>4083</v>
      </c>
      <c r="K318">
        <v>5541</v>
      </c>
    </row>
    <row r="319" spans="1:11" x14ac:dyDescent="0.3">
      <c r="A319">
        <v>0</v>
      </c>
      <c r="B319">
        <v>7869342</v>
      </c>
      <c r="C319" s="13">
        <v>40278.526388888888</v>
      </c>
      <c r="D319">
        <v>4639</v>
      </c>
      <c r="E319">
        <v>86</v>
      </c>
      <c r="F319" t="s">
        <v>1987</v>
      </c>
      <c r="G319">
        <v>28395</v>
      </c>
      <c r="H319" t="s">
        <v>2022</v>
      </c>
      <c r="I319" t="s">
        <v>2001</v>
      </c>
      <c r="J319" s="8">
        <v>4083</v>
      </c>
      <c r="K319">
        <v>5541</v>
      </c>
    </row>
    <row r="320" spans="1:11" x14ac:dyDescent="0.3">
      <c r="A320">
        <v>0</v>
      </c>
      <c r="B320">
        <v>7869600</v>
      </c>
      <c r="C320" s="13">
        <v>40278.566666666666</v>
      </c>
      <c r="D320">
        <v>4639</v>
      </c>
      <c r="E320">
        <v>2.81</v>
      </c>
      <c r="F320" t="s">
        <v>1987</v>
      </c>
      <c r="G320">
        <v>26593</v>
      </c>
      <c r="H320" t="s">
        <v>2014</v>
      </c>
      <c r="I320" t="s">
        <v>2001</v>
      </c>
      <c r="J320" s="8">
        <v>4074</v>
      </c>
      <c r="K320">
        <v>5300</v>
      </c>
    </row>
    <row r="321" spans="1:12" x14ac:dyDescent="0.3">
      <c r="A321">
        <v>0</v>
      </c>
      <c r="B321">
        <v>7873284</v>
      </c>
      <c r="C321" s="13">
        <v>40279.497916666667</v>
      </c>
      <c r="D321">
        <v>4639</v>
      </c>
      <c r="E321">
        <v>98.19</v>
      </c>
      <c r="F321" t="s">
        <v>1987</v>
      </c>
      <c r="G321">
        <v>57053</v>
      </c>
      <c r="H321" t="s">
        <v>2014</v>
      </c>
      <c r="I321" t="s">
        <v>2001</v>
      </c>
      <c r="J321" s="8">
        <v>4074</v>
      </c>
      <c r="K321">
        <v>7538</v>
      </c>
    </row>
    <row r="322" spans="1:12" x14ac:dyDescent="0.3">
      <c r="A322">
        <v>0</v>
      </c>
      <c r="B322">
        <v>7875017</v>
      </c>
      <c r="C322" s="13">
        <v>40279.818055555559</v>
      </c>
      <c r="D322">
        <v>4639</v>
      </c>
      <c r="E322">
        <v>9.9700000000000006</v>
      </c>
      <c r="F322" t="s">
        <v>1987</v>
      </c>
      <c r="G322">
        <v>13153</v>
      </c>
      <c r="H322" t="s">
        <v>2014</v>
      </c>
      <c r="I322" t="s">
        <v>2001</v>
      </c>
      <c r="J322" s="8">
        <v>4074</v>
      </c>
      <c r="K322">
        <v>5812</v>
      </c>
      <c r="L322" t="s">
        <v>2011</v>
      </c>
    </row>
    <row r="323" spans="1:12" x14ac:dyDescent="0.3">
      <c r="A323">
        <v>0</v>
      </c>
      <c r="B323">
        <v>7877352</v>
      </c>
      <c r="C323" s="13">
        <v>40280.492361111108</v>
      </c>
      <c r="D323">
        <v>4639</v>
      </c>
      <c r="E323">
        <v>67.75</v>
      </c>
      <c r="F323" t="s">
        <v>1987</v>
      </c>
      <c r="G323">
        <v>57053</v>
      </c>
      <c r="H323" t="s">
        <v>2014</v>
      </c>
      <c r="I323" t="s">
        <v>2001</v>
      </c>
      <c r="J323" s="8">
        <v>4074</v>
      </c>
      <c r="K323">
        <v>7538</v>
      </c>
    </row>
    <row r="324" spans="1:12" x14ac:dyDescent="0.3">
      <c r="A324">
        <v>0</v>
      </c>
      <c r="B324">
        <v>7879057</v>
      </c>
      <c r="C324" s="13">
        <v>40280.78402777778</v>
      </c>
      <c r="D324">
        <v>4639</v>
      </c>
      <c r="E324">
        <v>4.7300000000000004</v>
      </c>
      <c r="F324" t="s">
        <v>1987</v>
      </c>
      <c r="G324">
        <v>98648</v>
      </c>
      <c r="H324" t="s">
        <v>2014</v>
      </c>
      <c r="I324" t="s">
        <v>2001</v>
      </c>
      <c r="J324" s="8">
        <v>4074</v>
      </c>
      <c r="K324">
        <v>5814</v>
      </c>
    </row>
    <row r="325" spans="1:12" x14ac:dyDescent="0.3">
      <c r="A325">
        <v>0</v>
      </c>
      <c r="B325">
        <v>7883254</v>
      </c>
      <c r="C325" s="13">
        <v>40281.822916666664</v>
      </c>
      <c r="D325">
        <v>4639</v>
      </c>
      <c r="E325">
        <v>9.09</v>
      </c>
      <c r="F325" t="s">
        <v>1987</v>
      </c>
      <c r="G325">
        <v>13153</v>
      </c>
      <c r="H325" t="s">
        <v>2014</v>
      </c>
      <c r="I325" t="s">
        <v>2001</v>
      </c>
      <c r="J325" s="8">
        <v>4074</v>
      </c>
      <c r="K325">
        <v>5812</v>
      </c>
    </row>
    <row r="326" spans="1:12" x14ac:dyDescent="0.3">
      <c r="A326">
        <v>0</v>
      </c>
      <c r="B326">
        <v>7883565</v>
      </c>
      <c r="C326" s="13">
        <v>40281.924305555556</v>
      </c>
      <c r="D326">
        <v>4639</v>
      </c>
      <c r="E326">
        <v>58.17</v>
      </c>
      <c r="F326" t="s">
        <v>1987</v>
      </c>
      <c r="G326">
        <v>32164</v>
      </c>
      <c r="H326" t="s">
        <v>2014</v>
      </c>
      <c r="I326" t="s">
        <v>2001</v>
      </c>
      <c r="J326" s="8">
        <v>4074</v>
      </c>
      <c r="K326">
        <v>5813</v>
      </c>
    </row>
    <row r="327" spans="1:12" x14ac:dyDescent="0.3">
      <c r="A327">
        <v>0</v>
      </c>
      <c r="B327">
        <v>7886276</v>
      </c>
      <c r="C327" s="13">
        <v>40282.593055555553</v>
      </c>
      <c r="D327">
        <v>4639</v>
      </c>
      <c r="E327">
        <v>383.13</v>
      </c>
      <c r="F327" t="s">
        <v>1987</v>
      </c>
      <c r="G327">
        <v>30286</v>
      </c>
      <c r="H327" t="s">
        <v>2002</v>
      </c>
      <c r="I327" t="s">
        <v>2001</v>
      </c>
      <c r="J327" s="8">
        <v>4104</v>
      </c>
      <c r="K327">
        <v>4814</v>
      </c>
    </row>
    <row r="328" spans="1:12" x14ac:dyDescent="0.3">
      <c r="A328">
        <v>0</v>
      </c>
      <c r="B328">
        <v>7887771</v>
      </c>
      <c r="C328" s="13">
        <v>40282.975694444445</v>
      </c>
      <c r="D328">
        <v>4639</v>
      </c>
      <c r="E328">
        <v>63.21</v>
      </c>
      <c r="F328" t="s">
        <v>1987</v>
      </c>
      <c r="G328">
        <v>32164</v>
      </c>
      <c r="H328" t="s">
        <v>2014</v>
      </c>
      <c r="I328" t="s">
        <v>2001</v>
      </c>
      <c r="J328" s="8">
        <v>4074</v>
      </c>
      <c r="K328">
        <v>5813</v>
      </c>
    </row>
    <row r="329" spans="1:12" x14ac:dyDescent="0.3">
      <c r="A329">
        <v>0</v>
      </c>
      <c r="B329">
        <v>7889926</v>
      </c>
      <c r="C329" s="13">
        <v>40283.536805555559</v>
      </c>
      <c r="D329">
        <v>4639</v>
      </c>
      <c r="E329">
        <v>-69</v>
      </c>
      <c r="F329" t="s">
        <v>1987</v>
      </c>
      <c r="G329">
        <v>43293</v>
      </c>
      <c r="H329" t="s">
        <v>2014</v>
      </c>
      <c r="I329" t="s">
        <v>2001</v>
      </c>
      <c r="J329" s="8">
        <v>4074</v>
      </c>
      <c r="K329">
        <v>5499</v>
      </c>
    </row>
    <row r="330" spans="1:12" x14ac:dyDescent="0.3">
      <c r="A330">
        <v>0</v>
      </c>
      <c r="B330">
        <v>7889935</v>
      </c>
      <c r="C330" s="13">
        <v>40283.537499999999</v>
      </c>
      <c r="D330">
        <v>4639</v>
      </c>
      <c r="E330">
        <v>69</v>
      </c>
      <c r="F330" t="s">
        <v>1987</v>
      </c>
      <c r="G330">
        <v>43293</v>
      </c>
      <c r="H330" t="s">
        <v>2014</v>
      </c>
      <c r="I330" t="s">
        <v>2001</v>
      </c>
      <c r="J330" s="8">
        <v>4074</v>
      </c>
      <c r="K330">
        <v>5499</v>
      </c>
    </row>
    <row r="331" spans="1:12" x14ac:dyDescent="0.3">
      <c r="A331">
        <v>0</v>
      </c>
      <c r="B331">
        <v>7889938</v>
      </c>
      <c r="C331" s="13">
        <v>40283.538194444445</v>
      </c>
      <c r="D331">
        <v>4639</v>
      </c>
      <c r="E331">
        <v>82.07</v>
      </c>
      <c r="F331" t="s">
        <v>1987</v>
      </c>
      <c r="G331">
        <v>43293</v>
      </c>
      <c r="H331" t="s">
        <v>2014</v>
      </c>
      <c r="I331" t="s">
        <v>2001</v>
      </c>
      <c r="J331" s="8">
        <v>4074</v>
      </c>
      <c r="K331">
        <v>5499</v>
      </c>
    </row>
    <row r="332" spans="1:12" x14ac:dyDescent="0.3">
      <c r="A332">
        <v>0</v>
      </c>
      <c r="B332">
        <v>7889964</v>
      </c>
      <c r="C332" s="13">
        <v>40283.542361111111</v>
      </c>
      <c r="D332">
        <v>4639</v>
      </c>
      <c r="E332">
        <v>47.21</v>
      </c>
      <c r="F332" t="s">
        <v>1987</v>
      </c>
      <c r="G332">
        <v>20519</v>
      </c>
      <c r="H332" t="s">
        <v>2002</v>
      </c>
      <c r="I332" t="s">
        <v>2001</v>
      </c>
      <c r="J332" s="8">
        <v>4101</v>
      </c>
      <c r="K332">
        <v>5942</v>
      </c>
    </row>
    <row r="333" spans="1:12" x14ac:dyDescent="0.3">
      <c r="A333">
        <v>0</v>
      </c>
      <c r="B333">
        <v>7891292</v>
      </c>
      <c r="C333" s="13">
        <v>40283.78125</v>
      </c>
      <c r="D333">
        <v>4639</v>
      </c>
      <c r="E333">
        <v>5.65</v>
      </c>
      <c r="F333" t="s">
        <v>1987</v>
      </c>
      <c r="G333">
        <v>55060</v>
      </c>
      <c r="H333" t="s">
        <v>2014</v>
      </c>
      <c r="I333" t="s">
        <v>2001</v>
      </c>
      <c r="J333" s="8">
        <v>4074</v>
      </c>
      <c r="K333">
        <v>5812</v>
      </c>
    </row>
    <row r="334" spans="1:12" x14ac:dyDescent="0.3">
      <c r="A334">
        <v>0</v>
      </c>
      <c r="B334">
        <v>7893716</v>
      </c>
      <c r="C334" s="13">
        <v>40284.555555555555</v>
      </c>
      <c r="D334">
        <v>4639</v>
      </c>
      <c r="E334">
        <v>27.1</v>
      </c>
      <c r="F334" t="s">
        <v>1987</v>
      </c>
      <c r="G334">
        <v>26909</v>
      </c>
      <c r="H334" t="s">
        <v>2026</v>
      </c>
      <c r="I334" t="s">
        <v>2001</v>
      </c>
      <c r="J334" s="8">
        <v>4084</v>
      </c>
      <c r="K334">
        <v>5211</v>
      </c>
    </row>
    <row r="335" spans="1:12" x14ac:dyDescent="0.3">
      <c r="A335">
        <v>0</v>
      </c>
      <c r="B335">
        <v>7895020</v>
      </c>
      <c r="C335" s="13">
        <v>40284.826388888891</v>
      </c>
      <c r="D335">
        <v>4639</v>
      </c>
      <c r="E335">
        <v>11.35</v>
      </c>
      <c r="F335" t="s">
        <v>1987</v>
      </c>
      <c r="G335">
        <v>13153</v>
      </c>
      <c r="H335" t="s">
        <v>2014</v>
      </c>
      <c r="I335" t="s">
        <v>2001</v>
      </c>
      <c r="J335" s="8">
        <v>4074</v>
      </c>
      <c r="K335">
        <v>5812</v>
      </c>
    </row>
    <row r="336" spans="1:12" x14ac:dyDescent="0.3">
      <c r="A336">
        <v>0</v>
      </c>
      <c r="B336">
        <v>7896877</v>
      </c>
      <c r="C336" s="13">
        <v>40285.477777777778</v>
      </c>
      <c r="D336">
        <v>4639</v>
      </c>
      <c r="E336">
        <v>73.459999999999994</v>
      </c>
      <c r="F336" t="s">
        <v>1987</v>
      </c>
      <c r="G336">
        <v>61738</v>
      </c>
      <c r="H336" t="s">
        <v>2003</v>
      </c>
      <c r="I336" t="s">
        <v>1991</v>
      </c>
      <c r="J336" s="8">
        <v>11207</v>
      </c>
      <c r="K336">
        <v>5094</v>
      </c>
    </row>
    <row r="337" spans="1:11" x14ac:dyDescent="0.3">
      <c r="A337">
        <v>0</v>
      </c>
      <c r="B337">
        <v>7897365</v>
      </c>
      <c r="C337" s="13">
        <v>40285.554861111108</v>
      </c>
      <c r="D337">
        <v>4639</v>
      </c>
      <c r="E337">
        <v>40.74</v>
      </c>
      <c r="F337" t="s">
        <v>1987</v>
      </c>
      <c r="G337">
        <v>43925</v>
      </c>
      <c r="H337" t="s">
        <v>2014</v>
      </c>
      <c r="I337" t="s">
        <v>2001</v>
      </c>
      <c r="J337" s="8">
        <v>4074</v>
      </c>
      <c r="K337">
        <v>5411</v>
      </c>
    </row>
    <row r="338" spans="1:11" x14ac:dyDescent="0.3">
      <c r="A338">
        <v>0</v>
      </c>
      <c r="B338">
        <v>7897737</v>
      </c>
      <c r="C338" s="13">
        <v>40285.616666666669</v>
      </c>
      <c r="D338">
        <v>4639</v>
      </c>
      <c r="E338">
        <v>27.11</v>
      </c>
      <c r="F338" t="s">
        <v>1994</v>
      </c>
      <c r="G338">
        <v>18563</v>
      </c>
      <c r="H338" t="s">
        <v>1993</v>
      </c>
      <c r="I338" t="s">
        <v>3719</v>
      </c>
      <c r="J338" s="8" t="s">
        <v>3719</v>
      </c>
      <c r="K338">
        <v>4121</v>
      </c>
    </row>
    <row r="339" spans="1:11" x14ac:dyDescent="0.3">
      <c r="A339">
        <v>0</v>
      </c>
      <c r="B339">
        <v>7899166</v>
      </c>
      <c r="C339" s="13">
        <v>40285.956944444442</v>
      </c>
      <c r="D339">
        <v>4639</v>
      </c>
      <c r="E339">
        <v>52.72</v>
      </c>
      <c r="F339" t="s">
        <v>1987</v>
      </c>
      <c r="G339">
        <v>32164</v>
      </c>
      <c r="H339" t="s">
        <v>2014</v>
      </c>
      <c r="I339" t="s">
        <v>2001</v>
      </c>
      <c r="J339" s="8">
        <v>4074</v>
      </c>
      <c r="K339">
        <v>5813</v>
      </c>
    </row>
    <row r="340" spans="1:11" x14ac:dyDescent="0.3">
      <c r="A340">
        <v>0</v>
      </c>
      <c r="B340">
        <v>7901057</v>
      </c>
      <c r="C340" s="13">
        <v>40286.48333333333</v>
      </c>
      <c r="D340">
        <v>4639</v>
      </c>
      <c r="E340">
        <v>95.73</v>
      </c>
      <c r="F340" t="s">
        <v>1987</v>
      </c>
      <c r="G340">
        <v>32175</v>
      </c>
      <c r="H340" t="s">
        <v>2002</v>
      </c>
      <c r="I340" t="s">
        <v>2001</v>
      </c>
      <c r="J340" s="8">
        <v>4103</v>
      </c>
      <c r="K340">
        <v>7538</v>
      </c>
    </row>
    <row r="341" spans="1:11" x14ac:dyDescent="0.3">
      <c r="A341">
        <v>0</v>
      </c>
      <c r="B341">
        <v>7901403</v>
      </c>
      <c r="C341" s="13">
        <v>40286.52847222222</v>
      </c>
      <c r="D341">
        <v>4639</v>
      </c>
      <c r="E341">
        <v>38.590000000000003</v>
      </c>
      <c r="F341" t="s">
        <v>1987</v>
      </c>
      <c r="G341">
        <v>48919</v>
      </c>
      <c r="H341" t="s">
        <v>2022</v>
      </c>
      <c r="I341" t="s">
        <v>2001</v>
      </c>
      <c r="J341" s="8">
        <v>4083</v>
      </c>
      <c r="K341">
        <v>5311</v>
      </c>
    </row>
    <row r="342" spans="1:11" x14ac:dyDescent="0.3">
      <c r="A342">
        <v>0</v>
      </c>
      <c r="B342">
        <v>7901995</v>
      </c>
      <c r="C342" s="13">
        <v>40286.613194444442</v>
      </c>
      <c r="D342">
        <v>4639</v>
      </c>
      <c r="E342">
        <v>4.91</v>
      </c>
      <c r="F342" t="s">
        <v>1987</v>
      </c>
      <c r="G342">
        <v>41527</v>
      </c>
      <c r="H342" t="s">
        <v>2014</v>
      </c>
      <c r="I342" t="s">
        <v>2001</v>
      </c>
      <c r="J342" s="8">
        <v>4074</v>
      </c>
      <c r="K342">
        <v>5310</v>
      </c>
    </row>
    <row r="343" spans="1:11" x14ac:dyDescent="0.3">
      <c r="A343">
        <v>0</v>
      </c>
      <c r="B343">
        <v>7902998</v>
      </c>
      <c r="C343" s="13">
        <v>40286.813888888886</v>
      </c>
      <c r="D343">
        <v>4639</v>
      </c>
      <c r="E343">
        <v>8.5</v>
      </c>
      <c r="F343" t="s">
        <v>1987</v>
      </c>
      <c r="G343">
        <v>13153</v>
      </c>
      <c r="H343" t="s">
        <v>2014</v>
      </c>
      <c r="I343" t="s">
        <v>2001</v>
      </c>
      <c r="J343" s="8">
        <v>4074</v>
      </c>
      <c r="K343">
        <v>5812</v>
      </c>
    </row>
    <row r="344" spans="1:11" x14ac:dyDescent="0.3">
      <c r="A344">
        <v>0</v>
      </c>
      <c r="B344">
        <v>7903105</v>
      </c>
      <c r="C344" s="13">
        <v>40286.852083333331</v>
      </c>
      <c r="D344">
        <v>4639</v>
      </c>
      <c r="E344">
        <v>8.09</v>
      </c>
      <c r="F344" t="s">
        <v>1987</v>
      </c>
      <c r="G344">
        <v>55060</v>
      </c>
      <c r="H344" t="s">
        <v>2014</v>
      </c>
      <c r="I344" t="s">
        <v>2001</v>
      </c>
      <c r="J344" s="8">
        <v>4074</v>
      </c>
      <c r="K344">
        <v>5812</v>
      </c>
    </row>
    <row r="345" spans="1:11" x14ac:dyDescent="0.3">
      <c r="A345">
        <v>0</v>
      </c>
      <c r="B345">
        <v>7905994</v>
      </c>
      <c r="C345" s="13">
        <v>40287.597222222219</v>
      </c>
      <c r="D345">
        <v>4639</v>
      </c>
      <c r="E345">
        <v>265.49</v>
      </c>
      <c r="F345" t="s">
        <v>1994</v>
      </c>
      <c r="G345">
        <v>86286</v>
      </c>
      <c r="H345" t="s">
        <v>1993</v>
      </c>
      <c r="I345" t="s">
        <v>3719</v>
      </c>
      <c r="J345" s="8" t="s">
        <v>3719</v>
      </c>
      <c r="K345">
        <v>5732</v>
      </c>
    </row>
    <row r="346" spans="1:11" x14ac:dyDescent="0.3">
      <c r="A346">
        <v>0</v>
      </c>
      <c r="B346">
        <v>7907051</v>
      </c>
      <c r="C346" s="13">
        <v>40287.820138888892</v>
      </c>
      <c r="D346">
        <v>4639</v>
      </c>
      <c r="E346">
        <v>10.15</v>
      </c>
      <c r="F346" t="s">
        <v>1987</v>
      </c>
      <c r="G346">
        <v>13153</v>
      </c>
      <c r="H346" t="s">
        <v>2014</v>
      </c>
      <c r="I346" t="s">
        <v>2001</v>
      </c>
      <c r="J346" s="8">
        <v>4074</v>
      </c>
      <c r="K346">
        <v>5812</v>
      </c>
    </row>
    <row r="347" spans="1:11" x14ac:dyDescent="0.3">
      <c r="A347">
        <v>0</v>
      </c>
      <c r="B347">
        <v>7909404</v>
      </c>
      <c r="C347" s="13">
        <v>40288.495833333334</v>
      </c>
      <c r="D347">
        <v>4639</v>
      </c>
      <c r="E347">
        <v>87.24</v>
      </c>
      <c r="F347" t="s">
        <v>1987</v>
      </c>
      <c r="G347">
        <v>57053</v>
      </c>
      <c r="H347" t="s">
        <v>2014</v>
      </c>
      <c r="I347" t="s">
        <v>2001</v>
      </c>
      <c r="J347" s="8">
        <v>4074</v>
      </c>
      <c r="K347">
        <v>7538</v>
      </c>
    </row>
    <row r="348" spans="1:11" x14ac:dyDescent="0.3">
      <c r="A348">
        <v>0</v>
      </c>
      <c r="B348">
        <v>7911243</v>
      </c>
      <c r="C348" s="13">
        <v>40288.822222222225</v>
      </c>
      <c r="D348">
        <v>4639</v>
      </c>
      <c r="E348">
        <v>8.42</v>
      </c>
      <c r="F348" t="s">
        <v>1987</v>
      </c>
      <c r="G348">
        <v>13153</v>
      </c>
      <c r="H348" t="s">
        <v>2014</v>
      </c>
      <c r="I348" t="s">
        <v>2001</v>
      </c>
      <c r="J348" s="8">
        <v>4074</v>
      </c>
      <c r="K348">
        <v>5812</v>
      </c>
    </row>
    <row r="349" spans="1:11" x14ac:dyDescent="0.3">
      <c r="A349">
        <v>0</v>
      </c>
      <c r="B349">
        <v>7911332</v>
      </c>
      <c r="C349" s="13">
        <v>40288.852083333331</v>
      </c>
      <c r="D349">
        <v>4639</v>
      </c>
      <c r="E349">
        <v>6.13</v>
      </c>
      <c r="F349" t="s">
        <v>1987</v>
      </c>
      <c r="G349">
        <v>55060</v>
      </c>
      <c r="H349" t="s">
        <v>2014</v>
      </c>
      <c r="I349" t="s">
        <v>2001</v>
      </c>
      <c r="J349" s="8">
        <v>4074</v>
      </c>
      <c r="K349">
        <v>5812</v>
      </c>
    </row>
    <row r="350" spans="1:11" x14ac:dyDescent="0.3">
      <c r="A350">
        <v>0</v>
      </c>
      <c r="B350">
        <v>7915564</v>
      </c>
      <c r="C350" s="13">
        <v>40289.845138888886</v>
      </c>
      <c r="D350">
        <v>4639</v>
      </c>
      <c r="E350">
        <v>7.92</v>
      </c>
      <c r="F350" t="s">
        <v>1987</v>
      </c>
      <c r="G350">
        <v>98648</v>
      </c>
      <c r="H350" t="s">
        <v>2014</v>
      </c>
      <c r="I350" t="s">
        <v>2001</v>
      </c>
      <c r="J350" s="8">
        <v>4074</v>
      </c>
      <c r="K350">
        <v>5814</v>
      </c>
    </row>
    <row r="351" spans="1:11" x14ac:dyDescent="0.3">
      <c r="A351">
        <v>0</v>
      </c>
      <c r="B351">
        <v>7916244</v>
      </c>
      <c r="C351" s="13">
        <v>40290.263194444444</v>
      </c>
      <c r="D351">
        <v>4639</v>
      </c>
      <c r="E351">
        <v>115.21</v>
      </c>
      <c r="F351" t="s">
        <v>1987</v>
      </c>
      <c r="G351">
        <v>60569</v>
      </c>
      <c r="H351" t="s">
        <v>2017</v>
      </c>
      <c r="I351" t="s">
        <v>2001</v>
      </c>
      <c r="J351" s="8">
        <v>4240</v>
      </c>
      <c r="K351">
        <v>5300</v>
      </c>
    </row>
    <row r="352" spans="1:11" x14ac:dyDescent="0.3">
      <c r="A352">
        <v>0</v>
      </c>
      <c r="B352">
        <v>7918020</v>
      </c>
      <c r="C352" s="13">
        <v>40290.527083333334</v>
      </c>
      <c r="D352">
        <v>4639</v>
      </c>
      <c r="E352">
        <v>84.21</v>
      </c>
      <c r="F352" t="s">
        <v>1987</v>
      </c>
      <c r="G352">
        <v>28395</v>
      </c>
      <c r="H352" t="s">
        <v>2022</v>
      </c>
      <c r="I352" t="s">
        <v>2001</v>
      </c>
      <c r="J352" s="8">
        <v>4083</v>
      </c>
      <c r="K352">
        <v>5541</v>
      </c>
    </row>
    <row r="353" spans="1:11" x14ac:dyDescent="0.3">
      <c r="A353">
        <v>0</v>
      </c>
      <c r="B353">
        <v>7918084</v>
      </c>
      <c r="C353" s="13">
        <v>40290.536111111112</v>
      </c>
      <c r="D353">
        <v>4639</v>
      </c>
      <c r="E353">
        <v>80</v>
      </c>
      <c r="F353" t="s">
        <v>1987</v>
      </c>
      <c r="G353">
        <v>28395</v>
      </c>
      <c r="H353" t="s">
        <v>2022</v>
      </c>
      <c r="I353" t="s">
        <v>2001</v>
      </c>
      <c r="J353" s="8">
        <v>4083</v>
      </c>
      <c r="K353">
        <v>5541</v>
      </c>
    </row>
    <row r="354" spans="1:11" x14ac:dyDescent="0.3">
      <c r="A354">
        <v>0</v>
      </c>
      <c r="B354">
        <v>7918099</v>
      </c>
      <c r="C354" s="13">
        <v>40290.538194444445</v>
      </c>
      <c r="D354">
        <v>4639</v>
      </c>
      <c r="E354">
        <v>-80</v>
      </c>
      <c r="F354" t="s">
        <v>1987</v>
      </c>
      <c r="G354">
        <v>28395</v>
      </c>
      <c r="H354" t="s">
        <v>2022</v>
      </c>
      <c r="I354" t="s">
        <v>2001</v>
      </c>
      <c r="J354" s="8">
        <v>4083</v>
      </c>
      <c r="K354">
        <v>5541</v>
      </c>
    </row>
    <row r="355" spans="1:11" x14ac:dyDescent="0.3">
      <c r="A355">
        <v>0</v>
      </c>
      <c r="B355">
        <v>7918142</v>
      </c>
      <c r="C355" s="13">
        <v>40290.545138888891</v>
      </c>
      <c r="D355">
        <v>4639</v>
      </c>
      <c r="E355">
        <v>44.8</v>
      </c>
      <c r="F355" t="s">
        <v>1987</v>
      </c>
      <c r="G355">
        <v>90865</v>
      </c>
      <c r="H355" t="s">
        <v>2025</v>
      </c>
      <c r="I355" t="s">
        <v>2001</v>
      </c>
      <c r="J355" s="8">
        <v>4254</v>
      </c>
      <c r="K355">
        <v>5311</v>
      </c>
    </row>
    <row r="356" spans="1:11" x14ac:dyDescent="0.3">
      <c r="A356">
        <v>0</v>
      </c>
      <c r="B356">
        <v>7918327</v>
      </c>
      <c r="C356" s="13">
        <v>40290.570833333331</v>
      </c>
      <c r="D356">
        <v>4639</v>
      </c>
      <c r="E356">
        <v>2.5499999999999998</v>
      </c>
      <c r="F356" t="s">
        <v>1987</v>
      </c>
      <c r="G356">
        <v>26593</v>
      </c>
      <c r="H356" t="s">
        <v>2014</v>
      </c>
      <c r="I356" t="s">
        <v>2001</v>
      </c>
      <c r="J356" s="8">
        <v>4074</v>
      </c>
      <c r="K356">
        <v>5300</v>
      </c>
    </row>
    <row r="357" spans="1:11" x14ac:dyDescent="0.3">
      <c r="A357">
        <v>0</v>
      </c>
      <c r="B357">
        <v>7918869</v>
      </c>
      <c r="C357" s="13">
        <v>40290.652777777781</v>
      </c>
      <c r="D357">
        <v>4639</v>
      </c>
      <c r="E357">
        <v>47.58</v>
      </c>
      <c r="F357" t="s">
        <v>1987</v>
      </c>
      <c r="G357">
        <v>32635</v>
      </c>
      <c r="H357" t="s">
        <v>2014</v>
      </c>
      <c r="I357" t="s">
        <v>2001</v>
      </c>
      <c r="J357" s="8">
        <v>4074</v>
      </c>
      <c r="K357">
        <v>7230</v>
      </c>
    </row>
    <row r="358" spans="1:11" x14ac:dyDescent="0.3">
      <c r="A358">
        <v>0</v>
      </c>
      <c r="B358">
        <v>7923654</v>
      </c>
      <c r="C358" s="13">
        <v>40291.932638888888</v>
      </c>
      <c r="D358">
        <v>4639</v>
      </c>
      <c r="E358">
        <v>78.239999999999995</v>
      </c>
      <c r="F358" t="s">
        <v>1987</v>
      </c>
      <c r="G358">
        <v>32164</v>
      </c>
      <c r="H358" t="s">
        <v>2014</v>
      </c>
      <c r="I358" t="s">
        <v>2001</v>
      </c>
      <c r="J358" s="8">
        <v>4074</v>
      </c>
      <c r="K358">
        <v>5813</v>
      </c>
    </row>
    <row r="359" spans="1:11" x14ac:dyDescent="0.3">
      <c r="A359">
        <v>0</v>
      </c>
      <c r="B359">
        <v>7929591</v>
      </c>
      <c r="C359" s="13">
        <v>40293.504166666666</v>
      </c>
      <c r="D359">
        <v>4639</v>
      </c>
      <c r="E359">
        <v>86.63</v>
      </c>
      <c r="F359" t="s">
        <v>1987</v>
      </c>
      <c r="G359">
        <v>24823</v>
      </c>
      <c r="H359" t="s">
        <v>2014</v>
      </c>
      <c r="I359" t="s">
        <v>2001</v>
      </c>
      <c r="J359" s="8">
        <v>4074</v>
      </c>
      <c r="K359">
        <v>7538</v>
      </c>
    </row>
    <row r="360" spans="1:11" x14ac:dyDescent="0.3">
      <c r="A360">
        <v>0</v>
      </c>
      <c r="B360">
        <v>7929773</v>
      </c>
      <c r="C360" s="13">
        <v>40293.532638888886</v>
      </c>
      <c r="D360">
        <v>4639</v>
      </c>
      <c r="E360">
        <v>45.91</v>
      </c>
      <c r="F360" t="s">
        <v>1987</v>
      </c>
      <c r="G360">
        <v>50783</v>
      </c>
      <c r="H360" t="s">
        <v>2023</v>
      </c>
      <c r="I360" t="s">
        <v>2001</v>
      </c>
      <c r="J360" s="8">
        <v>4085</v>
      </c>
      <c r="K360">
        <v>5411</v>
      </c>
    </row>
    <row r="361" spans="1:11" x14ac:dyDescent="0.3">
      <c r="A361">
        <v>0</v>
      </c>
      <c r="B361">
        <v>7931649</v>
      </c>
      <c r="C361" s="13">
        <v>40293.947222222225</v>
      </c>
      <c r="D361">
        <v>4639</v>
      </c>
      <c r="E361">
        <v>201.62</v>
      </c>
      <c r="F361" t="s">
        <v>1987</v>
      </c>
      <c r="G361">
        <v>29219</v>
      </c>
      <c r="H361" t="s">
        <v>2014</v>
      </c>
      <c r="I361" t="s">
        <v>2001</v>
      </c>
      <c r="J361" s="8">
        <v>4074</v>
      </c>
      <c r="K361">
        <v>4900</v>
      </c>
    </row>
    <row r="362" spans="1:11" x14ac:dyDescent="0.3">
      <c r="A362">
        <v>0</v>
      </c>
      <c r="B362">
        <v>7931805</v>
      </c>
      <c r="C362" s="13">
        <v>40294.091666666667</v>
      </c>
      <c r="D362">
        <v>4639</v>
      </c>
      <c r="E362">
        <v>100.24</v>
      </c>
      <c r="F362" t="s">
        <v>1994</v>
      </c>
      <c r="G362">
        <v>73186</v>
      </c>
      <c r="H362" t="s">
        <v>1993</v>
      </c>
      <c r="I362" t="s">
        <v>3719</v>
      </c>
      <c r="J362" s="8" t="s">
        <v>3719</v>
      </c>
      <c r="K362">
        <v>4814</v>
      </c>
    </row>
    <row r="363" spans="1:11" x14ac:dyDescent="0.3">
      <c r="A363">
        <v>0</v>
      </c>
      <c r="B363">
        <v>7932621</v>
      </c>
      <c r="C363" s="13">
        <v>40294.35833333333</v>
      </c>
      <c r="D363">
        <v>4639</v>
      </c>
      <c r="E363">
        <v>57.58</v>
      </c>
      <c r="F363" t="s">
        <v>1994</v>
      </c>
      <c r="G363">
        <v>23329</v>
      </c>
      <c r="H363" t="s">
        <v>1993</v>
      </c>
      <c r="I363" t="s">
        <v>3719</v>
      </c>
      <c r="J363" s="8" t="s">
        <v>3719</v>
      </c>
      <c r="K363">
        <v>5193</v>
      </c>
    </row>
    <row r="364" spans="1:11" x14ac:dyDescent="0.3">
      <c r="A364">
        <v>0</v>
      </c>
      <c r="B364">
        <v>7933490</v>
      </c>
      <c r="C364" s="13">
        <v>40294.480555555558</v>
      </c>
      <c r="D364">
        <v>4639</v>
      </c>
      <c r="E364">
        <v>49.59</v>
      </c>
      <c r="F364" t="s">
        <v>1987</v>
      </c>
      <c r="G364">
        <v>24823</v>
      </c>
      <c r="H364" t="s">
        <v>2014</v>
      </c>
      <c r="I364" t="s">
        <v>2001</v>
      </c>
      <c r="J364" s="8">
        <v>4074</v>
      </c>
      <c r="K364">
        <v>7538</v>
      </c>
    </row>
    <row r="365" spans="1:11" x14ac:dyDescent="0.3">
      <c r="A365">
        <v>0</v>
      </c>
      <c r="B365">
        <v>7935313</v>
      </c>
      <c r="C365" s="13">
        <v>40294.8125</v>
      </c>
      <c r="D365">
        <v>4639</v>
      </c>
      <c r="E365">
        <v>7.49</v>
      </c>
      <c r="F365" t="s">
        <v>1987</v>
      </c>
      <c r="G365">
        <v>98648</v>
      </c>
      <c r="H365" t="s">
        <v>2014</v>
      </c>
      <c r="I365" t="s">
        <v>2001</v>
      </c>
      <c r="J365" s="8">
        <v>4074</v>
      </c>
      <c r="K365">
        <v>5814</v>
      </c>
    </row>
    <row r="366" spans="1:11" x14ac:dyDescent="0.3">
      <c r="A366">
        <v>0</v>
      </c>
      <c r="B366">
        <v>7938188</v>
      </c>
      <c r="C366" s="13">
        <v>40295.59375</v>
      </c>
      <c r="D366">
        <v>4639</v>
      </c>
      <c r="E366">
        <v>22.37</v>
      </c>
      <c r="F366" t="s">
        <v>1994</v>
      </c>
      <c r="G366">
        <v>18563</v>
      </c>
      <c r="H366" t="s">
        <v>1993</v>
      </c>
      <c r="I366" t="s">
        <v>3719</v>
      </c>
      <c r="J366" s="8" t="s">
        <v>3719</v>
      </c>
      <c r="K366">
        <v>4121</v>
      </c>
    </row>
    <row r="367" spans="1:11" x14ac:dyDescent="0.3">
      <c r="A367">
        <v>0</v>
      </c>
      <c r="B367">
        <v>7938677</v>
      </c>
      <c r="C367" s="13">
        <v>40295.67083333333</v>
      </c>
      <c r="D367">
        <v>4639</v>
      </c>
      <c r="E367">
        <v>149.87</v>
      </c>
      <c r="F367" t="s">
        <v>1987</v>
      </c>
      <c r="G367">
        <v>29219</v>
      </c>
      <c r="H367" t="s">
        <v>2014</v>
      </c>
      <c r="I367" t="s">
        <v>2001</v>
      </c>
      <c r="J367" s="8">
        <v>4074</v>
      </c>
      <c r="K367">
        <v>4900</v>
      </c>
    </row>
    <row r="368" spans="1:11" x14ac:dyDescent="0.3">
      <c r="A368">
        <v>0</v>
      </c>
      <c r="B368">
        <v>7942044</v>
      </c>
      <c r="C368" s="13">
        <v>40296.543749999997</v>
      </c>
      <c r="D368">
        <v>4639</v>
      </c>
      <c r="E368">
        <v>47.93</v>
      </c>
      <c r="F368" t="s">
        <v>1987</v>
      </c>
      <c r="G368">
        <v>69956</v>
      </c>
      <c r="H368" t="s">
        <v>2022</v>
      </c>
      <c r="I368" t="s">
        <v>2001</v>
      </c>
      <c r="J368" s="8">
        <v>4083</v>
      </c>
      <c r="K368">
        <v>5310</v>
      </c>
    </row>
    <row r="369" spans="1:11" x14ac:dyDescent="0.3">
      <c r="A369">
        <v>0</v>
      </c>
      <c r="B369">
        <v>7942354</v>
      </c>
      <c r="C369" s="13">
        <v>40296.586805555555</v>
      </c>
      <c r="D369">
        <v>4639</v>
      </c>
      <c r="E369">
        <v>336.64</v>
      </c>
      <c r="F369" t="s">
        <v>1987</v>
      </c>
      <c r="G369">
        <v>32858</v>
      </c>
      <c r="H369" t="s">
        <v>2012</v>
      </c>
      <c r="I369" t="s">
        <v>2000</v>
      </c>
      <c r="J369" s="8">
        <v>5401</v>
      </c>
      <c r="K369">
        <v>5311</v>
      </c>
    </row>
    <row r="370" spans="1:11" x14ac:dyDescent="0.3">
      <c r="A370">
        <v>0</v>
      </c>
      <c r="B370">
        <v>7943473</v>
      </c>
      <c r="C370" s="13">
        <v>40296.810416666667</v>
      </c>
      <c r="D370">
        <v>4639</v>
      </c>
      <c r="E370">
        <v>120</v>
      </c>
      <c r="F370" t="s">
        <v>1987</v>
      </c>
      <c r="G370">
        <v>27092</v>
      </c>
      <c r="H370" t="s">
        <v>2002</v>
      </c>
      <c r="I370" t="s">
        <v>2001</v>
      </c>
      <c r="J370" s="8">
        <v>4102</v>
      </c>
      <c r="K370">
        <v>4829</v>
      </c>
    </row>
    <row r="371" spans="1:11" x14ac:dyDescent="0.3">
      <c r="A371">
        <v>0</v>
      </c>
      <c r="B371">
        <v>7946438</v>
      </c>
      <c r="C371" s="13">
        <v>40297.589583333334</v>
      </c>
      <c r="D371">
        <v>4639</v>
      </c>
      <c r="E371">
        <v>23.5</v>
      </c>
      <c r="F371" t="s">
        <v>1994</v>
      </c>
      <c r="G371">
        <v>18563</v>
      </c>
      <c r="H371" t="s">
        <v>1993</v>
      </c>
      <c r="I371" t="s">
        <v>3719</v>
      </c>
      <c r="J371" s="8" t="s">
        <v>3719</v>
      </c>
      <c r="K371">
        <v>4121</v>
      </c>
    </row>
    <row r="372" spans="1:11" x14ac:dyDescent="0.3">
      <c r="A372">
        <v>0</v>
      </c>
      <c r="B372">
        <v>7947549</v>
      </c>
      <c r="C372" s="13">
        <v>40297.81527777778</v>
      </c>
      <c r="D372">
        <v>4639</v>
      </c>
      <c r="E372">
        <v>9.34</v>
      </c>
      <c r="F372" t="s">
        <v>1987</v>
      </c>
      <c r="G372">
        <v>98648</v>
      </c>
      <c r="H372" t="s">
        <v>2014</v>
      </c>
      <c r="I372" t="s">
        <v>2001</v>
      </c>
      <c r="J372" s="8">
        <v>4074</v>
      </c>
      <c r="K372">
        <v>5814</v>
      </c>
    </row>
    <row r="373" spans="1:11" x14ac:dyDescent="0.3">
      <c r="A373">
        <v>0</v>
      </c>
      <c r="B373">
        <v>7947822</v>
      </c>
      <c r="C373" s="13">
        <v>40297.9</v>
      </c>
      <c r="D373">
        <v>4639</v>
      </c>
      <c r="E373">
        <v>63.17</v>
      </c>
      <c r="F373" t="s">
        <v>1994</v>
      </c>
      <c r="G373">
        <v>73186</v>
      </c>
      <c r="H373" t="s">
        <v>1993</v>
      </c>
      <c r="I373" t="s">
        <v>3719</v>
      </c>
      <c r="J373" s="8" t="s">
        <v>3719</v>
      </c>
      <c r="K373">
        <v>4814</v>
      </c>
    </row>
    <row r="374" spans="1:11" x14ac:dyDescent="0.3">
      <c r="A374">
        <v>0</v>
      </c>
      <c r="B374">
        <v>7948510</v>
      </c>
      <c r="C374" s="13">
        <v>40298.306944444441</v>
      </c>
      <c r="D374">
        <v>4639</v>
      </c>
      <c r="E374">
        <v>46.4</v>
      </c>
      <c r="F374" t="s">
        <v>1987</v>
      </c>
      <c r="G374">
        <v>60510</v>
      </c>
      <c r="H374" t="s">
        <v>2014</v>
      </c>
      <c r="I374" t="s">
        <v>2001</v>
      </c>
      <c r="J374" s="8">
        <v>4074</v>
      </c>
      <c r="K374">
        <v>5912</v>
      </c>
    </row>
    <row r="375" spans="1:11" x14ac:dyDescent="0.3">
      <c r="A375">
        <v>0</v>
      </c>
      <c r="B375">
        <v>7951573</v>
      </c>
      <c r="C375" s="13">
        <v>40298.933333333334</v>
      </c>
      <c r="D375">
        <v>4639</v>
      </c>
      <c r="E375">
        <v>62.88</v>
      </c>
      <c r="F375" t="s">
        <v>1987</v>
      </c>
      <c r="G375">
        <v>32164</v>
      </c>
      <c r="H375" t="s">
        <v>2014</v>
      </c>
      <c r="I375" t="s">
        <v>2001</v>
      </c>
      <c r="J375" s="8">
        <v>4074</v>
      </c>
      <c r="K375">
        <v>5813</v>
      </c>
    </row>
    <row r="376" spans="1:11" x14ac:dyDescent="0.3">
      <c r="A376">
        <v>0</v>
      </c>
      <c r="B376">
        <v>7953079</v>
      </c>
      <c r="C376" s="13">
        <v>40299.477083333331</v>
      </c>
      <c r="D376">
        <v>4639</v>
      </c>
      <c r="E376">
        <v>21.55</v>
      </c>
      <c r="F376" t="s">
        <v>1987</v>
      </c>
      <c r="G376">
        <v>83480</v>
      </c>
      <c r="H376" t="s">
        <v>2014</v>
      </c>
      <c r="I376" t="s">
        <v>2001</v>
      </c>
      <c r="J376" s="8">
        <v>4074</v>
      </c>
      <c r="K376">
        <v>9402</v>
      </c>
    </row>
    <row r="377" spans="1:11" x14ac:dyDescent="0.3">
      <c r="A377">
        <v>0</v>
      </c>
      <c r="B377">
        <v>7953827</v>
      </c>
      <c r="C377" s="13">
        <v>40299.594444444447</v>
      </c>
      <c r="D377">
        <v>4639</v>
      </c>
      <c r="E377">
        <v>58.04</v>
      </c>
      <c r="F377" t="s">
        <v>1987</v>
      </c>
      <c r="G377">
        <v>32858</v>
      </c>
      <c r="H377" t="s">
        <v>2012</v>
      </c>
      <c r="I377" t="s">
        <v>2000</v>
      </c>
      <c r="J377" s="8">
        <v>5401</v>
      </c>
      <c r="K377">
        <v>5311</v>
      </c>
    </row>
    <row r="378" spans="1:11" x14ac:dyDescent="0.3">
      <c r="A378">
        <v>0</v>
      </c>
      <c r="B378">
        <v>7954949</v>
      </c>
      <c r="C378" s="13">
        <v>40299.82916666667</v>
      </c>
      <c r="D378">
        <v>4639</v>
      </c>
      <c r="E378">
        <v>5.81</v>
      </c>
      <c r="F378" t="s">
        <v>1987</v>
      </c>
      <c r="G378">
        <v>98648</v>
      </c>
      <c r="H378" t="s">
        <v>2014</v>
      </c>
      <c r="I378" t="s">
        <v>2001</v>
      </c>
      <c r="J378" s="8">
        <v>4074</v>
      </c>
      <c r="K378">
        <v>5814</v>
      </c>
    </row>
    <row r="379" spans="1:11" x14ac:dyDescent="0.3">
      <c r="A379">
        <v>0</v>
      </c>
      <c r="B379">
        <v>7955048</v>
      </c>
      <c r="C379" s="13">
        <v>40299.865972222222</v>
      </c>
      <c r="D379">
        <v>4639</v>
      </c>
      <c r="E379">
        <v>51.65</v>
      </c>
      <c r="F379" t="s">
        <v>1987</v>
      </c>
      <c r="G379">
        <v>26593</v>
      </c>
      <c r="H379" t="s">
        <v>2014</v>
      </c>
      <c r="I379" t="s">
        <v>2001</v>
      </c>
      <c r="J379" s="8">
        <v>4074</v>
      </c>
      <c r="K379">
        <v>5300</v>
      </c>
    </row>
    <row r="380" spans="1:11" x14ac:dyDescent="0.3">
      <c r="A380">
        <v>0</v>
      </c>
      <c r="B380">
        <v>7955258</v>
      </c>
      <c r="C380" s="13">
        <v>40299.930555555555</v>
      </c>
      <c r="D380">
        <v>4639</v>
      </c>
      <c r="E380">
        <v>53.68</v>
      </c>
      <c r="F380" t="s">
        <v>1987</v>
      </c>
      <c r="G380">
        <v>32164</v>
      </c>
      <c r="H380" t="s">
        <v>2014</v>
      </c>
      <c r="I380" t="s">
        <v>2001</v>
      </c>
      <c r="J380" s="8">
        <v>4074</v>
      </c>
      <c r="K380">
        <v>5813</v>
      </c>
    </row>
    <row r="381" spans="1:11" x14ac:dyDescent="0.3">
      <c r="A381">
        <v>0</v>
      </c>
      <c r="B381">
        <v>7955285</v>
      </c>
      <c r="C381" s="13">
        <v>40299.939583333333</v>
      </c>
      <c r="D381">
        <v>4639</v>
      </c>
      <c r="E381">
        <v>86.24</v>
      </c>
      <c r="F381" t="s">
        <v>1987</v>
      </c>
      <c r="G381">
        <v>32164</v>
      </c>
      <c r="H381" t="s">
        <v>2014</v>
      </c>
      <c r="I381" t="s">
        <v>2001</v>
      </c>
      <c r="J381" s="8">
        <v>4074</v>
      </c>
      <c r="K381">
        <v>5813</v>
      </c>
    </row>
    <row r="382" spans="1:11" x14ac:dyDescent="0.3">
      <c r="A382">
        <v>0</v>
      </c>
      <c r="B382">
        <v>7956931</v>
      </c>
      <c r="C382" s="13">
        <v>40300.44027777778</v>
      </c>
      <c r="D382">
        <v>4639</v>
      </c>
      <c r="E382">
        <v>41.28</v>
      </c>
      <c r="F382" t="s">
        <v>1987</v>
      </c>
      <c r="G382">
        <v>32175</v>
      </c>
      <c r="H382" t="s">
        <v>2002</v>
      </c>
      <c r="I382" t="s">
        <v>2001</v>
      </c>
      <c r="J382" s="8">
        <v>4103</v>
      </c>
      <c r="K382">
        <v>7538</v>
      </c>
    </row>
    <row r="383" spans="1:11" x14ac:dyDescent="0.3">
      <c r="A383">
        <v>0</v>
      </c>
      <c r="B383">
        <v>7957627</v>
      </c>
      <c r="C383" s="13">
        <v>40300.536111111112</v>
      </c>
      <c r="D383">
        <v>4639</v>
      </c>
      <c r="E383">
        <v>51.8</v>
      </c>
      <c r="F383" t="s">
        <v>1987</v>
      </c>
      <c r="G383">
        <v>20519</v>
      </c>
      <c r="H383" t="s">
        <v>2002</v>
      </c>
      <c r="I383" t="s">
        <v>2001</v>
      </c>
      <c r="J383" s="8">
        <v>4101</v>
      </c>
      <c r="K383">
        <v>5942</v>
      </c>
    </row>
    <row r="384" spans="1:11" x14ac:dyDescent="0.3">
      <c r="A384">
        <v>0</v>
      </c>
      <c r="B384">
        <v>7957774</v>
      </c>
      <c r="C384" s="13">
        <v>40300.557638888888</v>
      </c>
      <c r="D384">
        <v>4639</v>
      </c>
      <c r="E384">
        <v>58.13</v>
      </c>
      <c r="F384" t="s">
        <v>1987</v>
      </c>
      <c r="G384">
        <v>26909</v>
      </c>
      <c r="H384" t="s">
        <v>2026</v>
      </c>
      <c r="I384" t="s">
        <v>2001</v>
      </c>
      <c r="J384" s="8">
        <v>4084</v>
      </c>
      <c r="K384">
        <v>5211</v>
      </c>
    </row>
    <row r="385" spans="1:12" x14ac:dyDescent="0.3">
      <c r="A385">
        <v>0</v>
      </c>
      <c r="B385">
        <v>7962139</v>
      </c>
      <c r="C385" s="13">
        <v>40301.599305555559</v>
      </c>
      <c r="D385">
        <v>4639</v>
      </c>
      <c r="E385">
        <v>27.12</v>
      </c>
      <c r="F385" t="s">
        <v>1994</v>
      </c>
      <c r="G385">
        <v>16798</v>
      </c>
      <c r="H385" t="s">
        <v>1993</v>
      </c>
      <c r="I385" t="s">
        <v>3719</v>
      </c>
      <c r="J385" s="8" t="s">
        <v>3719</v>
      </c>
      <c r="K385">
        <v>4121</v>
      </c>
    </row>
    <row r="386" spans="1:12" x14ac:dyDescent="0.3">
      <c r="A386">
        <v>0</v>
      </c>
      <c r="B386">
        <v>7962267</v>
      </c>
      <c r="C386" s="13">
        <v>40301.621527777781</v>
      </c>
      <c r="D386">
        <v>4639</v>
      </c>
      <c r="E386">
        <v>19.68</v>
      </c>
      <c r="F386" t="s">
        <v>1987</v>
      </c>
      <c r="G386">
        <v>60510</v>
      </c>
      <c r="H386" t="s">
        <v>2014</v>
      </c>
      <c r="I386" t="s">
        <v>2001</v>
      </c>
      <c r="J386" s="8">
        <v>4074</v>
      </c>
      <c r="K386">
        <v>5912</v>
      </c>
    </row>
    <row r="387" spans="1:12" x14ac:dyDescent="0.3">
      <c r="A387">
        <v>0</v>
      </c>
      <c r="B387">
        <v>7963231</v>
      </c>
      <c r="C387" s="13">
        <v>40301.831250000003</v>
      </c>
      <c r="D387">
        <v>4639</v>
      </c>
      <c r="E387">
        <v>6.45</v>
      </c>
      <c r="F387" t="s">
        <v>1987</v>
      </c>
      <c r="G387">
        <v>98648</v>
      </c>
      <c r="H387" t="s">
        <v>2014</v>
      </c>
      <c r="I387" t="s">
        <v>2001</v>
      </c>
      <c r="J387" s="8">
        <v>4074</v>
      </c>
      <c r="K387">
        <v>5814</v>
      </c>
    </row>
    <row r="388" spans="1:12" x14ac:dyDescent="0.3">
      <c r="A388">
        <v>0</v>
      </c>
      <c r="B388">
        <v>7963497</v>
      </c>
      <c r="C388" s="13">
        <v>40301.920138888891</v>
      </c>
      <c r="D388">
        <v>4639</v>
      </c>
      <c r="E388">
        <v>40.26</v>
      </c>
      <c r="F388" t="s">
        <v>1987</v>
      </c>
      <c r="G388">
        <v>32164</v>
      </c>
      <c r="H388" t="s">
        <v>2014</v>
      </c>
      <c r="I388" t="s">
        <v>2001</v>
      </c>
      <c r="J388" s="8">
        <v>4074</v>
      </c>
      <c r="K388">
        <v>5813</v>
      </c>
    </row>
    <row r="389" spans="1:12" x14ac:dyDescent="0.3">
      <c r="A389">
        <v>0</v>
      </c>
      <c r="B389">
        <v>7965373</v>
      </c>
      <c r="C389" s="13">
        <v>40302.469444444447</v>
      </c>
      <c r="D389">
        <v>4639</v>
      </c>
      <c r="E389">
        <v>25.41</v>
      </c>
      <c r="F389" t="s">
        <v>1987</v>
      </c>
      <c r="G389">
        <v>83480</v>
      </c>
      <c r="H389" t="s">
        <v>2014</v>
      </c>
      <c r="I389" t="s">
        <v>2001</v>
      </c>
      <c r="J389" s="8">
        <v>4074</v>
      </c>
      <c r="K389">
        <v>9402</v>
      </c>
    </row>
    <row r="390" spans="1:12" x14ac:dyDescent="0.3">
      <c r="A390">
        <v>0</v>
      </c>
      <c r="B390">
        <v>7967358</v>
      </c>
      <c r="C390" s="13">
        <v>40302.816666666666</v>
      </c>
      <c r="D390">
        <v>4639</v>
      </c>
      <c r="E390">
        <v>9.2899999999999991</v>
      </c>
      <c r="F390" t="s">
        <v>1987</v>
      </c>
      <c r="G390">
        <v>98648</v>
      </c>
      <c r="H390" t="s">
        <v>2014</v>
      </c>
      <c r="I390" t="s">
        <v>2001</v>
      </c>
      <c r="J390" s="8">
        <v>4074</v>
      </c>
      <c r="K390">
        <v>5814</v>
      </c>
    </row>
    <row r="391" spans="1:12" x14ac:dyDescent="0.3">
      <c r="A391">
        <v>0</v>
      </c>
      <c r="B391">
        <v>7970162</v>
      </c>
      <c r="C391" s="13">
        <v>40303.550000000003</v>
      </c>
      <c r="D391">
        <v>4639</v>
      </c>
      <c r="E391">
        <v>2.76</v>
      </c>
      <c r="F391" t="s">
        <v>1987</v>
      </c>
      <c r="G391">
        <v>41527</v>
      </c>
      <c r="H391" t="s">
        <v>2014</v>
      </c>
      <c r="I391" t="s">
        <v>2001</v>
      </c>
      <c r="J391" s="8">
        <v>4074</v>
      </c>
      <c r="K391">
        <v>5310</v>
      </c>
    </row>
    <row r="392" spans="1:12" x14ac:dyDescent="0.3">
      <c r="A392">
        <v>0</v>
      </c>
      <c r="B392">
        <v>7974321</v>
      </c>
      <c r="C392" s="13">
        <v>40304.549305555556</v>
      </c>
      <c r="D392">
        <v>4639</v>
      </c>
      <c r="E392">
        <v>44.82</v>
      </c>
      <c r="F392" t="s">
        <v>1987</v>
      </c>
      <c r="G392">
        <v>43925</v>
      </c>
      <c r="H392" t="s">
        <v>2014</v>
      </c>
      <c r="I392" t="s">
        <v>2001</v>
      </c>
      <c r="J392" s="8">
        <v>4074</v>
      </c>
      <c r="K392">
        <v>5411</v>
      </c>
    </row>
    <row r="393" spans="1:12" x14ac:dyDescent="0.3">
      <c r="A393">
        <v>0</v>
      </c>
      <c r="B393">
        <v>7974344</v>
      </c>
      <c r="C393" s="13">
        <v>40304.552777777775</v>
      </c>
      <c r="D393">
        <v>4639</v>
      </c>
      <c r="E393">
        <v>53</v>
      </c>
      <c r="F393" t="s">
        <v>1987</v>
      </c>
      <c r="G393">
        <v>28395</v>
      </c>
      <c r="H393" t="s">
        <v>2022</v>
      </c>
      <c r="I393" t="s">
        <v>2001</v>
      </c>
      <c r="J393" s="8">
        <v>4083</v>
      </c>
      <c r="K393">
        <v>5541</v>
      </c>
    </row>
    <row r="394" spans="1:12" x14ac:dyDescent="0.3">
      <c r="A394">
        <v>0</v>
      </c>
      <c r="B394">
        <v>7974385</v>
      </c>
      <c r="C394" s="13">
        <v>40304.556944444441</v>
      </c>
      <c r="D394">
        <v>4639</v>
      </c>
      <c r="E394">
        <v>38.56</v>
      </c>
      <c r="F394" t="s">
        <v>1987</v>
      </c>
      <c r="G394">
        <v>28395</v>
      </c>
      <c r="H394" t="s">
        <v>2022</v>
      </c>
      <c r="I394" t="s">
        <v>2001</v>
      </c>
      <c r="J394" s="8">
        <v>4083</v>
      </c>
      <c r="K394">
        <v>5541</v>
      </c>
    </row>
    <row r="395" spans="1:12" x14ac:dyDescent="0.3">
      <c r="A395">
        <v>0</v>
      </c>
      <c r="B395">
        <v>7974409</v>
      </c>
      <c r="C395" s="13">
        <v>40304.55972222222</v>
      </c>
      <c r="D395">
        <v>4639</v>
      </c>
      <c r="E395">
        <v>-53</v>
      </c>
      <c r="F395" t="s">
        <v>1987</v>
      </c>
      <c r="G395">
        <v>28395</v>
      </c>
      <c r="H395" t="s">
        <v>2022</v>
      </c>
      <c r="I395" t="s">
        <v>2001</v>
      </c>
      <c r="J395" s="8">
        <v>4083</v>
      </c>
      <c r="K395">
        <v>5541</v>
      </c>
    </row>
    <row r="396" spans="1:12" x14ac:dyDescent="0.3">
      <c r="A396">
        <v>0</v>
      </c>
      <c r="B396">
        <v>7975995</v>
      </c>
      <c r="C396" s="13">
        <v>40304.904166666667</v>
      </c>
      <c r="D396">
        <v>4639</v>
      </c>
      <c r="E396">
        <v>56.36</v>
      </c>
      <c r="F396" t="s">
        <v>1994</v>
      </c>
      <c r="G396">
        <v>73186</v>
      </c>
      <c r="H396" t="s">
        <v>1993</v>
      </c>
      <c r="I396" t="s">
        <v>3719</v>
      </c>
      <c r="J396" s="8" t="s">
        <v>3719</v>
      </c>
      <c r="K396">
        <v>4814</v>
      </c>
      <c r="L396" t="s">
        <v>1988</v>
      </c>
    </row>
    <row r="397" spans="1:12" x14ac:dyDescent="0.3">
      <c r="A397">
        <v>0</v>
      </c>
      <c r="B397">
        <v>7976028</v>
      </c>
      <c r="C397" s="13">
        <v>40304.912499999999</v>
      </c>
      <c r="D397">
        <v>4639</v>
      </c>
      <c r="E397">
        <v>38.67</v>
      </c>
      <c r="F397" t="s">
        <v>1994</v>
      </c>
      <c r="G397">
        <v>73186</v>
      </c>
      <c r="H397" t="s">
        <v>1993</v>
      </c>
      <c r="I397" t="s">
        <v>3719</v>
      </c>
      <c r="J397" s="8" t="s">
        <v>3719</v>
      </c>
      <c r="K397">
        <v>4814</v>
      </c>
    </row>
    <row r="398" spans="1:12" x14ac:dyDescent="0.3">
      <c r="A398">
        <v>0</v>
      </c>
      <c r="B398">
        <v>7976041</v>
      </c>
      <c r="C398" s="13">
        <v>40304.916666666664</v>
      </c>
      <c r="D398">
        <v>4639</v>
      </c>
      <c r="E398">
        <v>62.65</v>
      </c>
      <c r="F398" t="s">
        <v>1987</v>
      </c>
      <c r="G398">
        <v>32164</v>
      </c>
      <c r="H398" t="s">
        <v>2014</v>
      </c>
      <c r="I398" t="s">
        <v>2001</v>
      </c>
      <c r="J398" s="8">
        <v>4074</v>
      </c>
      <c r="K398">
        <v>5813</v>
      </c>
    </row>
    <row r="399" spans="1:12" x14ac:dyDescent="0.3">
      <c r="A399">
        <v>0</v>
      </c>
      <c r="B399">
        <v>7977572</v>
      </c>
      <c r="C399" s="13">
        <v>40305.457638888889</v>
      </c>
      <c r="D399">
        <v>4639</v>
      </c>
      <c r="E399">
        <v>21.01</v>
      </c>
      <c r="F399" t="s">
        <v>1987</v>
      </c>
      <c r="G399">
        <v>83480</v>
      </c>
      <c r="H399" t="s">
        <v>2014</v>
      </c>
      <c r="I399" t="s">
        <v>2001</v>
      </c>
      <c r="J399" s="8">
        <v>4074</v>
      </c>
      <c r="K399">
        <v>9402</v>
      </c>
    </row>
    <row r="400" spans="1:12" x14ac:dyDescent="0.3">
      <c r="A400">
        <v>0</v>
      </c>
      <c r="B400">
        <v>7979498</v>
      </c>
      <c r="C400" s="13">
        <v>40305.819444444445</v>
      </c>
      <c r="D400">
        <v>4639</v>
      </c>
      <c r="E400">
        <v>9.8000000000000007</v>
      </c>
      <c r="F400" t="s">
        <v>1987</v>
      </c>
      <c r="G400">
        <v>55060</v>
      </c>
      <c r="H400" t="s">
        <v>2014</v>
      </c>
      <c r="I400" t="s">
        <v>2001</v>
      </c>
      <c r="J400" s="8">
        <v>4074</v>
      </c>
      <c r="K400">
        <v>5812</v>
      </c>
    </row>
    <row r="401" spans="1:11" x14ac:dyDescent="0.3">
      <c r="A401">
        <v>0</v>
      </c>
      <c r="B401">
        <v>7979846</v>
      </c>
      <c r="C401" s="13">
        <v>40305.930555555555</v>
      </c>
      <c r="D401">
        <v>4639</v>
      </c>
      <c r="E401">
        <v>59.91</v>
      </c>
      <c r="F401" t="s">
        <v>1987</v>
      </c>
      <c r="G401">
        <v>32164</v>
      </c>
      <c r="H401" t="s">
        <v>2014</v>
      </c>
      <c r="I401" t="s">
        <v>2001</v>
      </c>
      <c r="J401" s="8">
        <v>4074</v>
      </c>
      <c r="K401">
        <v>5813</v>
      </c>
    </row>
    <row r="402" spans="1:11" x14ac:dyDescent="0.3">
      <c r="A402">
        <v>0</v>
      </c>
      <c r="B402">
        <v>7980430</v>
      </c>
      <c r="C402" s="13">
        <v>40306.304166666669</v>
      </c>
      <c r="D402">
        <v>4639</v>
      </c>
      <c r="E402">
        <v>84.24</v>
      </c>
      <c r="F402" t="s">
        <v>1994</v>
      </c>
      <c r="G402">
        <v>88459</v>
      </c>
      <c r="H402" t="s">
        <v>1993</v>
      </c>
      <c r="I402" t="s">
        <v>3719</v>
      </c>
      <c r="J402" s="8" t="s">
        <v>3719</v>
      </c>
      <c r="K402">
        <v>5311</v>
      </c>
    </row>
    <row r="403" spans="1:11" x14ac:dyDescent="0.3">
      <c r="A403">
        <v>0</v>
      </c>
      <c r="B403">
        <v>7981989</v>
      </c>
      <c r="C403" s="13">
        <v>40306.56527777778</v>
      </c>
      <c r="D403">
        <v>4639</v>
      </c>
      <c r="E403">
        <v>33.270000000000003</v>
      </c>
      <c r="F403" t="s">
        <v>1987</v>
      </c>
      <c r="G403">
        <v>26909</v>
      </c>
      <c r="H403" t="s">
        <v>2026</v>
      </c>
      <c r="I403" t="s">
        <v>2001</v>
      </c>
      <c r="J403" s="8">
        <v>4084</v>
      </c>
      <c r="K403">
        <v>5211</v>
      </c>
    </row>
    <row r="404" spans="1:11" x14ac:dyDescent="0.3">
      <c r="A404">
        <v>0</v>
      </c>
      <c r="B404">
        <v>7983361</v>
      </c>
      <c r="C404" s="13">
        <v>40306.82708333333</v>
      </c>
      <c r="D404">
        <v>4639</v>
      </c>
      <c r="E404">
        <v>9.89</v>
      </c>
      <c r="F404" t="s">
        <v>1987</v>
      </c>
      <c r="G404">
        <v>98648</v>
      </c>
      <c r="H404" t="s">
        <v>2014</v>
      </c>
      <c r="I404" t="s">
        <v>2001</v>
      </c>
      <c r="J404" s="8">
        <v>4074</v>
      </c>
      <c r="K404">
        <v>5814</v>
      </c>
    </row>
    <row r="405" spans="1:11" x14ac:dyDescent="0.3">
      <c r="A405">
        <v>0</v>
      </c>
      <c r="B405">
        <v>7985605</v>
      </c>
      <c r="C405" s="13">
        <v>40307.477083333331</v>
      </c>
      <c r="D405">
        <v>4639</v>
      </c>
      <c r="E405">
        <v>19.71</v>
      </c>
      <c r="F405" t="s">
        <v>1987</v>
      </c>
      <c r="G405">
        <v>83271</v>
      </c>
      <c r="H405" t="s">
        <v>2002</v>
      </c>
      <c r="I405" t="s">
        <v>2001</v>
      </c>
      <c r="J405" s="8">
        <v>4103</v>
      </c>
      <c r="K405">
        <v>4214</v>
      </c>
    </row>
    <row r="406" spans="1:11" x14ac:dyDescent="0.3">
      <c r="A406">
        <v>0</v>
      </c>
      <c r="B406">
        <v>7986274</v>
      </c>
      <c r="C406" s="13">
        <v>40307.560416666667</v>
      </c>
      <c r="D406">
        <v>4639</v>
      </c>
      <c r="E406">
        <v>48.69</v>
      </c>
      <c r="F406" t="s">
        <v>1987</v>
      </c>
      <c r="G406">
        <v>26909</v>
      </c>
      <c r="H406" t="s">
        <v>2026</v>
      </c>
      <c r="I406" t="s">
        <v>2001</v>
      </c>
      <c r="J406" s="8">
        <v>4084</v>
      </c>
      <c r="K406">
        <v>5211</v>
      </c>
    </row>
    <row r="407" spans="1:11" x14ac:dyDescent="0.3">
      <c r="A407">
        <v>0</v>
      </c>
      <c r="B407">
        <v>7989811</v>
      </c>
      <c r="C407" s="13">
        <v>40308.464583333334</v>
      </c>
      <c r="D407">
        <v>4639</v>
      </c>
      <c r="E407">
        <v>22.9</v>
      </c>
      <c r="F407" t="s">
        <v>1987</v>
      </c>
      <c r="G407">
        <v>83271</v>
      </c>
      <c r="H407" t="s">
        <v>2002</v>
      </c>
      <c r="I407" t="s">
        <v>2001</v>
      </c>
      <c r="J407" s="8">
        <v>4103</v>
      </c>
      <c r="K407">
        <v>4214</v>
      </c>
    </row>
    <row r="408" spans="1:11" x14ac:dyDescent="0.3">
      <c r="A408">
        <v>0</v>
      </c>
      <c r="B408">
        <v>7990070</v>
      </c>
      <c r="C408" s="13">
        <v>40308.501388888886</v>
      </c>
      <c r="D408">
        <v>4639</v>
      </c>
      <c r="E408">
        <v>38.14</v>
      </c>
      <c r="F408" t="s">
        <v>1987</v>
      </c>
      <c r="G408">
        <v>16256</v>
      </c>
      <c r="H408" t="s">
        <v>2014</v>
      </c>
      <c r="I408" t="s">
        <v>2001</v>
      </c>
      <c r="J408" s="8">
        <v>4074</v>
      </c>
      <c r="K408">
        <v>5211</v>
      </c>
    </row>
    <row r="409" spans="1:11" x14ac:dyDescent="0.3">
      <c r="A409">
        <v>0</v>
      </c>
      <c r="B409">
        <v>7991812</v>
      </c>
      <c r="C409" s="13">
        <v>40308.82916666667</v>
      </c>
      <c r="D409">
        <v>4639</v>
      </c>
      <c r="E409">
        <v>7.99</v>
      </c>
      <c r="F409" t="s">
        <v>1987</v>
      </c>
      <c r="G409">
        <v>98648</v>
      </c>
      <c r="H409" t="s">
        <v>2014</v>
      </c>
      <c r="I409" t="s">
        <v>2001</v>
      </c>
      <c r="J409" s="8">
        <v>4074</v>
      </c>
      <c r="K409">
        <v>5814</v>
      </c>
    </row>
    <row r="410" spans="1:11" x14ac:dyDescent="0.3">
      <c r="A410">
        <v>0</v>
      </c>
      <c r="B410">
        <v>7994279</v>
      </c>
      <c r="C410" s="13">
        <v>40309.517361111109</v>
      </c>
      <c r="D410">
        <v>4639</v>
      </c>
      <c r="E410">
        <v>88.34</v>
      </c>
      <c r="F410" t="s">
        <v>1987</v>
      </c>
      <c r="G410">
        <v>57053</v>
      </c>
      <c r="H410" t="s">
        <v>2014</v>
      </c>
      <c r="I410" t="s">
        <v>2001</v>
      </c>
      <c r="J410" s="8">
        <v>4074</v>
      </c>
      <c r="K410">
        <v>7538</v>
      </c>
    </row>
    <row r="411" spans="1:11" x14ac:dyDescent="0.3">
      <c r="A411">
        <v>0</v>
      </c>
      <c r="B411">
        <v>7996246</v>
      </c>
      <c r="C411" s="13">
        <v>40309.921527777777</v>
      </c>
      <c r="D411">
        <v>4639</v>
      </c>
      <c r="E411">
        <v>54.81</v>
      </c>
      <c r="F411" t="s">
        <v>1987</v>
      </c>
      <c r="G411">
        <v>32164</v>
      </c>
      <c r="H411" t="s">
        <v>2014</v>
      </c>
      <c r="I411" t="s">
        <v>2001</v>
      </c>
      <c r="J411" s="8">
        <v>4074</v>
      </c>
      <c r="K411">
        <v>5813</v>
      </c>
    </row>
    <row r="412" spans="1:11" x14ac:dyDescent="0.3">
      <c r="A412">
        <v>0</v>
      </c>
      <c r="B412">
        <v>7999218</v>
      </c>
      <c r="C412" s="13">
        <v>40310.622916666667</v>
      </c>
      <c r="D412">
        <v>4639</v>
      </c>
      <c r="E412">
        <v>16.559999999999999</v>
      </c>
      <c r="F412" t="s">
        <v>1987</v>
      </c>
      <c r="G412">
        <v>60510</v>
      </c>
      <c r="H412" t="s">
        <v>2014</v>
      </c>
      <c r="I412" t="s">
        <v>2001</v>
      </c>
      <c r="J412" s="8">
        <v>4074</v>
      </c>
      <c r="K412">
        <v>5912</v>
      </c>
    </row>
    <row r="413" spans="1:11" x14ac:dyDescent="0.3">
      <c r="A413">
        <v>0</v>
      </c>
      <c r="B413">
        <v>8000507</v>
      </c>
      <c r="C413" s="13">
        <v>40310.933333333334</v>
      </c>
      <c r="D413">
        <v>4639</v>
      </c>
      <c r="E413">
        <v>113.31</v>
      </c>
      <c r="F413" t="s">
        <v>1987</v>
      </c>
      <c r="G413">
        <v>29219</v>
      </c>
      <c r="H413" t="s">
        <v>2014</v>
      </c>
      <c r="I413" t="s">
        <v>2001</v>
      </c>
      <c r="J413" s="8">
        <v>4074</v>
      </c>
      <c r="K413">
        <v>4900</v>
      </c>
    </row>
    <row r="414" spans="1:11" x14ac:dyDescent="0.3">
      <c r="A414">
        <v>0</v>
      </c>
      <c r="B414">
        <v>8001168</v>
      </c>
      <c r="C414" s="13">
        <v>40311.301388888889</v>
      </c>
      <c r="D414">
        <v>4639</v>
      </c>
      <c r="E414">
        <v>105.12</v>
      </c>
      <c r="F414" t="s">
        <v>1987</v>
      </c>
      <c r="G414">
        <v>60569</v>
      </c>
      <c r="H414" t="s">
        <v>2017</v>
      </c>
      <c r="I414" t="s">
        <v>2001</v>
      </c>
      <c r="J414" s="8">
        <v>4240</v>
      </c>
      <c r="K414">
        <v>5300</v>
      </c>
    </row>
    <row r="415" spans="1:11" x14ac:dyDescent="0.3">
      <c r="A415">
        <v>0</v>
      </c>
      <c r="B415">
        <v>8004582</v>
      </c>
      <c r="C415" s="13">
        <v>40311.914583333331</v>
      </c>
      <c r="D415">
        <v>4639</v>
      </c>
      <c r="E415">
        <v>56.45</v>
      </c>
      <c r="F415" t="s">
        <v>1994</v>
      </c>
      <c r="G415">
        <v>73186</v>
      </c>
      <c r="H415" t="s">
        <v>1993</v>
      </c>
      <c r="I415" t="s">
        <v>3719</v>
      </c>
      <c r="J415" s="8" t="s">
        <v>3719</v>
      </c>
      <c r="K415">
        <v>4814</v>
      </c>
    </row>
    <row r="416" spans="1:11" x14ac:dyDescent="0.3">
      <c r="A416">
        <v>0</v>
      </c>
      <c r="B416">
        <v>8004613</v>
      </c>
      <c r="C416" s="13">
        <v>40311.925694444442</v>
      </c>
      <c r="D416">
        <v>4639</v>
      </c>
      <c r="E416">
        <v>65.16</v>
      </c>
      <c r="F416" t="s">
        <v>1987</v>
      </c>
      <c r="G416">
        <v>32164</v>
      </c>
      <c r="H416" t="s">
        <v>2014</v>
      </c>
      <c r="I416" t="s">
        <v>2001</v>
      </c>
      <c r="J416" s="8">
        <v>4074</v>
      </c>
      <c r="K416">
        <v>5813</v>
      </c>
    </row>
    <row r="417" spans="1:11" x14ac:dyDescent="0.3">
      <c r="A417">
        <v>0</v>
      </c>
      <c r="B417">
        <v>8006214</v>
      </c>
      <c r="C417" s="13">
        <v>40312.491666666669</v>
      </c>
      <c r="D417">
        <v>4639</v>
      </c>
      <c r="E417">
        <v>25.12</v>
      </c>
      <c r="F417" t="s">
        <v>1987</v>
      </c>
      <c r="G417">
        <v>83271</v>
      </c>
      <c r="H417" t="s">
        <v>2002</v>
      </c>
      <c r="I417" t="s">
        <v>2001</v>
      </c>
      <c r="J417" s="8">
        <v>4103</v>
      </c>
      <c r="K417">
        <v>4214</v>
      </c>
    </row>
    <row r="418" spans="1:11" x14ac:dyDescent="0.3">
      <c r="A418">
        <v>0</v>
      </c>
      <c r="B418">
        <v>8006413</v>
      </c>
      <c r="C418" s="13">
        <v>40312.520833333336</v>
      </c>
      <c r="D418">
        <v>4639</v>
      </c>
      <c r="E418">
        <v>-93</v>
      </c>
      <c r="F418" t="s">
        <v>1987</v>
      </c>
      <c r="G418">
        <v>28395</v>
      </c>
      <c r="H418" t="s">
        <v>2022</v>
      </c>
      <c r="I418" t="s">
        <v>2001</v>
      </c>
      <c r="J418" s="8">
        <v>4083</v>
      </c>
      <c r="K418">
        <v>5541</v>
      </c>
    </row>
    <row r="419" spans="1:11" x14ac:dyDescent="0.3">
      <c r="A419">
        <v>0</v>
      </c>
      <c r="B419">
        <v>8006500</v>
      </c>
      <c r="C419" s="13">
        <v>40312.534722222219</v>
      </c>
      <c r="D419">
        <v>4639</v>
      </c>
      <c r="E419">
        <v>93</v>
      </c>
      <c r="F419" t="s">
        <v>1987</v>
      </c>
      <c r="G419">
        <v>28395</v>
      </c>
      <c r="H419" t="s">
        <v>2022</v>
      </c>
      <c r="I419" t="s">
        <v>2001</v>
      </c>
      <c r="J419" s="8">
        <v>4083</v>
      </c>
      <c r="K419">
        <v>5541</v>
      </c>
    </row>
    <row r="420" spans="1:11" x14ac:dyDescent="0.3">
      <c r="A420">
        <v>0</v>
      </c>
      <c r="B420">
        <v>8006515</v>
      </c>
      <c r="C420" s="13">
        <v>40312.537499999999</v>
      </c>
      <c r="D420">
        <v>4639</v>
      </c>
      <c r="E420">
        <v>61.93</v>
      </c>
      <c r="F420" t="s">
        <v>1987</v>
      </c>
      <c r="G420">
        <v>28395</v>
      </c>
      <c r="H420" t="s">
        <v>2022</v>
      </c>
      <c r="I420" t="s">
        <v>2001</v>
      </c>
      <c r="J420" s="8">
        <v>4083</v>
      </c>
      <c r="K420">
        <v>5541</v>
      </c>
    </row>
    <row r="421" spans="1:11" x14ac:dyDescent="0.3">
      <c r="A421">
        <v>0</v>
      </c>
      <c r="B421">
        <v>8006873</v>
      </c>
      <c r="C421" s="13">
        <v>40312.597916666666</v>
      </c>
      <c r="D421">
        <v>4639</v>
      </c>
      <c r="E421">
        <v>29</v>
      </c>
      <c r="F421" t="s">
        <v>1994</v>
      </c>
      <c r="G421">
        <v>16798</v>
      </c>
      <c r="H421" t="s">
        <v>1993</v>
      </c>
      <c r="I421" t="s">
        <v>3719</v>
      </c>
      <c r="J421" s="8" t="s">
        <v>3719</v>
      </c>
      <c r="K421">
        <v>4121</v>
      </c>
    </row>
    <row r="422" spans="1:11" x14ac:dyDescent="0.3">
      <c r="A422">
        <v>0</v>
      </c>
      <c r="B422">
        <v>8007322</v>
      </c>
      <c r="C422" s="13">
        <v>40312.67083333333</v>
      </c>
      <c r="D422">
        <v>4639</v>
      </c>
      <c r="E422">
        <v>141.41999999999999</v>
      </c>
      <c r="F422" t="s">
        <v>1987</v>
      </c>
      <c r="G422">
        <v>29219</v>
      </c>
      <c r="H422" t="s">
        <v>2014</v>
      </c>
      <c r="I422" t="s">
        <v>2001</v>
      </c>
      <c r="J422" s="8">
        <v>4074</v>
      </c>
      <c r="K422">
        <v>4900</v>
      </c>
    </row>
    <row r="423" spans="1:11" x14ac:dyDescent="0.3">
      <c r="A423">
        <v>0</v>
      </c>
      <c r="B423">
        <v>8008325</v>
      </c>
      <c r="C423" s="13">
        <v>40312.934027777781</v>
      </c>
      <c r="D423">
        <v>4639</v>
      </c>
      <c r="E423">
        <v>74.28</v>
      </c>
      <c r="F423" t="s">
        <v>1987</v>
      </c>
      <c r="G423">
        <v>32164</v>
      </c>
      <c r="H423" t="s">
        <v>2014</v>
      </c>
      <c r="I423" t="s">
        <v>2001</v>
      </c>
      <c r="J423" s="8">
        <v>4074</v>
      </c>
      <c r="K423">
        <v>5813</v>
      </c>
    </row>
    <row r="424" spans="1:11" x14ac:dyDescent="0.3">
      <c r="A424">
        <v>0</v>
      </c>
      <c r="B424">
        <v>8010605</v>
      </c>
      <c r="C424" s="13">
        <v>40313.590277777781</v>
      </c>
      <c r="D424">
        <v>4639</v>
      </c>
      <c r="E424">
        <v>26.18</v>
      </c>
      <c r="F424" t="s">
        <v>1987</v>
      </c>
      <c r="G424">
        <v>24206</v>
      </c>
      <c r="H424" t="s">
        <v>2014</v>
      </c>
      <c r="I424" t="s">
        <v>2001</v>
      </c>
      <c r="J424" s="8">
        <v>4074</v>
      </c>
      <c r="K424">
        <v>4121</v>
      </c>
    </row>
    <row r="425" spans="1:11" x14ac:dyDescent="0.3">
      <c r="A425">
        <v>0</v>
      </c>
      <c r="B425">
        <v>8011667</v>
      </c>
      <c r="C425" s="13">
        <v>40313.786111111112</v>
      </c>
      <c r="D425">
        <v>4639</v>
      </c>
      <c r="E425">
        <v>10.07</v>
      </c>
      <c r="F425" t="s">
        <v>1987</v>
      </c>
      <c r="G425">
        <v>13153</v>
      </c>
      <c r="H425" t="s">
        <v>2014</v>
      </c>
      <c r="I425" t="s">
        <v>2001</v>
      </c>
      <c r="J425" s="8">
        <v>4074</v>
      </c>
      <c r="K425">
        <v>5812</v>
      </c>
    </row>
    <row r="426" spans="1:11" x14ac:dyDescent="0.3">
      <c r="A426">
        <v>0</v>
      </c>
      <c r="B426">
        <v>8012892</v>
      </c>
      <c r="C426" s="13">
        <v>40314.302777777775</v>
      </c>
      <c r="D426">
        <v>4639</v>
      </c>
      <c r="E426">
        <v>45.99</v>
      </c>
      <c r="F426" t="s">
        <v>1987</v>
      </c>
      <c r="G426">
        <v>43925</v>
      </c>
      <c r="H426" t="s">
        <v>2014</v>
      </c>
      <c r="I426" t="s">
        <v>2001</v>
      </c>
      <c r="J426" s="8">
        <v>4074</v>
      </c>
      <c r="K426">
        <v>5411</v>
      </c>
    </row>
    <row r="427" spans="1:11" x14ac:dyDescent="0.3">
      <c r="A427">
        <v>0</v>
      </c>
      <c r="B427">
        <v>8015972</v>
      </c>
      <c r="C427" s="13">
        <v>40314.791666666664</v>
      </c>
      <c r="D427">
        <v>4639</v>
      </c>
      <c r="E427">
        <v>80</v>
      </c>
      <c r="F427" t="s">
        <v>1987</v>
      </c>
      <c r="G427">
        <v>27092</v>
      </c>
      <c r="H427" t="s">
        <v>2002</v>
      </c>
      <c r="I427" t="s">
        <v>2001</v>
      </c>
      <c r="J427" s="8">
        <v>4102</v>
      </c>
      <c r="K427">
        <v>4829</v>
      </c>
    </row>
    <row r="428" spans="1:11" x14ac:dyDescent="0.3">
      <c r="A428">
        <v>0</v>
      </c>
      <c r="B428">
        <v>8018731</v>
      </c>
      <c r="C428" s="13">
        <v>40315.543055555558</v>
      </c>
      <c r="D428">
        <v>4639</v>
      </c>
      <c r="E428">
        <v>39.299999999999997</v>
      </c>
      <c r="F428" t="s">
        <v>1994</v>
      </c>
      <c r="G428">
        <v>88459</v>
      </c>
      <c r="H428" t="s">
        <v>1993</v>
      </c>
      <c r="I428" t="s">
        <v>3719</v>
      </c>
      <c r="J428" s="8" t="s">
        <v>3719</v>
      </c>
      <c r="K428">
        <v>5311</v>
      </c>
    </row>
    <row r="429" spans="1:11" x14ac:dyDescent="0.3">
      <c r="A429">
        <v>0</v>
      </c>
      <c r="B429">
        <v>8019346</v>
      </c>
      <c r="C429" s="13">
        <v>40315.635416666664</v>
      </c>
      <c r="D429">
        <v>4639</v>
      </c>
      <c r="E429">
        <v>6.64</v>
      </c>
      <c r="F429" t="s">
        <v>1987</v>
      </c>
      <c r="G429">
        <v>69956</v>
      </c>
      <c r="H429" t="s">
        <v>2022</v>
      </c>
      <c r="I429" t="s">
        <v>2001</v>
      </c>
      <c r="J429" s="8">
        <v>4083</v>
      </c>
      <c r="K429">
        <v>5310</v>
      </c>
    </row>
    <row r="430" spans="1:11" x14ac:dyDescent="0.3">
      <c r="A430">
        <v>0</v>
      </c>
      <c r="B430">
        <v>8019653</v>
      </c>
      <c r="C430" s="13">
        <v>40315.682638888888</v>
      </c>
      <c r="D430">
        <v>4639</v>
      </c>
      <c r="E430">
        <v>58.06</v>
      </c>
      <c r="F430" t="s">
        <v>1987</v>
      </c>
      <c r="G430">
        <v>32635</v>
      </c>
      <c r="H430" t="s">
        <v>2014</v>
      </c>
      <c r="I430" t="s">
        <v>2001</v>
      </c>
      <c r="J430" s="8">
        <v>4074</v>
      </c>
      <c r="K430">
        <v>7230</v>
      </c>
    </row>
    <row r="431" spans="1:11" x14ac:dyDescent="0.3">
      <c r="A431">
        <v>0</v>
      </c>
      <c r="B431">
        <v>8020261</v>
      </c>
      <c r="C431" s="13">
        <v>40315.832638888889</v>
      </c>
      <c r="D431">
        <v>4639</v>
      </c>
      <c r="E431">
        <v>7.96</v>
      </c>
      <c r="F431" t="s">
        <v>1987</v>
      </c>
      <c r="G431">
        <v>98648</v>
      </c>
      <c r="H431" t="s">
        <v>2014</v>
      </c>
      <c r="I431" t="s">
        <v>2001</v>
      </c>
      <c r="J431" s="8">
        <v>4074</v>
      </c>
      <c r="K431">
        <v>5814</v>
      </c>
    </row>
    <row r="432" spans="1:11" x14ac:dyDescent="0.3">
      <c r="A432">
        <v>0</v>
      </c>
      <c r="B432">
        <v>8020594</v>
      </c>
      <c r="C432" s="13">
        <v>40315.936805555553</v>
      </c>
      <c r="D432">
        <v>4639</v>
      </c>
      <c r="E432">
        <v>38.65</v>
      </c>
      <c r="F432" t="s">
        <v>1987</v>
      </c>
      <c r="G432">
        <v>32164</v>
      </c>
      <c r="H432" t="s">
        <v>2014</v>
      </c>
      <c r="I432" t="s">
        <v>2001</v>
      </c>
      <c r="J432" s="8">
        <v>4074</v>
      </c>
      <c r="K432">
        <v>5813</v>
      </c>
    </row>
    <row r="433" spans="1:11" x14ac:dyDescent="0.3">
      <c r="A433">
        <v>0</v>
      </c>
      <c r="B433">
        <v>8023074</v>
      </c>
      <c r="C433" s="13">
        <v>40316.558333333334</v>
      </c>
      <c r="D433">
        <v>4639</v>
      </c>
      <c r="E433">
        <v>53.53</v>
      </c>
      <c r="F433" t="s">
        <v>1987</v>
      </c>
      <c r="G433">
        <v>41527</v>
      </c>
      <c r="H433" t="s">
        <v>2014</v>
      </c>
      <c r="I433" t="s">
        <v>2001</v>
      </c>
      <c r="J433" s="8">
        <v>4074</v>
      </c>
      <c r="K433">
        <v>5310</v>
      </c>
    </row>
    <row r="434" spans="1:11" x14ac:dyDescent="0.3">
      <c r="A434">
        <v>0</v>
      </c>
      <c r="B434">
        <v>8023815</v>
      </c>
      <c r="C434" s="13">
        <v>40316.677083333336</v>
      </c>
      <c r="D434">
        <v>4639</v>
      </c>
      <c r="E434">
        <v>139.88</v>
      </c>
      <c r="F434" t="s">
        <v>1987</v>
      </c>
      <c r="G434">
        <v>29219</v>
      </c>
      <c r="H434" t="s">
        <v>2014</v>
      </c>
      <c r="I434" t="s">
        <v>2001</v>
      </c>
      <c r="J434" s="8">
        <v>4074</v>
      </c>
      <c r="K434">
        <v>4900</v>
      </c>
    </row>
    <row r="435" spans="1:11" x14ac:dyDescent="0.3">
      <c r="A435">
        <v>0</v>
      </c>
      <c r="B435">
        <v>8024426</v>
      </c>
      <c r="C435" s="13">
        <v>40316.831944444442</v>
      </c>
      <c r="D435">
        <v>4639</v>
      </c>
      <c r="E435">
        <v>6.14</v>
      </c>
      <c r="F435" t="s">
        <v>1987</v>
      </c>
      <c r="G435">
        <v>98648</v>
      </c>
      <c r="H435" t="s">
        <v>2014</v>
      </c>
      <c r="I435" t="s">
        <v>2001</v>
      </c>
      <c r="J435" s="8">
        <v>4074</v>
      </c>
      <c r="K435">
        <v>5814</v>
      </c>
    </row>
    <row r="436" spans="1:11" x14ac:dyDescent="0.3">
      <c r="A436">
        <v>0</v>
      </c>
      <c r="B436">
        <v>8026680</v>
      </c>
      <c r="C436" s="13">
        <v>40317.484027777777</v>
      </c>
      <c r="D436">
        <v>4639</v>
      </c>
      <c r="E436">
        <v>110.11</v>
      </c>
      <c r="F436" t="s">
        <v>1987</v>
      </c>
      <c r="G436">
        <v>32175</v>
      </c>
      <c r="H436" t="s">
        <v>2002</v>
      </c>
      <c r="I436" t="s">
        <v>2001</v>
      </c>
      <c r="J436" s="8">
        <v>4103</v>
      </c>
      <c r="K436">
        <v>7538</v>
      </c>
    </row>
    <row r="437" spans="1:11" x14ac:dyDescent="0.3">
      <c r="A437">
        <v>0</v>
      </c>
      <c r="B437">
        <v>8026870</v>
      </c>
      <c r="C437" s="13">
        <v>40317.509027777778</v>
      </c>
      <c r="D437">
        <v>4639</v>
      </c>
      <c r="E437">
        <v>50.13</v>
      </c>
      <c r="F437" t="s">
        <v>1987</v>
      </c>
      <c r="G437">
        <v>90865</v>
      </c>
      <c r="H437" t="s">
        <v>2025</v>
      </c>
      <c r="I437" t="s">
        <v>2001</v>
      </c>
      <c r="J437" s="8">
        <v>4254</v>
      </c>
      <c r="K437">
        <v>5311</v>
      </c>
    </row>
    <row r="438" spans="1:11" x14ac:dyDescent="0.3">
      <c r="A438">
        <v>0</v>
      </c>
      <c r="B438">
        <v>8027242</v>
      </c>
      <c r="C438" s="13">
        <v>40317.557638888888</v>
      </c>
      <c r="D438">
        <v>4639</v>
      </c>
      <c r="E438">
        <v>41.85</v>
      </c>
      <c r="F438" t="s">
        <v>1987</v>
      </c>
      <c r="G438">
        <v>20561</v>
      </c>
      <c r="H438" t="s">
        <v>2014</v>
      </c>
      <c r="I438" t="s">
        <v>2001</v>
      </c>
      <c r="J438" s="8">
        <v>4074</v>
      </c>
      <c r="K438">
        <v>5912</v>
      </c>
    </row>
    <row r="439" spans="1:11" x14ac:dyDescent="0.3">
      <c r="A439">
        <v>0</v>
      </c>
      <c r="B439">
        <v>8028496</v>
      </c>
      <c r="C439" s="13">
        <v>40317.792361111111</v>
      </c>
      <c r="D439">
        <v>4639</v>
      </c>
      <c r="E439">
        <v>120</v>
      </c>
      <c r="F439" t="s">
        <v>1987</v>
      </c>
      <c r="G439">
        <v>27092</v>
      </c>
      <c r="H439" t="s">
        <v>2002</v>
      </c>
      <c r="I439" t="s">
        <v>2001</v>
      </c>
      <c r="J439" s="8">
        <v>4102</v>
      </c>
      <c r="K439">
        <v>4829</v>
      </c>
    </row>
    <row r="440" spans="1:11" x14ac:dyDescent="0.3">
      <c r="A440">
        <v>0</v>
      </c>
      <c r="B440">
        <v>8028595</v>
      </c>
      <c r="C440" s="13">
        <v>40317.821527777778</v>
      </c>
      <c r="D440">
        <v>4639</v>
      </c>
      <c r="E440">
        <v>8.27</v>
      </c>
      <c r="F440" t="s">
        <v>1987</v>
      </c>
      <c r="G440">
        <v>55060</v>
      </c>
      <c r="H440" t="s">
        <v>2014</v>
      </c>
      <c r="I440" t="s">
        <v>2001</v>
      </c>
      <c r="J440" s="8">
        <v>4074</v>
      </c>
      <c r="K440">
        <v>5812</v>
      </c>
    </row>
    <row r="441" spans="1:11" x14ac:dyDescent="0.3">
      <c r="A441">
        <v>0</v>
      </c>
      <c r="B441">
        <v>8032795</v>
      </c>
      <c r="C441" s="13">
        <v>40318.804861111108</v>
      </c>
      <c r="D441">
        <v>4639</v>
      </c>
      <c r="E441">
        <v>60</v>
      </c>
      <c r="F441" t="s">
        <v>1987</v>
      </c>
      <c r="G441">
        <v>27092</v>
      </c>
      <c r="H441" t="s">
        <v>2002</v>
      </c>
      <c r="I441" t="s">
        <v>2001</v>
      </c>
      <c r="J441" s="8">
        <v>4102</v>
      </c>
      <c r="K441">
        <v>4829</v>
      </c>
    </row>
    <row r="442" spans="1:11" x14ac:dyDescent="0.3">
      <c r="A442">
        <v>0</v>
      </c>
      <c r="B442">
        <v>8035106</v>
      </c>
      <c r="C442" s="13">
        <v>40319.52847222222</v>
      </c>
      <c r="D442">
        <v>4639</v>
      </c>
      <c r="E442">
        <v>-55</v>
      </c>
      <c r="F442" t="s">
        <v>1987</v>
      </c>
      <c r="G442">
        <v>28395</v>
      </c>
      <c r="H442" t="s">
        <v>2022</v>
      </c>
      <c r="I442" t="s">
        <v>2001</v>
      </c>
      <c r="J442" s="8">
        <v>4083</v>
      </c>
      <c r="K442">
        <v>5541</v>
      </c>
    </row>
    <row r="443" spans="1:11" x14ac:dyDescent="0.3">
      <c r="A443">
        <v>0</v>
      </c>
      <c r="B443">
        <v>8035118</v>
      </c>
      <c r="C443" s="13">
        <v>40319.53125</v>
      </c>
      <c r="D443">
        <v>4639</v>
      </c>
      <c r="E443">
        <v>55</v>
      </c>
      <c r="F443" t="s">
        <v>1987</v>
      </c>
      <c r="G443">
        <v>28395</v>
      </c>
      <c r="H443" t="s">
        <v>2022</v>
      </c>
      <c r="I443" t="s">
        <v>2001</v>
      </c>
      <c r="J443" s="8">
        <v>4083</v>
      </c>
      <c r="K443">
        <v>5541</v>
      </c>
    </row>
    <row r="444" spans="1:11" x14ac:dyDescent="0.3">
      <c r="A444">
        <v>0</v>
      </c>
      <c r="B444">
        <v>8035120</v>
      </c>
      <c r="C444" s="13">
        <v>40319.531944444447</v>
      </c>
      <c r="D444">
        <v>4639</v>
      </c>
      <c r="E444">
        <v>69.95</v>
      </c>
      <c r="F444" t="s">
        <v>1987</v>
      </c>
      <c r="G444">
        <v>28395</v>
      </c>
      <c r="H444" t="s">
        <v>2022</v>
      </c>
      <c r="I444" t="s">
        <v>2001</v>
      </c>
      <c r="J444" s="8">
        <v>4083</v>
      </c>
      <c r="K444">
        <v>5541</v>
      </c>
    </row>
    <row r="445" spans="1:11" x14ac:dyDescent="0.3">
      <c r="A445">
        <v>0</v>
      </c>
      <c r="B445">
        <v>8035496</v>
      </c>
      <c r="C445" s="13">
        <v>40319.59375</v>
      </c>
      <c r="D445">
        <v>4639</v>
      </c>
      <c r="E445">
        <v>22.57</v>
      </c>
      <c r="F445" t="s">
        <v>1994</v>
      </c>
      <c r="G445">
        <v>16798</v>
      </c>
      <c r="H445" t="s">
        <v>1993</v>
      </c>
      <c r="I445" t="s">
        <v>3719</v>
      </c>
      <c r="J445" s="8" t="s">
        <v>3719</v>
      </c>
      <c r="K445">
        <v>4121</v>
      </c>
    </row>
    <row r="446" spans="1:11" x14ac:dyDescent="0.3">
      <c r="A446">
        <v>0</v>
      </c>
      <c r="B446">
        <v>8036079</v>
      </c>
      <c r="C446" s="13">
        <v>40319.685416666667</v>
      </c>
      <c r="D446">
        <v>4639</v>
      </c>
      <c r="E446">
        <v>114.54</v>
      </c>
      <c r="F446" t="s">
        <v>1994</v>
      </c>
      <c r="G446">
        <v>84682</v>
      </c>
      <c r="H446" t="s">
        <v>1993</v>
      </c>
      <c r="I446" t="s">
        <v>3719</v>
      </c>
      <c r="J446" s="8" t="s">
        <v>3719</v>
      </c>
      <c r="K446">
        <v>4900</v>
      </c>
    </row>
    <row r="447" spans="1:11" x14ac:dyDescent="0.3">
      <c r="A447">
        <v>0</v>
      </c>
      <c r="B447">
        <v>8036576</v>
      </c>
      <c r="C447" s="13">
        <v>40319.8125</v>
      </c>
      <c r="D447">
        <v>4639</v>
      </c>
      <c r="E447">
        <v>9.41</v>
      </c>
      <c r="F447" t="s">
        <v>1987</v>
      </c>
      <c r="G447">
        <v>98648</v>
      </c>
      <c r="H447" t="s">
        <v>2014</v>
      </c>
      <c r="I447" t="s">
        <v>2001</v>
      </c>
      <c r="J447" s="8">
        <v>4074</v>
      </c>
      <c r="K447">
        <v>5814</v>
      </c>
    </row>
    <row r="448" spans="1:11" x14ac:dyDescent="0.3">
      <c r="A448">
        <v>0</v>
      </c>
      <c r="B448">
        <v>8036910</v>
      </c>
      <c r="C448" s="13">
        <v>40319.923611111109</v>
      </c>
      <c r="D448">
        <v>4639</v>
      </c>
      <c r="E448">
        <v>73.459999999999994</v>
      </c>
      <c r="F448" t="s">
        <v>1987</v>
      </c>
      <c r="G448">
        <v>32164</v>
      </c>
      <c r="H448" t="s">
        <v>2014</v>
      </c>
      <c r="I448" t="s">
        <v>2001</v>
      </c>
      <c r="J448" s="8">
        <v>4074</v>
      </c>
      <c r="K448">
        <v>5813</v>
      </c>
    </row>
    <row r="449" spans="1:11" x14ac:dyDescent="0.3">
      <c r="A449">
        <v>0</v>
      </c>
      <c r="B449">
        <v>8040351</v>
      </c>
      <c r="C449" s="13">
        <v>40320.814583333333</v>
      </c>
      <c r="D449">
        <v>4639</v>
      </c>
      <c r="E449">
        <v>10.33</v>
      </c>
      <c r="F449" t="s">
        <v>1987</v>
      </c>
      <c r="G449">
        <v>13153</v>
      </c>
      <c r="H449" t="s">
        <v>2014</v>
      </c>
      <c r="I449" t="s">
        <v>2001</v>
      </c>
      <c r="J449" s="8">
        <v>4074</v>
      </c>
      <c r="K449">
        <v>5812</v>
      </c>
    </row>
    <row r="450" spans="1:11" x14ac:dyDescent="0.3">
      <c r="A450">
        <v>0</v>
      </c>
      <c r="B450">
        <v>8040754</v>
      </c>
      <c r="C450" s="13">
        <v>40320.93472222222</v>
      </c>
      <c r="D450">
        <v>4639</v>
      </c>
      <c r="E450">
        <v>200.11</v>
      </c>
      <c r="F450" t="s">
        <v>1987</v>
      </c>
      <c r="G450">
        <v>29219</v>
      </c>
      <c r="H450" t="s">
        <v>2014</v>
      </c>
      <c r="I450" t="s">
        <v>2001</v>
      </c>
      <c r="J450" s="8">
        <v>4074</v>
      </c>
      <c r="K450">
        <v>4900</v>
      </c>
    </row>
    <row r="451" spans="1:11" x14ac:dyDescent="0.3">
      <c r="A451">
        <v>0</v>
      </c>
      <c r="B451">
        <v>8043496</v>
      </c>
      <c r="C451" s="13">
        <v>40321.611805555556</v>
      </c>
      <c r="D451">
        <v>4639</v>
      </c>
      <c r="E451">
        <v>5.31</v>
      </c>
      <c r="F451" t="s">
        <v>1987</v>
      </c>
      <c r="G451">
        <v>26909</v>
      </c>
      <c r="H451" t="s">
        <v>2026</v>
      </c>
      <c r="I451" t="s">
        <v>2001</v>
      </c>
      <c r="J451" s="8">
        <v>4084</v>
      </c>
      <c r="K451">
        <v>5211</v>
      </c>
    </row>
    <row r="452" spans="1:11" x14ac:dyDescent="0.3">
      <c r="A452">
        <v>0</v>
      </c>
      <c r="B452">
        <v>8044538</v>
      </c>
      <c r="C452" s="13">
        <v>40321.825694444444</v>
      </c>
      <c r="D452">
        <v>4639</v>
      </c>
      <c r="E452">
        <v>9.09</v>
      </c>
      <c r="F452" t="s">
        <v>1987</v>
      </c>
      <c r="G452">
        <v>98648</v>
      </c>
      <c r="H452" t="s">
        <v>2014</v>
      </c>
      <c r="I452" t="s">
        <v>2001</v>
      </c>
      <c r="J452" s="8">
        <v>4074</v>
      </c>
      <c r="K452">
        <v>5814</v>
      </c>
    </row>
    <row r="453" spans="1:11" x14ac:dyDescent="0.3">
      <c r="A453">
        <v>0</v>
      </c>
      <c r="B453">
        <v>8044799</v>
      </c>
      <c r="C453" s="13">
        <v>40321.915277777778</v>
      </c>
      <c r="D453">
        <v>4639</v>
      </c>
      <c r="E453">
        <v>66.67</v>
      </c>
      <c r="F453" t="s">
        <v>1987</v>
      </c>
      <c r="G453">
        <v>32164</v>
      </c>
      <c r="H453" t="s">
        <v>2014</v>
      </c>
      <c r="I453" t="s">
        <v>2001</v>
      </c>
      <c r="J453" s="8">
        <v>4074</v>
      </c>
      <c r="K453">
        <v>5813</v>
      </c>
    </row>
    <row r="454" spans="1:11" x14ac:dyDescent="0.3">
      <c r="A454">
        <v>0</v>
      </c>
      <c r="B454">
        <v>8050928</v>
      </c>
      <c r="C454" s="13">
        <v>40323.484722222223</v>
      </c>
      <c r="D454">
        <v>4639</v>
      </c>
      <c r="E454">
        <v>82.93</v>
      </c>
      <c r="F454" t="s">
        <v>1987</v>
      </c>
      <c r="G454">
        <v>24823</v>
      </c>
      <c r="H454" t="s">
        <v>2014</v>
      </c>
      <c r="I454" t="s">
        <v>2001</v>
      </c>
      <c r="J454" s="8">
        <v>4074</v>
      </c>
      <c r="K454">
        <v>7538</v>
      </c>
    </row>
    <row r="455" spans="1:11" x14ac:dyDescent="0.3">
      <c r="A455">
        <v>0</v>
      </c>
      <c r="B455">
        <v>8051393</v>
      </c>
      <c r="C455" s="13">
        <v>40323.551388888889</v>
      </c>
      <c r="D455">
        <v>4639</v>
      </c>
      <c r="E455">
        <v>33.119999999999997</v>
      </c>
      <c r="F455" t="s">
        <v>1987</v>
      </c>
      <c r="G455">
        <v>90865</v>
      </c>
      <c r="H455" t="s">
        <v>2025</v>
      </c>
      <c r="I455" t="s">
        <v>2001</v>
      </c>
      <c r="J455" s="8">
        <v>4254</v>
      </c>
      <c r="K455">
        <v>5311</v>
      </c>
    </row>
    <row r="456" spans="1:11" x14ac:dyDescent="0.3">
      <c r="A456">
        <v>0</v>
      </c>
      <c r="B456">
        <v>8051868</v>
      </c>
      <c r="C456" s="13">
        <v>40323.625</v>
      </c>
      <c r="D456">
        <v>4639</v>
      </c>
      <c r="E456">
        <v>66.489999999999995</v>
      </c>
      <c r="F456" t="s">
        <v>1987</v>
      </c>
      <c r="G456">
        <v>32635</v>
      </c>
      <c r="H456" t="s">
        <v>2014</v>
      </c>
      <c r="I456" t="s">
        <v>2001</v>
      </c>
      <c r="J456" s="8">
        <v>4074</v>
      </c>
      <c r="K456">
        <v>7230</v>
      </c>
    </row>
    <row r="457" spans="1:11" x14ac:dyDescent="0.3">
      <c r="A457">
        <v>0</v>
      </c>
      <c r="B457">
        <v>8052718</v>
      </c>
      <c r="C457" s="13">
        <v>40323.813194444447</v>
      </c>
      <c r="D457">
        <v>4639</v>
      </c>
      <c r="E457">
        <v>7.82</v>
      </c>
      <c r="F457" t="s">
        <v>1987</v>
      </c>
      <c r="G457">
        <v>13153</v>
      </c>
      <c r="H457" t="s">
        <v>2014</v>
      </c>
      <c r="I457" t="s">
        <v>2001</v>
      </c>
      <c r="J457" s="8">
        <v>4074</v>
      </c>
      <c r="K457">
        <v>5812</v>
      </c>
    </row>
    <row r="458" spans="1:11" x14ac:dyDescent="0.3">
      <c r="A458">
        <v>0</v>
      </c>
      <c r="B458">
        <v>8055966</v>
      </c>
      <c r="C458" s="13">
        <v>40324.618055555555</v>
      </c>
      <c r="D458">
        <v>4639</v>
      </c>
      <c r="E458">
        <v>9.81</v>
      </c>
      <c r="F458" t="s">
        <v>1987</v>
      </c>
      <c r="G458">
        <v>43925</v>
      </c>
      <c r="H458" t="s">
        <v>2014</v>
      </c>
      <c r="I458" t="s">
        <v>2001</v>
      </c>
      <c r="J458" s="8">
        <v>4074</v>
      </c>
      <c r="K458">
        <v>5411</v>
      </c>
    </row>
    <row r="459" spans="1:11" x14ac:dyDescent="0.3">
      <c r="A459">
        <v>0</v>
      </c>
      <c r="B459">
        <v>8056819</v>
      </c>
      <c r="C459" s="13">
        <v>40324.788194444445</v>
      </c>
      <c r="D459">
        <v>4639</v>
      </c>
      <c r="E459">
        <v>10.28</v>
      </c>
      <c r="F459" t="s">
        <v>1987</v>
      </c>
      <c r="G459">
        <v>13153</v>
      </c>
      <c r="H459" t="s">
        <v>2014</v>
      </c>
      <c r="I459" t="s">
        <v>2001</v>
      </c>
      <c r="J459" s="8">
        <v>4074</v>
      </c>
      <c r="K459">
        <v>5812</v>
      </c>
    </row>
    <row r="460" spans="1:11" x14ac:dyDescent="0.3">
      <c r="A460">
        <v>0</v>
      </c>
      <c r="B460">
        <v>8056961</v>
      </c>
      <c r="C460" s="13">
        <v>40324.827777777777</v>
      </c>
      <c r="D460">
        <v>4639</v>
      </c>
      <c r="E460">
        <v>8.36</v>
      </c>
      <c r="F460" t="s">
        <v>1987</v>
      </c>
      <c r="G460">
        <v>98648</v>
      </c>
      <c r="H460" t="s">
        <v>2014</v>
      </c>
      <c r="I460" t="s">
        <v>2001</v>
      </c>
      <c r="J460" s="8">
        <v>4074</v>
      </c>
      <c r="K460">
        <v>5814</v>
      </c>
    </row>
    <row r="461" spans="1:11" x14ac:dyDescent="0.3">
      <c r="A461">
        <v>0</v>
      </c>
      <c r="B461">
        <v>8057865</v>
      </c>
      <c r="C461" s="13">
        <v>40325.289583333331</v>
      </c>
      <c r="D461">
        <v>4639</v>
      </c>
      <c r="E461">
        <v>15.03</v>
      </c>
      <c r="F461" t="s">
        <v>1987</v>
      </c>
      <c r="G461">
        <v>55060</v>
      </c>
      <c r="H461" t="s">
        <v>2014</v>
      </c>
      <c r="I461" t="s">
        <v>2001</v>
      </c>
      <c r="J461" s="8">
        <v>4074</v>
      </c>
      <c r="K461">
        <v>5812</v>
      </c>
    </row>
    <row r="462" spans="1:11" x14ac:dyDescent="0.3">
      <c r="A462">
        <v>0</v>
      </c>
      <c r="B462">
        <v>8059494</v>
      </c>
      <c r="C462" s="13">
        <v>40325.520833333336</v>
      </c>
      <c r="D462">
        <v>4639</v>
      </c>
      <c r="E462">
        <v>89</v>
      </c>
      <c r="F462" t="s">
        <v>1987</v>
      </c>
      <c r="G462">
        <v>43293</v>
      </c>
      <c r="H462" t="s">
        <v>2014</v>
      </c>
      <c r="I462" t="s">
        <v>2001</v>
      </c>
      <c r="J462" s="8">
        <v>4074</v>
      </c>
      <c r="K462">
        <v>5499</v>
      </c>
    </row>
    <row r="463" spans="1:11" x14ac:dyDescent="0.3">
      <c r="A463">
        <v>0</v>
      </c>
      <c r="B463">
        <v>8059535</v>
      </c>
      <c r="C463" s="13">
        <v>40325.527777777781</v>
      </c>
      <c r="D463">
        <v>4639</v>
      </c>
      <c r="E463">
        <v>53.6</v>
      </c>
      <c r="F463" t="s">
        <v>1987</v>
      </c>
      <c r="G463">
        <v>43293</v>
      </c>
      <c r="H463" t="s">
        <v>2014</v>
      </c>
      <c r="I463" t="s">
        <v>2001</v>
      </c>
      <c r="J463" s="8">
        <v>4074</v>
      </c>
      <c r="K463">
        <v>5499</v>
      </c>
    </row>
    <row r="464" spans="1:11" x14ac:dyDescent="0.3">
      <c r="A464">
        <v>0</v>
      </c>
      <c r="B464">
        <v>8059648</v>
      </c>
      <c r="C464" s="13">
        <v>40325.540972222225</v>
      </c>
      <c r="D464">
        <v>4639</v>
      </c>
      <c r="E464">
        <v>-89</v>
      </c>
      <c r="F464" t="s">
        <v>1987</v>
      </c>
      <c r="G464">
        <v>43293</v>
      </c>
      <c r="H464" t="s">
        <v>2014</v>
      </c>
      <c r="I464" t="s">
        <v>2001</v>
      </c>
      <c r="J464" s="8">
        <v>4074</v>
      </c>
      <c r="K464">
        <v>5499</v>
      </c>
    </row>
    <row r="465" spans="1:11" x14ac:dyDescent="0.3">
      <c r="A465">
        <v>0</v>
      </c>
      <c r="B465">
        <v>8062395</v>
      </c>
      <c r="C465" s="13">
        <v>40326.373611111114</v>
      </c>
      <c r="D465">
        <v>4639</v>
      </c>
      <c r="E465">
        <v>91.6</v>
      </c>
      <c r="F465" t="s">
        <v>1994</v>
      </c>
      <c r="G465">
        <v>73186</v>
      </c>
      <c r="H465" t="s">
        <v>1993</v>
      </c>
      <c r="I465" t="s">
        <v>3719</v>
      </c>
      <c r="J465" s="8" t="s">
        <v>3719</v>
      </c>
      <c r="K465">
        <v>4814</v>
      </c>
    </row>
    <row r="466" spans="1:11" x14ac:dyDescent="0.3">
      <c r="A466">
        <v>0</v>
      </c>
      <c r="B466">
        <v>8063012</v>
      </c>
      <c r="C466" s="13">
        <v>40326.489583333336</v>
      </c>
      <c r="D466">
        <v>4639</v>
      </c>
      <c r="E466">
        <v>83.77</v>
      </c>
      <c r="F466" t="s">
        <v>1987</v>
      </c>
      <c r="G466">
        <v>24823</v>
      </c>
      <c r="H466" t="s">
        <v>2014</v>
      </c>
      <c r="I466" t="s">
        <v>2001</v>
      </c>
      <c r="J466" s="8">
        <v>4074</v>
      </c>
      <c r="K466">
        <v>7538</v>
      </c>
    </row>
    <row r="467" spans="1:11" x14ac:dyDescent="0.3">
      <c r="A467">
        <v>0</v>
      </c>
      <c r="B467">
        <v>8065088</v>
      </c>
      <c r="C467" s="13">
        <v>40326.927777777775</v>
      </c>
      <c r="D467">
        <v>4639</v>
      </c>
      <c r="E467">
        <v>55.98</v>
      </c>
      <c r="F467" t="s">
        <v>1987</v>
      </c>
      <c r="G467">
        <v>32164</v>
      </c>
      <c r="H467" t="s">
        <v>2014</v>
      </c>
      <c r="I467" t="s">
        <v>2001</v>
      </c>
      <c r="J467" s="8">
        <v>4074</v>
      </c>
      <c r="K467">
        <v>5813</v>
      </c>
    </row>
    <row r="468" spans="1:11" x14ac:dyDescent="0.3">
      <c r="A468">
        <v>0</v>
      </c>
      <c r="B468">
        <v>8066706</v>
      </c>
      <c r="C468" s="13">
        <v>40327.488194444442</v>
      </c>
      <c r="D468">
        <v>4639</v>
      </c>
      <c r="E468">
        <v>104.74</v>
      </c>
      <c r="F468" t="s">
        <v>1987</v>
      </c>
      <c r="G468">
        <v>24823</v>
      </c>
      <c r="H468" t="s">
        <v>2014</v>
      </c>
      <c r="I468" t="s">
        <v>2001</v>
      </c>
      <c r="J468" s="8">
        <v>4074</v>
      </c>
      <c r="K468">
        <v>7538</v>
      </c>
    </row>
    <row r="469" spans="1:11" x14ac:dyDescent="0.3">
      <c r="A469">
        <v>0</v>
      </c>
      <c r="B469">
        <v>8067147</v>
      </c>
      <c r="C469" s="13">
        <v>40327.560416666667</v>
      </c>
      <c r="D469">
        <v>4639</v>
      </c>
      <c r="E469">
        <v>40.479999999999997</v>
      </c>
      <c r="F469" t="s">
        <v>1987</v>
      </c>
      <c r="G469">
        <v>32858</v>
      </c>
      <c r="H469" t="s">
        <v>2012</v>
      </c>
      <c r="I469" t="s">
        <v>2000</v>
      </c>
      <c r="J469" s="8">
        <v>5401</v>
      </c>
      <c r="K469">
        <v>5311</v>
      </c>
    </row>
    <row r="470" spans="1:11" x14ac:dyDescent="0.3">
      <c r="A470">
        <v>0</v>
      </c>
      <c r="B470">
        <v>8068925</v>
      </c>
      <c r="C470" s="13">
        <v>40327.956250000003</v>
      </c>
      <c r="D470">
        <v>4639</v>
      </c>
      <c r="E470">
        <v>55.59</v>
      </c>
      <c r="F470" t="s">
        <v>1987</v>
      </c>
      <c r="G470">
        <v>32164</v>
      </c>
      <c r="H470" t="s">
        <v>2014</v>
      </c>
      <c r="I470" t="s">
        <v>2001</v>
      </c>
      <c r="J470" s="8">
        <v>4074</v>
      </c>
      <c r="K470">
        <v>5813</v>
      </c>
    </row>
    <row r="471" spans="1:11" x14ac:dyDescent="0.3">
      <c r="A471">
        <v>0</v>
      </c>
      <c r="B471">
        <v>8069515</v>
      </c>
      <c r="C471" s="13">
        <v>40328.300000000003</v>
      </c>
      <c r="D471">
        <v>4639</v>
      </c>
      <c r="E471">
        <v>102.89</v>
      </c>
      <c r="F471" t="s">
        <v>1987</v>
      </c>
      <c r="G471">
        <v>48919</v>
      </c>
      <c r="H471" t="s">
        <v>2022</v>
      </c>
      <c r="I471" t="s">
        <v>2001</v>
      </c>
      <c r="J471" s="8">
        <v>4083</v>
      </c>
      <c r="K471">
        <v>5311</v>
      </c>
    </row>
    <row r="472" spans="1:11" x14ac:dyDescent="0.3">
      <c r="A472">
        <v>0</v>
      </c>
      <c r="B472">
        <v>8072625</v>
      </c>
      <c r="C472" s="13">
        <v>40328.813194444447</v>
      </c>
      <c r="D472">
        <v>4639</v>
      </c>
      <c r="E472">
        <v>10.09</v>
      </c>
      <c r="F472" t="s">
        <v>1987</v>
      </c>
      <c r="G472">
        <v>13153</v>
      </c>
      <c r="H472" t="s">
        <v>2014</v>
      </c>
      <c r="I472" t="s">
        <v>2001</v>
      </c>
      <c r="J472" s="8">
        <v>4074</v>
      </c>
      <c r="K472">
        <v>5812</v>
      </c>
    </row>
    <row r="473" spans="1:11" x14ac:dyDescent="0.3">
      <c r="A473">
        <v>0</v>
      </c>
      <c r="B473">
        <v>8073089</v>
      </c>
      <c r="C473" s="13">
        <v>40328.923611111109</v>
      </c>
      <c r="D473">
        <v>4639</v>
      </c>
      <c r="E473">
        <v>48.69</v>
      </c>
      <c r="F473" t="s">
        <v>1987</v>
      </c>
      <c r="G473">
        <v>32164</v>
      </c>
      <c r="H473" t="s">
        <v>2014</v>
      </c>
      <c r="I473" t="s">
        <v>2001</v>
      </c>
      <c r="J473" s="8">
        <v>4074</v>
      </c>
      <c r="K473">
        <v>5813</v>
      </c>
    </row>
    <row r="474" spans="1:11" x14ac:dyDescent="0.3">
      <c r="A474">
        <v>0</v>
      </c>
      <c r="B474">
        <v>8075534</v>
      </c>
      <c r="C474" s="13">
        <v>40329.547222222223</v>
      </c>
      <c r="D474">
        <v>4639</v>
      </c>
      <c r="E474">
        <v>50.11</v>
      </c>
      <c r="F474" t="s">
        <v>1987</v>
      </c>
      <c r="G474">
        <v>20519</v>
      </c>
      <c r="H474" t="s">
        <v>2002</v>
      </c>
      <c r="I474" t="s">
        <v>2001</v>
      </c>
      <c r="J474" s="8">
        <v>4101</v>
      </c>
      <c r="K474">
        <v>5942</v>
      </c>
    </row>
    <row r="475" spans="1:11" x14ac:dyDescent="0.3">
      <c r="A475">
        <v>0</v>
      </c>
      <c r="B475">
        <v>8077386</v>
      </c>
      <c r="C475" s="13">
        <v>40329.954861111109</v>
      </c>
      <c r="D475">
        <v>4639</v>
      </c>
      <c r="E475">
        <v>223.33</v>
      </c>
      <c r="F475" t="s">
        <v>1994</v>
      </c>
      <c r="G475">
        <v>84682</v>
      </c>
      <c r="H475" t="s">
        <v>1993</v>
      </c>
      <c r="I475" t="s">
        <v>3719</v>
      </c>
      <c r="J475" s="8" t="s">
        <v>3719</v>
      </c>
      <c r="K475">
        <v>4900</v>
      </c>
    </row>
    <row r="476" spans="1:11" x14ac:dyDescent="0.3">
      <c r="A476">
        <v>0</v>
      </c>
      <c r="B476">
        <v>8077545</v>
      </c>
      <c r="C476" s="13">
        <v>40330.1</v>
      </c>
      <c r="D476">
        <v>4639</v>
      </c>
      <c r="E476">
        <v>114.51</v>
      </c>
      <c r="F476" t="s">
        <v>1994</v>
      </c>
      <c r="G476">
        <v>73186</v>
      </c>
      <c r="H476" t="s">
        <v>1993</v>
      </c>
      <c r="I476" t="s">
        <v>3719</v>
      </c>
      <c r="J476" s="8" t="s">
        <v>3719</v>
      </c>
      <c r="K476">
        <v>4814</v>
      </c>
    </row>
    <row r="477" spans="1:11" x14ac:dyDescent="0.3">
      <c r="A477">
        <v>0</v>
      </c>
      <c r="B477">
        <v>8079768</v>
      </c>
      <c r="C477" s="13">
        <v>40330.551388888889</v>
      </c>
      <c r="D477">
        <v>4639</v>
      </c>
      <c r="E477">
        <v>22.34</v>
      </c>
      <c r="F477" t="s">
        <v>1987</v>
      </c>
      <c r="G477">
        <v>74778</v>
      </c>
      <c r="H477" t="s">
        <v>2014</v>
      </c>
      <c r="I477" t="s">
        <v>2001</v>
      </c>
      <c r="J477" s="8">
        <v>4074</v>
      </c>
      <c r="K477">
        <v>7542</v>
      </c>
    </row>
    <row r="478" spans="1:11" x14ac:dyDescent="0.3">
      <c r="A478">
        <v>0</v>
      </c>
      <c r="B478">
        <v>8079851</v>
      </c>
      <c r="C478" s="13">
        <v>40330.561805555553</v>
      </c>
      <c r="D478">
        <v>4639</v>
      </c>
      <c r="E478">
        <v>19.329999999999998</v>
      </c>
      <c r="F478" t="s">
        <v>1987</v>
      </c>
      <c r="G478">
        <v>60510</v>
      </c>
      <c r="H478" t="s">
        <v>2014</v>
      </c>
      <c r="I478" t="s">
        <v>2001</v>
      </c>
      <c r="J478" s="8">
        <v>4074</v>
      </c>
      <c r="K478">
        <v>5912</v>
      </c>
    </row>
    <row r="479" spans="1:11" x14ac:dyDescent="0.3">
      <c r="A479">
        <v>0</v>
      </c>
      <c r="B479">
        <v>8085726</v>
      </c>
      <c r="C479" s="13">
        <v>40331.922222222223</v>
      </c>
      <c r="D479">
        <v>4639</v>
      </c>
      <c r="E479">
        <v>54.4</v>
      </c>
      <c r="F479" t="s">
        <v>1987</v>
      </c>
      <c r="G479">
        <v>32164</v>
      </c>
      <c r="H479" t="s">
        <v>2014</v>
      </c>
      <c r="I479" t="s">
        <v>2001</v>
      </c>
      <c r="J479" s="8">
        <v>4074</v>
      </c>
      <c r="K479">
        <v>5813</v>
      </c>
    </row>
    <row r="480" spans="1:11" x14ac:dyDescent="0.3">
      <c r="A480">
        <v>0</v>
      </c>
      <c r="B480">
        <v>8086032</v>
      </c>
      <c r="C480" s="13">
        <v>40332.165277777778</v>
      </c>
      <c r="D480">
        <v>4639</v>
      </c>
      <c r="E480">
        <v>44.81</v>
      </c>
      <c r="F480" t="s">
        <v>1994</v>
      </c>
      <c r="G480">
        <v>27310</v>
      </c>
      <c r="H480" t="s">
        <v>1993</v>
      </c>
      <c r="I480" t="s">
        <v>3719</v>
      </c>
      <c r="J480" s="8" t="s">
        <v>3719</v>
      </c>
      <c r="K480">
        <v>7349</v>
      </c>
    </row>
    <row r="481" spans="1:12" x14ac:dyDescent="0.3">
      <c r="A481">
        <v>0</v>
      </c>
      <c r="B481">
        <v>8086461</v>
      </c>
      <c r="C481" s="13">
        <v>40332.302083333336</v>
      </c>
      <c r="D481">
        <v>4639</v>
      </c>
      <c r="E481">
        <v>44.01</v>
      </c>
      <c r="F481" t="s">
        <v>1987</v>
      </c>
      <c r="G481">
        <v>28395</v>
      </c>
      <c r="H481" t="s">
        <v>2022</v>
      </c>
      <c r="I481" t="s">
        <v>2001</v>
      </c>
      <c r="J481" s="8">
        <v>4083</v>
      </c>
      <c r="K481">
        <v>5541</v>
      </c>
    </row>
    <row r="482" spans="1:12" x14ac:dyDescent="0.3">
      <c r="A482">
        <v>0</v>
      </c>
      <c r="B482">
        <v>8087980</v>
      </c>
      <c r="C482" s="13">
        <v>40332.525000000001</v>
      </c>
      <c r="D482">
        <v>4639</v>
      </c>
      <c r="E482">
        <v>-78</v>
      </c>
      <c r="F482" t="s">
        <v>1987</v>
      </c>
      <c r="G482">
        <v>28395</v>
      </c>
      <c r="H482" t="s">
        <v>2022</v>
      </c>
      <c r="I482" t="s">
        <v>2001</v>
      </c>
      <c r="J482" s="8">
        <v>4083</v>
      </c>
      <c r="K482">
        <v>5541</v>
      </c>
    </row>
    <row r="483" spans="1:12" x14ac:dyDescent="0.3">
      <c r="A483">
        <v>0</v>
      </c>
      <c r="B483">
        <v>8088011</v>
      </c>
      <c r="C483" s="13">
        <v>40332.529166666667</v>
      </c>
      <c r="D483">
        <v>4639</v>
      </c>
      <c r="E483">
        <v>78</v>
      </c>
      <c r="F483" t="s">
        <v>1987</v>
      </c>
      <c r="G483">
        <v>28395</v>
      </c>
      <c r="H483" t="s">
        <v>2022</v>
      </c>
      <c r="I483" t="s">
        <v>2001</v>
      </c>
      <c r="J483" s="8">
        <v>4083</v>
      </c>
      <c r="K483">
        <v>5541</v>
      </c>
    </row>
    <row r="484" spans="1:12" x14ac:dyDescent="0.3">
      <c r="A484">
        <v>0</v>
      </c>
      <c r="B484">
        <v>8088039</v>
      </c>
      <c r="C484" s="13">
        <v>40332.533333333333</v>
      </c>
      <c r="D484">
        <v>4639</v>
      </c>
      <c r="E484">
        <v>52.75</v>
      </c>
      <c r="F484" t="s">
        <v>1987</v>
      </c>
      <c r="G484">
        <v>28395</v>
      </c>
      <c r="H484" t="s">
        <v>2022</v>
      </c>
      <c r="I484" t="s">
        <v>2001</v>
      </c>
      <c r="J484" s="8">
        <v>4083</v>
      </c>
      <c r="K484">
        <v>5541</v>
      </c>
    </row>
    <row r="485" spans="1:12" x14ac:dyDescent="0.3">
      <c r="A485">
        <v>0</v>
      </c>
      <c r="B485">
        <v>8088182</v>
      </c>
      <c r="C485" s="13">
        <v>40332.554166666669</v>
      </c>
      <c r="D485">
        <v>4639</v>
      </c>
      <c r="E485">
        <v>42.38</v>
      </c>
      <c r="F485" t="s">
        <v>1987</v>
      </c>
      <c r="G485">
        <v>60510</v>
      </c>
      <c r="H485" t="s">
        <v>2014</v>
      </c>
      <c r="I485" t="s">
        <v>2001</v>
      </c>
      <c r="J485" s="8">
        <v>4074</v>
      </c>
      <c r="K485">
        <v>5912</v>
      </c>
    </row>
    <row r="486" spans="1:12" x14ac:dyDescent="0.3">
      <c r="A486">
        <v>0</v>
      </c>
      <c r="B486">
        <v>8088375</v>
      </c>
      <c r="C486" s="13">
        <v>40332.583333333336</v>
      </c>
      <c r="D486">
        <v>4639</v>
      </c>
      <c r="E486">
        <v>8.36</v>
      </c>
      <c r="F486" t="s">
        <v>1987</v>
      </c>
      <c r="G486">
        <v>26593</v>
      </c>
      <c r="H486" t="s">
        <v>2014</v>
      </c>
      <c r="I486" t="s">
        <v>2001</v>
      </c>
      <c r="J486" s="8">
        <v>4074</v>
      </c>
      <c r="K486">
        <v>5300</v>
      </c>
    </row>
    <row r="487" spans="1:12" x14ac:dyDescent="0.3">
      <c r="A487">
        <v>0</v>
      </c>
      <c r="B487">
        <v>8088471</v>
      </c>
      <c r="C487" s="13">
        <v>40332.597916666666</v>
      </c>
      <c r="D487">
        <v>4639</v>
      </c>
      <c r="E487">
        <v>29.84</v>
      </c>
      <c r="F487" t="s">
        <v>1987</v>
      </c>
      <c r="G487">
        <v>24206</v>
      </c>
      <c r="H487" t="s">
        <v>2014</v>
      </c>
      <c r="I487" t="s">
        <v>2001</v>
      </c>
      <c r="J487" s="8">
        <v>4074</v>
      </c>
      <c r="K487">
        <v>4121</v>
      </c>
    </row>
    <row r="488" spans="1:12" x14ac:dyDescent="0.3">
      <c r="A488">
        <v>0</v>
      </c>
      <c r="B488">
        <v>8089880</v>
      </c>
      <c r="C488" s="13">
        <v>40332.920138888891</v>
      </c>
      <c r="D488">
        <v>4639</v>
      </c>
      <c r="E488">
        <v>52.13</v>
      </c>
      <c r="F488" t="s">
        <v>1987</v>
      </c>
      <c r="G488">
        <v>32164</v>
      </c>
      <c r="H488" t="s">
        <v>2014</v>
      </c>
      <c r="I488" t="s">
        <v>2001</v>
      </c>
      <c r="J488" s="8">
        <v>4074</v>
      </c>
      <c r="K488">
        <v>5813</v>
      </c>
    </row>
    <row r="489" spans="1:12" x14ac:dyDescent="0.3">
      <c r="A489">
        <v>0</v>
      </c>
      <c r="B489">
        <v>8093190</v>
      </c>
      <c r="C489" s="13">
        <v>40333.815972222219</v>
      </c>
      <c r="D489">
        <v>4639</v>
      </c>
      <c r="E489">
        <v>5.66</v>
      </c>
      <c r="F489" t="s">
        <v>1987</v>
      </c>
      <c r="G489">
        <v>98648</v>
      </c>
      <c r="H489" t="s">
        <v>2014</v>
      </c>
      <c r="I489" t="s">
        <v>2001</v>
      </c>
      <c r="J489" s="8">
        <v>4074</v>
      </c>
      <c r="K489">
        <v>5814</v>
      </c>
    </row>
    <row r="490" spans="1:12" x14ac:dyDescent="0.3">
      <c r="A490">
        <v>0</v>
      </c>
      <c r="B490">
        <v>8093359</v>
      </c>
      <c r="C490" s="13">
        <v>40333.865277777775</v>
      </c>
      <c r="D490">
        <v>4639</v>
      </c>
      <c r="E490">
        <v>7.74</v>
      </c>
      <c r="F490" t="s">
        <v>1987</v>
      </c>
      <c r="G490">
        <v>98648</v>
      </c>
      <c r="H490" t="s">
        <v>2014</v>
      </c>
      <c r="I490" t="s">
        <v>2001</v>
      </c>
      <c r="J490" s="8">
        <v>4074</v>
      </c>
      <c r="K490">
        <v>5814</v>
      </c>
    </row>
    <row r="491" spans="1:12" x14ac:dyDescent="0.3">
      <c r="A491">
        <v>0</v>
      </c>
      <c r="B491">
        <v>8093565</v>
      </c>
      <c r="C491" s="13">
        <v>40333.927083333336</v>
      </c>
      <c r="D491">
        <v>4639</v>
      </c>
      <c r="E491">
        <v>52.28</v>
      </c>
      <c r="F491" t="s">
        <v>1987</v>
      </c>
      <c r="G491">
        <v>32164</v>
      </c>
      <c r="H491" t="s">
        <v>2014</v>
      </c>
      <c r="I491" t="s">
        <v>2001</v>
      </c>
      <c r="J491" s="8">
        <v>4074</v>
      </c>
      <c r="K491">
        <v>5813</v>
      </c>
    </row>
    <row r="492" spans="1:12" x14ac:dyDescent="0.3">
      <c r="A492">
        <v>0</v>
      </c>
      <c r="B492">
        <v>8093939</v>
      </c>
      <c r="C492" s="13">
        <v>40334.253472222219</v>
      </c>
      <c r="D492">
        <v>4639</v>
      </c>
      <c r="E492">
        <v>98.2</v>
      </c>
      <c r="F492" t="s">
        <v>1987</v>
      </c>
      <c r="G492">
        <v>60510</v>
      </c>
      <c r="H492" t="s">
        <v>2014</v>
      </c>
      <c r="I492" t="s">
        <v>2001</v>
      </c>
      <c r="J492" s="8">
        <v>4074</v>
      </c>
      <c r="K492">
        <v>5912</v>
      </c>
    </row>
    <row r="493" spans="1:12" x14ac:dyDescent="0.3">
      <c r="A493">
        <v>0</v>
      </c>
      <c r="B493">
        <v>8094003</v>
      </c>
      <c r="C493" s="13">
        <v>40334.26666666667</v>
      </c>
      <c r="D493">
        <v>4639</v>
      </c>
      <c r="E493">
        <v>125.88</v>
      </c>
      <c r="F493" t="s">
        <v>1987</v>
      </c>
      <c r="G493">
        <v>60510</v>
      </c>
      <c r="H493" t="s">
        <v>2014</v>
      </c>
      <c r="I493" t="s">
        <v>2001</v>
      </c>
      <c r="J493" s="8">
        <v>4074</v>
      </c>
      <c r="K493">
        <v>5912</v>
      </c>
      <c r="L493" t="s">
        <v>1988</v>
      </c>
    </row>
    <row r="494" spans="1:12" x14ac:dyDescent="0.3">
      <c r="A494">
        <v>0</v>
      </c>
      <c r="B494">
        <v>8096995</v>
      </c>
      <c r="C494" s="13">
        <v>40334.818749999999</v>
      </c>
      <c r="D494">
        <v>4639</v>
      </c>
      <c r="E494">
        <v>10.06</v>
      </c>
      <c r="F494" t="s">
        <v>1987</v>
      </c>
      <c r="G494">
        <v>55060</v>
      </c>
      <c r="H494" t="s">
        <v>2014</v>
      </c>
      <c r="I494" t="s">
        <v>2001</v>
      </c>
      <c r="J494" s="8">
        <v>4074</v>
      </c>
      <c r="K494">
        <v>5812</v>
      </c>
    </row>
    <row r="495" spans="1:12" x14ac:dyDescent="0.3">
      <c r="A495">
        <v>0</v>
      </c>
      <c r="B495">
        <v>8097340</v>
      </c>
      <c r="C495" s="13">
        <v>40334.918749999997</v>
      </c>
      <c r="D495">
        <v>4639</v>
      </c>
      <c r="E495">
        <v>61.98</v>
      </c>
      <c r="F495" t="s">
        <v>1987</v>
      </c>
      <c r="G495">
        <v>32164</v>
      </c>
      <c r="H495" t="s">
        <v>2014</v>
      </c>
      <c r="I495" t="s">
        <v>2001</v>
      </c>
      <c r="J495" s="8">
        <v>4074</v>
      </c>
      <c r="K495">
        <v>5813</v>
      </c>
    </row>
    <row r="496" spans="1:12" x14ac:dyDescent="0.3">
      <c r="A496">
        <v>0</v>
      </c>
      <c r="B496">
        <v>8099566</v>
      </c>
      <c r="C496" s="13">
        <v>40335.530555555553</v>
      </c>
      <c r="D496">
        <v>4639</v>
      </c>
      <c r="E496">
        <v>80.09</v>
      </c>
      <c r="F496" t="s">
        <v>1987</v>
      </c>
      <c r="G496">
        <v>28395</v>
      </c>
      <c r="H496" t="s">
        <v>2022</v>
      </c>
      <c r="I496" t="s">
        <v>2001</v>
      </c>
      <c r="J496" s="8">
        <v>4083</v>
      </c>
      <c r="K496">
        <v>5541</v>
      </c>
    </row>
    <row r="497" spans="1:11" x14ac:dyDescent="0.3">
      <c r="A497">
        <v>0</v>
      </c>
      <c r="B497">
        <v>8099633</v>
      </c>
      <c r="C497" s="13">
        <v>40335.539583333331</v>
      </c>
      <c r="D497">
        <v>4639</v>
      </c>
      <c r="E497">
        <v>-67</v>
      </c>
      <c r="F497" t="s">
        <v>1987</v>
      </c>
      <c r="G497">
        <v>28395</v>
      </c>
      <c r="H497" t="s">
        <v>2022</v>
      </c>
      <c r="I497" t="s">
        <v>2001</v>
      </c>
      <c r="J497" s="8">
        <v>4083</v>
      </c>
      <c r="K497">
        <v>5541</v>
      </c>
    </row>
    <row r="498" spans="1:11" x14ac:dyDescent="0.3">
      <c r="A498">
        <v>0</v>
      </c>
      <c r="B498">
        <v>8099640</v>
      </c>
      <c r="C498" s="13">
        <v>40335.540277777778</v>
      </c>
      <c r="D498">
        <v>4639</v>
      </c>
      <c r="E498">
        <v>67</v>
      </c>
      <c r="F498" t="s">
        <v>1987</v>
      </c>
      <c r="G498">
        <v>28395</v>
      </c>
      <c r="H498" t="s">
        <v>2022</v>
      </c>
      <c r="I498" t="s">
        <v>2001</v>
      </c>
      <c r="J498" s="8">
        <v>4083</v>
      </c>
      <c r="K498">
        <v>5541</v>
      </c>
    </row>
    <row r="499" spans="1:11" x14ac:dyDescent="0.3">
      <c r="A499">
        <v>0</v>
      </c>
      <c r="B499">
        <v>8100101</v>
      </c>
      <c r="C499" s="13">
        <v>40335.605555555558</v>
      </c>
      <c r="D499">
        <v>4639</v>
      </c>
      <c r="E499">
        <v>1.72</v>
      </c>
      <c r="F499" t="s">
        <v>1987</v>
      </c>
      <c r="G499">
        <v>14528</v>
      </c>
      <c r="H499" t="s">
        <v>2014</v>
      </c>
      <c r="I499" t="s">
        <v>2001</v>
      </c>
      <c r="J499" s="8">
        <v>4074</v>
      </c>
      <c r="K499">
        <v>5499</v>
      </c>
    </row>
    <row r="500" spans="1:11" x14ac:dyDescent="0.3">
      <c r="A500">
        <v>0</v>
      </c>
      <c r="B500">
        <v>8104040</v>
      </c>
      <c r="C500" s="13">
        <v>40336.555555555555</v>
      </c>
      <c r="D500">
        <v>4639</v>
      </c>
      <c r="E500">
        <v>56.48</v>
      </c>
      <c r="F500" t="s">
        <v>1987</v>
      </c>
      <c r="G500">
        <v>34490</v>
      </c>
      <c r="H500" t="s">
        <v>2015</v>
      </c>
      <c r="I500" t="s">
        <v>2001</v>
      </c>
      <c r="J500" s="8">
        <v>4401</v>
      </c>
      <c r="K500">
        <v>5719</v>
      </c>
    </row>
    <row r="501" spans="1:11" x14ac:dyDescent="0.3">
      <c r="A501">
        <v>0</v>
      </c>
      <c r="B501">
        <v>8105418</v>
      </c>
      <c r="C501" s="13">
        <v>40336.813194444447</v>
      </c>
      <c r="D501">
        <v>4639</v>
      </c>
      <c r="E501">
        <v>9.23</v>
      </c>
      <c r="F501" t="s">
        <v>1987</v>
      </c>
      <c r="G501">
        <v>98648</v>
      </c>
      <c r="H501" t="s">
        <v>2014</v>
      </c>
      <c r="I501" t="s">
        <v>2001</v>
      </c>
      <c r="J501" s="8">
        <v>4074</v>
      </c>
      <c r="K501">
        <v>5814</v>
      </c>
    </row>
    <row r="502" spans="1:11" x14ac:dyDescent="0.3">
      <c r="A502">
        <v>0</v>
      </c>
      <c r="B502">
        <v>8105813</v>
      </c>
      <c r="C502" s="13">
        <v>40336.929166666669</v>
      </c>
      <c r="D502">
        <v>4639</v>
      </c>
      <c r="E502">
        <v>32.700000000000003</v>
      </c>
      <c r="F502" t="s">
        <v>1987</v>
      </c>
      <c r="G502">
        <v>32164</v>
      </c>
      <c r="H502" t="s">
        <v>2014</v>
      </c>
      <c r="I502" t="s">
        <v>2001</v>
      </c>
      <c r="J502" s="8">
        <v>4074</v>
      </c>
      <c r="K502">
        <v>5813</v>
      </c>
    </row>
    <row r="503" spans="1:11" x14ac:dyDescent="0.3">
      <c r="A503">
        <v>0</v>
      </c>
      <c r="B503">
        <v>8105841</v>
      </c>
      <c r="C503" s="13">
        <v>40336.9375</v>
      </c>
      <c r="D503">
        <v>4639</v>
      </c>
      <c r="E503">
        <v>67.44</v>
      </c>
      <c r="F503" t="s">
        <v>1987</v>
      </c>
      <c r="G503">
        <v>32164</v>
      </c>
      <c r="H503" t="s">
        <v>2014</v>
      </c>
      <c r="I503" t="s">
        <v>2001</v>
      </c>
      <c r="J503" s="8">
        <v>4074</v>
      </c>
      <c r="K503">
        <v>5813</v>
      </c>
    </row>
    <row r="504" spans="1:11" x14ac:dyDescent="0.3">
      <c r="A504">
        <v>0</v>
      </c>
      <c r="B504">
        <v>8106108</v>
      </c>
      <c r="C504" s="13">
        <v>40337.156944444447</v>
      </c>
      <c r="D504">
        <v>4639</v>
      </c>
      <c r="E504">
        <v>23.95</v>
      </c>
      <c r="F504" t="s">
        <v>1987</v>
      </c>
      <c r="G504">
        <v>68591</v>
      </c>
      <c r="H504" t="s">
        <v>2014</v>
      </c>
      <c r="I504" t="s">
        <v>2001</v>
      </c>
      <c r="J504" s="8">
        <v>4074</v>
      </c>
      <c r="K504">
        <v>7349</v>
      </c>
    </row>
    <row r="505" spans="1:11" x14ac:dyDescent="0.3">
      <c r="A505">
        <v>0</v>
      </c>
      <c r="B505">
        <v>8106570</v>
      </c>
      <c r="C505" s="13">
        <v>40337.308333333334</v>
      </c>
      <c r="D505">
        <v>4639</v>
      </c>
      <c r="E505">
        <v>126.74</v>
      </c>
      <c r="F505" t="s">
        <v>1987</v>
      </c>
      <c r="G505">
        <v>50783</v>
      </c>
      <c r="H505" t="s">
        <v>2023</v>
      </c>
      <c r="I505" t="s">
        <v>2001</v>
      </c>
      <c r="J505" s="8">
        <v>4085</v>
      </c>
      <c r="K505">
        <v>5411</v>
      </c>
    </row>
    <row r="506" spans="1:11" x14ac:dyDescent="0.3">
      <c r="A506">
        <v>0</v>
      </c>
      <c r="B506">
        <v>8108684</v>
      </c>
      <c r="C506" s="13">
        <v>40337.605555555558</v>
      </c>
      <c r="D506">
        <v>4639</v>
      </c>
      <c r="E506">
        <v>17.059999999999999</v>
      </c>
      <c r="F506" t="s">
        <v>1987</v>
      </c>
      <c r="G506">
        <v>60510</v>
      </c>
      <c r="H506" t="s">
        <v>2014</v>
      </c>
      <c r="I506" t="s">
        <v>2001</v>
      </c>
      <c r="J506" s="8">
        <v>4074</v>
      </c>
      <c r="K506">
        <v>5912</v>
      </c>
    </row>
    <row r="507" spans="1:11" x14ac:dyDescent="0.3">
      <c r="A507">
        <v>0</v>
      </c>
      <c r="B507">
        <v>8112537</v>
      </c>
      <c r="C507" s="13">
        <v>40338.554861111108</v>
      </c>
      <c r="D507">
        <v>4639</v>
      </c>
      <c r="E507">
        <v>47.95</v>
      </c>
      <c r="F507" t="s">
        <v>1987</v>
      </c>
      <c r="G507">
        <v>20519</v>
      </c>
      <c r="H507" t="s">
        <v>2002</v>
      </c>
      <c r="I507" t="s">
        <v>2001</v>
      </c>
      <c r="J507" s="8">
        <v>4101</v>
      </c>
      <c r="K507">
        <v>5942</v>
      </c>
    </row>
    <row r="508" spans="1:11" x14ac:dyDescent="0.3">
      <c r="A508">
        <v>0</v>
      </c>
      <c r="B508">
        <v>8116743</v>
      </c>
      <c r="C508" s="13">
        <v>40339.556250000001</v>
      </c>
      <c r="D508">
        <v>4639</v>
      </c>
      <c r="E508">
        <v>45.58</v>
      </c>
      <c r="F508" t="s">
        <v>1987</v>
      </c>
      <c r="G508">
        <v>41527</v>
      </c>
      <c r="H508" t="s">
        <v>2014</v>
      </c>
      <c r="I508" t="s">
        <v>2001</v>
      </c>
      <c r="J508" s="8">
        <v>4074</v>
      </c>
      <c r="K508">
        <v>5310</v>
      </c>
    </row>
    <row r="509" spans="1:11" x14ac:dyDescent="0.3">
      <c r="A509">
        <v>0</v>
      </c>
      <c r="B509">
        <v>8118384</v>
      </c>
      <c r="C509" s="13">
        <v>40339.90625</v>
      </c>
      <c r="D509">
        <v>4639</v>
      </c>
      <c r="E509">
        <v>170.04</v>
      </c>
      <c r="F509" t="s">
        <v>1987</v>
      </c>
      <c r="G509">
        <v>41527</v>
      </c>
      <c r="H509" t="s">
        <v>2014</v>
      </c>
      <c r="I509" t="s">
        <v>2001</v>
      </c>
      <c r="J509" s="8">
        <v>4074</v>
      </c>
      <c r="K509">
        <v>5310</v>
      </c>
    </row>
    <row r="510" spans="1:11" x14ac:dyDescent="0.3">
      <c r="A510">
        <v>0</v>
      </c>
      <c r="B510">
        <v>8119946</v>
      </c>
      <c r="C510" s="13">
        <v>40340.460416666669</v>
      </c>
      <c r="D510">
        <v>4639</v>
      </c>
      <c r="E510">
        <v>22.14</v>
      </c>
      <c r="F510" t="s">
        <v>1987</v>
      </c>
      <c r="G510">
        <v>83480</v>
      </c>
      <c r="H510" t="s">
        <v>2014</v>
      </c>
      <c r="I510" t="s">
        <v>2001</v>
      </c>
      <c r="J510" s="8">
        <v>4074</v>
      </c>
      <c r="K510">
        <v>9402</v>
      </c>
    </row>
    <row r="511" spans="1:11" x14ac:dyDescent="0.3">
      <c r="A511">
        <v>0</v>
      </c>
      <c r="B511">
        <v>8120809</v>
      </c>
      <c r="C511" s="13">
        <v>40340.592361111114</v>
      </c>
      <c r="D511">
        <v>4639</v>
      </c>
      <c r="E511">
        <v>29.69</v>
      </c>
      <c r="F511" t="s">
        <v>1987</v>
      </c>
      <c r="G511">
        <v>24206</v>
      </c>
      <c r="H511" t="s">
        <v>2014</v>
      </c>
      <c r="I511" t="s">
        <v>2001</v>
      </c>
      <c r="J511" s="8">
        <v>4074</v>
      </c>
      <c r="K511">
        <v>4121</v>
      </c>
    </row>
    <row r="512" spans="1:11" x14ac:dyDescent="0.3">
      <c r="A512">
        <v>0</v>
      </c>
      <c r="B512">
        <v>8120973</v>
      </c>
      <c r="C512" s="13">
        <v>40340.615277777775</v>
      </c>
      <c r="D512">
        <v>4639</v>
      </c>
      <c r="E512">
        <v>9.31</v>
      </c>
      <c r="F512" t="s">
        <v>1987</v>
      </c>
      <c r="G512">
        <v>20561</v>
      </c>
      <c r="H512" t="s">
        <v>2014</v>
      </c>
      <c r="I512" t="s">
        <v>2001</v>
      </c>
      <c r="J512" s="8">
        <v>4074</v>
      </c>
      <c r="K512">
        <v>5912</v>
      </c>
    </row>
    <row r="513" spans="1:11" x14ac:dyDescent="0.3">
      <c r="A513">
        <v>0</v>
      </c>
      <c r="B513">
        <v>8122428</v>
      </c>
      <c r="C513" s="13">
        <v>40340.972222222219</v>
      </c>
      <c r="D513">
        <v>4639</v>
      </c>
      <c r="E513">
        <v>62.87</v>
      </c>
      <c r="F513" t="s">
        <v>1987</v>
      </c>
      <c r="G513">
        <v>32164</v>
      </c>
      <c r="H513" t="s">
        <v>2014</v>
      </c>
      <c r="I513" t="s">
        <v>2001</v>
      </c>
      <c r="J513" s="8">
        <v>4074</v>
      </c>
      <c r="K513">
        <v>5813</v>
      </c>
    </row>
    <row r="514" spans="1:11" x14ac:dyDescent="0.3">
      <c r="A514">
        <v>0</v>
      </c>
      <c r="B514">
        <v>8122611</v>
      </c>
      <c r="C514" s="13">
        <v>40341.165277777778</v>
      </c>
      <c r="D514">
        <v>4639</v>
      </c>
      <c r="E514">
        <v>28.71</v>
      </c>
      <c r="F514" t="s">
        <v>1994</v>
      </c>
      <c r="G514">
        <v>84682</v>
      </c>
      <c r="H514" t="s">
        <v>1993</v>
      </c>
      <c r="I514" t="s">
        <v>3719</v>
      </c>
      <c r="J514" s="8" t="s">
        <v>3719</v>
      </c>
      <c r="K514">
        <v>4900</v>
      </c>
    </row>
    <row r="515" spans="1:11" x14ac:dyDescent="0.3">
      <c r="A515">
        <v>0</v>
      </c>
      <c r="B515">
        <v>8126201</v>
      </c>
      <c r="C515" s="13">
        <v>40341.929166666669</v>
      </c>
      <c r="D515">
        <v>4639</v>
      </c>
      <c r="E515">
        <v>52.26</v>
      </c>
      <c r="F515" t="s">
        <v>1987</v>
      </c>
      <c r="G515">
        <v>32164</v>
      </c>
      <c r="H515" t="s">
        <v>2014</v>
      </c>
      <c r="I515" t="s">
        <v>2001</v>
      </c>
      <c r="J515" s="8">
        <v>4074</v>
      </c>
      <c r="K515">
        <v>5813</v>
      </c>
    </row>
    <row r="516" spans="1:11" x14ac:dyDescent="0.3">
      <c r="A516">
        <v>0</v>
      </c>
      <c r="B516">
        <v>8133137</v>
      </c>
      <c r="C516" s="13">
        <v>40343.592361111114</v>
      </c>
      <c r="D516">
        <v>4639</v>
      </c>
      <c r="E516">
        <v>35.03</v>
      </c>
      <c r="F516" t="s">
        <v>1987</v>
      </c>
      <c r="G516">
        <v>60510</v>
      </c>
      <c r="H516" t="s">
        <v>2014</v>
      </c>
      <c r="I516" t="s">
        <v>2001</v>
      </c>
      <c r="J516" s="8">
        <v>4074</v>
      </c>
      <c r="K516">
        <v>5912</v>
      </c>
    </row>
    <row r="517" spans="1:11" x14ac:dyDescent="0.3">
      <c r="A517">
        <v>0</v>
      </c>
      <c r="B517">
        <v>8136559</v>
      </c>
      <c r="C517" s="13">
        <v>40344.490277777775</v>
      </c>
      <c r="D517">
        <v>4639</v>
      </c>
      <c r="E517">
        <v>82.87</v>
      </c>
      <c r="F517" t="s">
        <v>1987</v>
      </c>
      <c r="G517">
        <v>57053</v>
      </c>
      <c r="H517" t="s">
        <v>2014</v>
      </c>
      <c r="I517" t="s">
        <v>2001</v>
      </c>
      <c r="J517" s="8">
        <v>4074</v>
      </c>
      <c r="K517">
        <v>7538</v>
      </c>
    </row>
    <row r="518" spans="1:11" x14ac:dyDescent="0.3">
      <c r="A518">
        <v>0</v>
      </c>
      <c r="B518">
        <v>8138265</v>
      </c>
      <c r="C518" s="13">
        <v>40344.777777777781</v>
      </c>
      <c r="D518">
        <v>4639</v>
      </c>
      <c r="E518">
        <v>6.05</v>
      </c>
      <c r="F518" t="s">
        <v>1987</v>
      </c>
      <c r="G518">
        <v>55060</v>
      </c>
      <c r="H518" t="s">
        <v>2014</v>
      </c>
      <c r="I518" t="s">
        <v>2001</v>
      </c>
      <c r="J518" s="8">
        <v>4074</v>
      </c>
      <c r="K518">
        <v>5812</v>
      </c>
    </row>
    <row r="519" spans="1:11" x14ac:dyDescent="0.3">
      <c r="A519">
        <v>0</v>
      </c>
      <c r="B519">
        <v>8138315</v>
      </c>
      <c r="C519" s="13">
        <v>40344.791666666664</v>
      </c>
      <c r="D519">
        <v>4639</v>
      </c>
      <c r="E519">
        <v>160</v>
      </c>
      <c r="F519" t="s">
        <v>1987</v>
      </c>
      <c r="G519">
        <v>27092</v>
      </c>
      <c r="H519" t="s">
        <v>2002</v>
      </c>
      <c r="I519" t="s">
        <v>2001</v>
      </c>
      <c r="J519" s="8">
        <v>4102</v>
      </c>
      <c r="K519">
        <v>4829</v>
      </c>
    </row>
    <row r="520" spans="1:11" x14ac:dyDescent="0.3">
      <c r="A520">
        <v>0</v>
      </c>
      <c r="B520">
        <v>8141267</v>
      </c>
      <c r="C520" s="13">
        <v>40345.553472222222</v>
      </c>
      <c r="D520">
        <v>4639</v>
      </c>
      <c r="E520">
        <v>41.71</v>
      </c>
      <c r="F520" t="s">
        <v>1987</v>
      </c>
      <c r="G520">
        <v>50783</v>
      </c>
      <c r="H520" t="s">
        <v>2023</v>
      </c>
      <c r="I520" t="s">
        <v>2001</v>
      </c>
      <c r="J520" s="8">
        <v>4085</v>
      </c>
      <c r="K520">
        <v>5411</v>
      </c>
    </row>
    <row r="521" spans="1:11" x14ac:dyDescent="0.3">
      <c r="A521">
        <v>0</v>
      </c>
      <c r="B521">
        <v>8142591</v>
      </c>
      <c r="C521" s="13">
        <v>40345.813888888886</v>
      </c>
      <c r="D521">
        <v>4639</v>
      </c>
      <c r="E521">
        <v>10.48</v>
      </c>
      <c r="F521" t="s">
        <v>1987</v>
      </c>
      <c r="G521">
        <v>98648</v>
      </c>
      <c r="H521" t="s">
        <v>2014</v>
      </c>
      <c r="I521" t="s">
        <v>2001</v>
      </c>
      <c r="J521" s="8">
        <v>4074</v>
      </c>
      <c r="K521">
        <v>5814</v>
      </c>
    </row>
    <row r="522" spans="1:11" x14ac:dyDescent="0.3">
      <c r="A522">
        <v>0</v>
      </c>
      <c r="B522">
        <v>8145461</v>
      </c>
      <c r="C522" s="13">
        <v>40346.555555555555</v>
      </c>
      <c r="D522">
        <v>4639</v>
      </c>
      <c r="E522">
        <v>31.88</v>
      </c>
      <c r="F522" t="s">
        <v>1987</v>
      </c>
      <c r="G522">
        <v>41527</v>
      </c>
      <c r="H522" t="s">
        <v>2014</v>
      </c>
      <c r="I522" t="s">
        <v>2001</v>
      </c>
      <c r="J522" s="8">
        <v>4074</v>
      </c>
      <c r="K522">
        <v>5310</v>
      </c>
    </row>
    <row r="523" spans="1:11" x14ac:dyDescent="0.3">
      <c r="A523">
        <v>0</v>
      </c>
      <c r="B523">
        <v>8146827</v>
      </c>
      <c r="C523" s="13">
        <v>40346.815972222219</v>
      </c>
      <c r="D523">
        <v>4639</v>
      </c>
      <c r="E523">
        <v>11.18</v>
      </c>
      <c r="F523" t="s">
        <v>1987</v>
      </c>
      <c r="G523">
        <v>13153</v>
      </c>
      <c r="H523" t="s">
        <v>2014</v>
      </c>
      <c r="I523" t="s">
        <v>2001</v>
      </c>
      <c r="J523" s="8">
        <v>4074</v>
      </c>
      <c r="K523">
        <v>5812</v>
      </c>
    </row>
    <row r="524" spans="1:11" x14ac:dyDescent="0.3">
      <c r="A524">
        <v>0</v>
      </c>
      <c r="B524">
        <v>8147193</v>
      </c>
      <c r="C524" s="13">
        <v>40346.927777777775</v>
      </c>
      <c r="D524">
        <v>4639</v>
      </c>
      <c r="E524">
        <v>39.56</v>
      </c>
      <c r="F524" t="s">
        <v>1987</v>
      </c>
      <c r="G524">
        <v>32164</v>
      </c>
      <c r="H524" t="s">
        <v>2014</v>
      </c>
      <c r="I524" t="s">
        <v>2001</v>
      </c>
      <c r="J524" s="8">
        <v>4074</v>
      </c>
      <c r="K524">
        <v>5813</v>
      </c>
    </row>
    <row r="525" spans="1:11" x14ac:dyDescent="0.3">
      <c r="A525">
        <v>0</v>
      </c>
      <c r="B525">
        <v>8149323</v>
      </c>
      <c r="C525" s="13">
        <v>40347.556944444441</v>
      </c>
      <c r="D525">
        <v>4639</v>
      </c>
      <c r="E525">
        <v>47.44</v>
      </c>
      <c r="F525" t="s">
        <v>1987</v>
      </c>
      <c r="G525">
        <v>90865</v>
      </c>
      <c r="H525" t="s">
        <v>2025</v>
      </c>
      <c r="I525" t="s">
        <v>2001</v>
      </c>
      <c r="J525" s="8">
        <v>4254</v>
      </c>
      <c r="K525">
        <v>5311</v>
      </c>
    </row>
    <row r="526" spans="1:11" x14ac:dyDescent="0.3">
      <c r="A526">
        <v>0</v>
      </c>
      <c r="B526">
        <v>8150707</v>
      </c>
      <c r="C526" s="13">
        <v>40347.828472222223</v>
      </c>
      <c r="D526">
        <v>4639</v>
      </c>
      <c r="E526">
        <v>7.73</v>
      </c>
      <c r="F526" t="s">
        <v>1987</v>
      </c>
      <c r="G526">
        <v>98648</v>
      </c>
      <c r="H526" t="s">
        <v>2014</v>
      </c>
      <c r="I526" t="s">
        <v>2001</v>
      </c>
      <c r="J526" s="8">
        <v>4074</v>
      </c>
      <c r="K526">
        <v>5814</v>
      </c>
    </row>
    <row r="527" spans="1:11" x14ac:dyDescent="0.3">
      <c r="A527">
        <v>0</v>
      </c>
      <c r="B527">
        <v>8150724</v>
      </c>
      <c r="C527" s="13">
        <v>40347.834722222222</v>
      </c>
      <c r="D527">
        <v>4639</v>
      </c>
      <c r="E527">
        <v>7.4</v>
      </c>
      <c r="F527" t="s">
        <v>1987</v>
      </c>
      <c r="G527">
        <v>55060</v>
      </c>
      <c r="H527" t="s">
        <v>2014</v>
      </c>
      <c r="I527" t="s">
        <v>2001</v>
      </c>
      <c r="J527" s="8">
        <v>4074</v>
      </c>
      <c r="K527">
        <v>5812</v>
      </c>
    </row>
    <row r="528" spans="1:11" x14ac:dyDescent="0.3">
      <c r="A528">
        <v>0</v>
      </c>
      <c r="B528">
        <v>8152964</v>
      </c>
      <c r="C528" s="13">
        <v>40348.521527777775</v>
      </c>
      <c r="D528">
        <v>4639</v>
      </c>
      <c r="E528">
        <v>94</v>
      </c>
      <c r="F528" t="s">
        <v>1987</v>
      </c>
      <c r="G528">
        <v>28395</v>
      </c>
      <c r="H528" t="s">
        <v>2022</v>
      </c>
      <c r="I528" t="s">
        <v>2001</v>
      </c>
      <c r="J528" s="8">
        <v>4083</v>
      </c>
      <c r="K528">
        <v>5541</v>
      </c>
    </row>
    <row r="529" spans="1:11" x14ac:dyDescent="0.3">
      <c r="A529">
        <v>0</v>
      </c>
      <c r="B529">
        <v>8153059</v>
      </c>
      <c r="C529" s="13">
        <v>40348.534722222219</v>
      </c>
      <c r="D529">
        <v>4639</v>
      </c>
      <c r="E529">
        <v>-94</v>
      </c>
      <c r="F529" t="s">
        <v>1987</v>
      </c>
      <c r="G529">
        <v>28395</v>
      </c>
      <c r="H529" t="s">
        <v>2022</v>
      </c>
      <c r="I529" t="s">
        <v>2001</v>
      </c>
      <c r="J529" s="8">
        <v>4083</v>
      </c>
      <c r="K529">
        <v>5541</v>
      </c>
    </row>
    <row r="530" spans="1:11" x14ac:dyDescent="0.3">
      <c r="A530">
        <v>0</v>
      </c>
      <c r="B530">
        <v>8153069</v>
      </c>
      <c r="C530" s="13">
        <v>40348.536111111112</v>
      </c>
      <c r="D530">
        <v>4639</v>
      </c>
      <c r="E530">
        <v>64.569999999999993</v>
      </c>
      <c r="F530" t="s">
        <v>1987</v>
      </c>
      <c r="G530">
        <v>28395</v>
      </c>
      <c r="H530" t="s">
        <v>2022</v>
      </c>
      <c r="I530" t="s">
        <v>2001</v>
      </c>
      <c r="J530" s="8">
        <v>4083</v>
      </c>
      <c r="K530">
        <v>5541</v>
      </c>
    </row>
    <row r="531" spans="1:11" x14ac:dyDescent="0.3">
      <c r="A531">
        <v>0</v>
      </c>
      <c r="B531">
        <v>8153140</v>
      </c>
      <c r="C531" s="13">
        <v>40348.547222222223</v>
      </c>
      <c r="D531">
        <v>4639</v>
      </c>
      <c r="E531">
        <v>66.2</v>
      </c>
      <c r="F531" t="s">
        <v>1987</v>
      </c>
      <c r="G531">
        <v>34490</v>
      </c>
      <c r="H531" t="s">
        <v>2015</v>
      </c>
      <c r="I531" t="s">
        <v>2001</v>
      </c>
      <c r="J531" s="8">
        <v>4401</v>
      </c>
      <c r="K531">
        <v>5719</v>
      </c>
    </row>
    <row r="532" spans="1:11" x14ac:dyDescent="0.3">
      <c r="A532">
        <v>0</v>
      </c>
      <c r="B532">
        <v>8154551</v>
      </c>
      <c r="C532" s="13">
        <v>40348.814583333333</v>
      </c>
      <c r="D532">
        <v>4639</v>
      </c>
      <c r="E532">
        <v>11.5</v>
      </c>
      <c r="F532" t="s">
        <v>1987</v>
      </c>
      <c r="G532">
        <v>13153</v>
      </c>
      <c r="H532" t="s">
        <v>2014</v>
      </c>
      <c r="I532" t="s">
        <v>2001</v>
      </c>
      <c r="J532" s="8">
        <v>4074</v>
      </c>
      <c r="K532">
        <v>5812</v>
      </c>
    </row>
    <row r="533" spans="1:11" x14ac:dyDescent="0.3">
      <c r="A533">
        <v>0</v>
      </c>
      <c r="B533">
        <v>8161609</v>
      </c>
      <c r="C533" s="13">
        <v>40350.556944444441</v>
      </c>
      <c r="D533">
        <v>4639</v>
      </c>
      <c r="E533">
        <v>50.6</v>
      </c>
      <c r="F533" t="s">
        <v>1987</v>
      </c>
      <c r="G533">
        <v>48919</v>
      </c>
      <c r="H533" t="s">
        <v>2022</v>
      </c>
      <c r="I533" t="s">
        <v>2001</v>
      </c>
      <c r="J533" s="8">
        <v>4083</v>
      </c>
      <c r="K533">
        <v>5311</v>
      </c>
    </row>
    <row r="534" spans="1:11" x14ac:dyDescent="0.3">
      <c r="A534">
        <v>0</v>
      </c>
      <c r="B534">
        <v>8162938</v>
      </c>
      <c r="C534" s="13">
        <v>40350.804861111108</v>
      </c>
      <c r="D534">
        <v>4639</v>
      </c>
      <c r="E534">
        <v>10.34</v>
      </c>
      <c r="F534" t="s">
        <v>1987</v>
      </c>
      <c r="G534">
        <v>55060</v>
      </c>
      <c r="H534" t="s">
        <v>2014</v>
      </c>
      <c r="I534" t="s">
        <v>2001</v>
      </c>
      <c r="J534" s="8">
        <v>4074</v>
      </c>
      <c r="K534">
        <v>5812</v>
      </c>
    </row>
    <row r="535" spans="1:11" x14ac:dyDescent="0.3">
      <c r="A535">
        <v>0</v>
      </c>
      <c r="B535">
        <v>8163879</v>
      </c>
      <c r="C535" s="13">
        <v>40351.286805555559</v>
      </c>
      <c r="D535">
        <v>4639</v>
      </c>
      <c r="E535">
        <v>109.41</v>
      </c>
      <c r="F535" t="s">
        <v>1987</v>
      </c>
      <c r="G535">
        <v>48919</v>
      </c>
      <c r="H535" t="s">
        <v>2022</v>
      </c>
      <c r="I535" t="s">
        <v>2001</v>
      </c>
      <c r="J535" s="8">
        <v>4083</v>
      </c>
      <c r="K535">
        <v>5311</v>
      </c>
    </row>
    <row r="536" spans="1:11" x14ac:dyDescent="0.3">
      <c r="A536">
        <v>0</v>
      </c>
      <c r="B536">
        <v>8165558</v>
      </c>
      <c r="C536" s="13">
        <v>40351.521527777775</v>
      </c>
      <c r="D536">
        <v>4639</v>
      </c>
      <c r="E536">
        <v>-59</v>
      </c>
      <c r="F536" t="s">
        <v>1987</v>
      </c>
      <c r="G536">
        <v>28395</v>
      </c>
      <c r="H536" t="s">
        <v>2022</v>
      </c>
      <c r="I536" t="s">
        <v>2001</v>
      </c>
      <c r="J536" s="8">
        <v>4083</v>
      </c>
      <c r="K536">
        <v>5541</v>
      </c>
    </row>
    <row r="537" spans="1:11" x14ac:dyDescent="0.3">
      <c r="A537">
        <v>0</v>
      </c>
      <c r="B537">
        <v>8165652</v>
      </c>
      <c r="C537" s="13">
        <v>40351.534722222219</v>
      </c>
      <c r="D537">
        <v>4639</v>
      </c>
      <c r="E537">
        <v>59</v>
      </c>
      <c r="F537" t="s">
        <v>1987</v>
      </c>
      <c r="G537">
        <v>28395</v>
      </c>
      <c r="H537" t="s">
        <v>2022</v>
      </c>
      <c r="I537" t="s">
        <v>2001</v>
      </c>
      <c r="J537" s="8">
        <v>4083</v>
      </c>
      <c r="K537">
        <v>5541</v>
      </c>
    </row>
    <row r="538" spans="1:11" x14ac:dyDescent="0.3">
      <c r="A538">
        <v>0</v>
      </c>
      <c r="B538">
        <v>8165684</v>
      </c>
      <c r="C538" s="13">
        <v>40351.539583333331</v>
      </c>
      <c r="D538">
        <v>4639</v>
      </c>
      <c r="E538">
        <v>76.05</v>
      </c>
      <c r="F538" t="s">
        <v>1987</v>
      </c>
      <c r="G538">
        <v>28395</v>
      </c>
      <c r="H538" t="s">
        <v>2022</v>
      </c>
      <c r="I538" t="s">
        <v>2001</v>
      </c>
      <c r="J538" s="8">
        <v>4083</v>
      </c>
      <c r="K538">
        <v>5541</v>
      </c>
    </row>
    <row r="539" spans="1:11" x14ac:dyDescent="0.3">
      <c r="A539">
        <v>0</v>
      </c>
      <c r="B539">
        <v>8166181</v>
      </c>
      <c r="C539" s="13">
        <v>40351.611111111109</v>
      </c>
      <c r="D539">
        <v>4639</v>
      </c>
      <c r="E539">
        <v>18.72</v>
      </c>
      <c r="F539" t="s">
        <v>1987</v>
      </c>
      <c r="G539">
        <v>50783</v>
      </c>
      <c r="H539" t="s">
        <v>2023</v>
      </c>
      <c r="I539" t="s">
        <v>2001</v>
      </c>
      <c r="J539" s="8">
        <v>4085</v>
      </c>
      <c r="K539">
        <v>5411</v>
      </c>
    </row>
    <row r="540" spans="1:11" x14ac:dyDescent="0.3">
      <c r="A540">
        <v>0</v>
      </c>
      <c r="B540">
        <v>8167134</v>
      </c>
      <c r="C540" s="13">
        <v>40351.805555555555</v>
      </c>
      <c r="D540">
        <v>4639</v>
      </c>
      <c r="E540">
        <v>160</v>
      </c>
      <c r="F540" t="s">
        <v>1987</v>
      </c>
      <c r="G540">
        <v>27092</v>
      </c>
      <c r="H540" t="s">
        <v>2002</v>
      </c>
      <c r="I540" t="s">
        <v>2001</v>
      </c>
      <c r="J540" s="8">
        <v>4102</v>
      </c>
      <c r="K540">
        <v>4829</v>
      </c>
    </row>
    <row r="541" spans="1:11" x14ac:dyDescent="0.3">
      <c r="A541">
        <v>0</v>
      </c>
      <c r="B541">
        <v>8169868</v>
      </c>
      <c r="C541" s="13">
        <v>40352.547222222223</v>
      </c>
      <c r="D541">
        <v>4639</v>
      </c>
      <c r="E541">
        <v>42.2</v>
      </c>
      <c r="F541" t="s">
        <v>1987</v>
      </c>
      <c r="G541">
        <v>60569</v>
      </c>
      <c r="H541" t="s">
        <v>2017</v>
      </c>
      <c r="I541" t="s">
        <v>2001</v>
      </c>
      <c r="J541" s="8">
        <v>4240</v>
      </c>
      <c r="K541">
        <v>5300</v>
      </c>
    </row>
    <row r="542" spans="1:11" x14ac:dyDescent="0.3">
      <c r="A542">
        <v>0</v>
      </c>
      <c r="B542">
        <v>8170202</v>
      </c>
      <c r="C542" s="13">
        <v>40352.602777777778</v>
      </c>
      <c r="D542">
        <v>4639</v>
      </c>
      <c r="E542">
        <v>28.31</v>
      </c>
      <c r="F542" t="s">
        <v>1994</v>
      </c>
      <c r="G542">
        <v>16798</v>
      </c>
      <c r="H542" t="s">
        <v>1993</v>
      </c>
      <c r="I542" t="s">
        <v>3719</v>
      </c>
      <c r="J542" s="8" t="s">
        <v>3719</v>
      </c>
      <c r="K542">
        <v>4121</v>
      </c>
    </row>
    <row r="543" spans="1:11" x14ac:dyDescent="0.3">
      <c r="A543">
        <v>0</v>
      </c>
      <c r="B543">
        <v>8171267</v>
      </c>
      <c r="C543" s="13">
        <v>40352.814583333333</v>
      </c>
      <c r="D543">
        <v>4639</v>
      </c>
      <c r="E543">
        <v>6.83</v>
      </c>
      <c r="F543" t="s">
        <v>1987</v>
      </c>
      <c r="G543">
        <v>13153</v>
      </c>
      <c r="H543" t="s">
        <v>2014</v>
      </c>
      <c r="I543" t="s">
        <v>2001</v>
      </c>
      <c r="J543" s="8">
        <v>4074</v>
      </c>
      <c r="K543">
        <v>5812</v>
      </c>
    </row>
    <row r="544" spans="1:11" x14ac:dyDescent="0.3">
      <c r="A544">
        <v>0</v>
      </c>
      <c r="B544">
        <v>8172374</v>
      </c>
      <c r="C544" s="13">
        <v>40353.309027777781</v>
      </c>
      <c r="D544">
        <v>4639</v>
      </c>
      <c r="E544">
        <v>106.7</v>
      </c>
      <c r="F544" t="s">
        <v>1987</v>
      </c>
      <c r="G544">
        <v>60569</v>
      </c>
      <c r="H544" t="s">
        <v>2017</v>
      </c>
      <c r="I544" t="s">
        <v>2001</v>
      </c>
      <c r="J544" s="8">
        <v>4240</v>
      </c>
      <c r="K544">
        <v>5300</v>
      </c>
    </row>
    <row r="545" spans="1:11" x14ac:dyDescent="0.3">
      <c r="A545">
        <v>0</v>
      </c>
      <c r="B545">
        <v>8173634</v>
      </c>
      <c r="C545" s="13">
        <v>40353.488194444442</v>
      </c>
      <c r="D545">
        <v>4639</v>
      </c>
      <c r="E545">
        <v>91.67</v>
      </c>
      <c r="F545" t="s">
        <v>1987</v>
      </c>
      <c r="G545">
        <v>24823</v>
      </c>
      <c r="H545" t="s">
        <v>2014</v>
      </c>
      <c r="I545" t="s">
        <v>2001</v>
      </c>
      <c r="J545" s="8">
        <v>4074</v>
      </c>
      <c r="K545">
        <v>7538</v>
      </c>
    </row>
    <row r="546" spans="1:11" x14ac:dyDescent="0.3">
      <c r="A546">
        <v>0</v>
      </c>
      <c r="B546">
        <v>8173911</v>
      </c>
      <c r="C546" s="13">
        <v>40353.524305555555</v>
      </c>
      <c r="D546">
        <v>4639</v>
      </c>
      <c r="E546">
        <v>46.63</v>
      </c>
      <c r="F546" t="s">
        <v>1987</v>
      </c>
      <c r="G546">
        <v>90865</v>
      </c>
      <c r="H546" t="s">
        <v>2025</v>
      </c>
      <c r="I546" t="s">
        <v>2001</v>
      </c>
      <c r="J546" s="8">
        <v>4254</v>
      </c>
      <c r="K546">
        <v>5311</v>
      </c>
    </row>
    <row r="547" spans="1:11" x14ac:dyDescent="0.3">
      <c r="A547">
        <v>0</v>
      </c>
      <c r="B547">
        <v>8175432</v>
      </c>
      <c r="C547" s="13">
        <v>40353.81527777778</v>
      </c>
      <c r="D547">
        <v>4639</v>
      </c>
      <c r="E547">
        <v>7.52</v>
      </c>
      <c r="F547" t="s">
        <v>1987</v>
      </c>
      <c r="G547">
        <v>13153</v>
      </c>
      <c r="H547" t="s">
        <v>2014</v>
      </c>
      <c r="I547" t="s">
        <v>2001</v>
      </c>
      <c r="J547" s="8">
        <v>4074</v>
      </c>
      <c r="K547">
        <v>5812</v>
      </c>
    </row>
    <row r="548" spans="1:11" x14ac:dyDescent="0.3">
      <c r="A548">
        <v>0</v>
      </c>
      <c r="B548">
        <v>8176567</v>
      </c>
      <c r="C548" s="13">
        <v>40354.332638888889</v>
      </c>
      <c r="D548">
        <v>4639</v>
      </c>
      <c r="E548">
        <v>81.73</v>
      </c>
      <c r="F548" t="s">
        <v>1987</v>
      </c>
      <c r="G548">
        <v>60569</v>
      </c>
      <c r="H548" t="s">
        <v>2017</v>
      </c>
      <c r="I548" t="s">
        <v>2001</v>
      </c>
      <c r="J548" s="8">
        <v>4240</v>
      </c>
      <c r="K548">
        <v>5300</v>
      </c>
    </row>
    <row r="549" spans="1:11" x14ac:dyDescent="0.3">
      <c r="A549">
        <v>0</v>
      </c>
      <c r="B549">
        <v>8178056</v>
      </c>
      <c r="C549" s="13">
        <v>40354.586111111108</v>
      </c>
      <c r="D549">
        <v>4639</v>
      </c>
      <c r="E549">
        <v>33.22</v>
      </c>
      <c r="F549" t="s">
        <v>1987</v>
      </c>
      <c r="G549">
        <v>50783</v>
      </c>
      <c r="H549" t="s">
        <v>2023</v>
      </c>
      <c r="I549" t="s">
        <v>2001</v>
      </c>
      <c r="J549" s="8">
        <v>4085</v>
      </c>
      <c r="K549">
        <v>5411</v>
      </c>
    </row>
    <row r="550" spans="1:11" x14ac:dyDescent="0.3">
      <c r="A550">
        <v>0</v>
      </c>
      <c r="B550">
        <v>8178109</v>
      </c>
      <c r="C550" s="13">
        <v>40354.59375</v>
      </c>
      <c r="D550">
        <v>4639</v>
      </c>
      <c r="E550">
        <v>24.12</v>
      </c>
      <c r="F550" t="s">
        <v>1994</v>
      </c>
      <c r="G550">
        <v>16798</v>
      </c>
      <c r="H550" t="s">
        <v>1993</v>
      </c>
      <c r="I550" t="s">
        <v>3719</v>
      </c>
      <c r="J550" s="8" t="s">
        <v>3719</v>
      </c>
      <c r="K550">
        <v>4121</v>
      </c>
    </row>
    <row r="551" spans="1:11" x14ac:dyDescent="0.3">
      <c r="A551">
        <v>0</v>
      </c>
      <c r="B551">
        <v>8180352</v>
      </c>
      <c r="C551" s="13">
        <v>40355.330555555556</v>
      </c>
      <c r="D551">
        <v>4639</v>
      </c>
      <c r="E551">
        <v>219.59</v>
      </c>
      <c r="F551" t="s">
        <v>1987</v>
      </c>
      <c r="G551">
        <v>60992</v>
      </c>
      <c r="H551" t="s">
        <v>2014</v>
      </c>
      <c r="I551" t="s">
        <v>2001</v>
      </c>
      <c r="J551" s="8">
        <v>4074</v>
      </c>
      <c r="K551">
        <v>8021</v>
      </c>
    </row>
    <row r="552" spans="1:11" x14ac:dyDescent="0.3">
      <c r="A552">
        <v>0</v>
      </c>
      <c r="B552">
        <v>8185450</v>
      </c>
      <c r="C552" s="13">
        <v>40356.481944444444</v>
      </c>
      <c r="D552">
        <v>4639</v>
      </c>
      <c r="E552">
        <v>124.53</v>
      </c>
      <c r="F552" t="s">
        <v>1987</v>
      </c>
      <c r="G552">
        <v>57053</v>
      </c>
      <c r="H552" t="s">
        <v>2014</v>
      </c>
      <c r="I552" t="s">
        <v>2001</v>
      </c>
      <c r="J552" s="8">
        <v>4074</v>
      </c>
      <c r="K552">
        <v>7538</v>
      </c>
    </row>
    <row r="553" spans="1:11" x14ac:dyDescent="0.3">
      <c r="A553">
        <v>0</v>
      </c>
      <c r="B553">
        <v>8186263</v>
      </c>
      <c r="C553" s="13">
        <v>40356.599305555559</v>
      </c>
      <c r="D553">
        <v>4639</v>
      </c>
      <c r="E553">
        <v>17.940000000000001</v>
      </c>
      <c r="F553" t="s">
        <v>1987</v>
      </c>
      <c r="G553">
        <v>24206</v>
      </c>
      <c r="H553" t="s">
        <v>2014</v>
      </c>
      <c r="I553" t="s">
        <v>2001</v>
      </c>
      <c r="J553" s="8">
        <v>4074</v>
      </c>
      <c r="K553">
        <v>4121</v>
      </c>
    </row>
    <row r="554" spans="1:11" x14ac:dyDescent="0.3">
      <c r="A554">
        <v>0</v>
      </c>
      <c r="B554">
        <v>8189667</v>
      </c>
      <c r="C554" s="13">
        <v>40357.479861111111</v>
      </c>
      <c r="D554">
        <v>4639</v>
      </c>
      <c r="E554">
        <v>91.5</v>
      </c>
      <c r="F554" t="s">
        <v>1987</v>
      </c>
      <c r="G554">
        <v>57053</v>
      </c>
      <c r="H554" t="s">
        <v>2014</v>
      </c>
      <c r="I554" t="s">
        <v>2001</v>
      </c>
      <c r="J554" s="8">
        <v>4074</v>
      </c>
      <c r="K554">
        <v>7538</v>
      </c>
    </row>
    <row r="555" spans="1:11" x14ac:dyDescent="0.3">
      <c r="A555">
        <v>0</v>
      </c>
      <c r="B555">
        <v>8190137</v>
      </c>
      <c r="C555" s="13">
        <v>40357.543055555558</v>
      </c>
      <c r="D555">
        <v>4639</v>
      </c>
      <c r="E555">
        <v>49.82</v>
      </c>
      <c r="F555" t="s">
        <v>1987</v>
      </c>
      <c r="G555">
        <v>69956</v>
      </c>
      <c r="H555" t="s">
        <v>2022</v>
      </c>
      <c r="I555" t="s">
        <v>2001</v>
      </c>
      <c r="J555" s="8">
        <v>4083</v>
      </c>
      <c r="K555">
        <v>5310</v>
      </c>
    </row>
    <row r="556" spans="1:11" x14ac:dyDescent="0.3">
      <c r="A556">
        <v>0</v>
      </c>
      <c r="B556">
        <v>8191159</v>
      </c>
      <c r="C556" s="13">
        <v>40357.695833333331</v>
      </c>
      <c r="D556">
        <v>4639</v>
      </c>
      <c r="E556">
        <v>34.520000000000003</v>
      </c>
      <c r="F556" t="s">
        <v>1994</v>
      </c>
      <c r="G556">
        <v>34256</v>
      </c>
      <c r="H556" t="s">
        <v>1993</v>
      </c>
      <c r="I556" t="s">
        <v>3719</v>
      </c>
      <c r="J556" s="8" t="s">
        <v>3719</v>
      </c>
      <c r="K556">
        <v>7393</v>
      </c>
    </row>
    <row r="557" spans="1:11" x14ac:dyDescent="0.3">
      <c r="A557">
        <v>0</v>
      </c>
      <c r="B557">
        <v>8195871</v>
      </c>
      <c r="C557" s="13">
        <v>40358.828472222223</v>
      </c>
      <c r="D557">
        <v>4639</v>
      </c>
      <c r="E557">
        <v>10.29</v>
      </c>
      <c r="F557" t="s">
        <v>1987</v>
      </c>
      <c r="G557">
        <v>13153</v>
      </c>
      <c r="H557" t="s">
        <v>2014</v>
      </c>
      <c r="I557" t="s">
        <v>2001</v>
      </c>
      <c r="J557" s="8">
        <v>4074</v>
      </c>
      <c r="K557">
        <v>5812</v>
      </c>
    </row>
    <row r="558" spans="1:11" x14ac:dyDescent="0.3">
      <c r="A558">
        <v>0</v>
      </c>
      <c r="B558">
        <v>8196183</v>
      </c>
      <c r="C558" s="13">
        <v>40358.935416666667</v>
      </c>
      <c r="D558">
        <v>4639</v>
      </c>
      <c r="E558">
        <v>50.54</v>
      </c>
      <c r="F558" t="s">
        <v>1987</v>
      </c>
      <c r="G558">
        <v>32164</v>
      </c>
      <c r="H558" t="s">
        <v>2014</v>
      </c>
      <c r="I558" t="s">
        <v>2001</v>
      </c>
      <c r="J558" s="8">
        <v>4074</v>
      </c>
      <c r="K558">
        <v>5813</v>
      </c>
    </row>
    <row r="559" spans="1:11" x14ac:dyDescent="0.3">
      <c r="A559">
        <v>0</v>
      </c>
      <c r="B559">
        <v>8198388</v>
      </c>
      <c r="C559" s="13">
        <v>40359.518750000003</v>
      </c>
      <c r="D559">
        <v>4639</v>
      </c>
      <c r="E559">
        <v>117.53</v>
      </c>
      <c r="F559" t="s">
        <v>1987</v>
      </c>
      <c r="G559">
        <v>57053</v>
      </c>
      <c r="H559" t="s">
        <v>2014</v>
      </c>
      <c r="I559" t="s">
        <v>2001</v>
      </c>
      <c r="J559" s="8">
        <v>4074</v>
      </c>
      <c r="K559">
        <v>7538</v>
      </c>
    </row>
    <row r="560" spans="1:11" x14ac:dyDescent="0.3">
      <c r="A560">
        <v>0</v>
      </c>
      <c r="B560">
        <v>8200044</v>
      </c>
      <c r="C560" s="13">
        <v>40359.829861111109</v>
      </c>
      <c r="D560">
        <v>4639</v>
      </c>
      <c r="E560">
        <v>6.69</v>
      </c>
      <c r="F560" t="s">
        <v>1987</v>
      </c>
      <c r="G560">
        <v>55060</v>
      </c>
      <c r="H560" t="s">
        <v>2014</v>
      </c>
      <c r="I560" t="s">
        <v>2001</v>
      </c>
      <c r="J560" s="8">
        <v>4074</v>
      </c>
      <c r="K560">
        <v>5812</v>
      </c>
    </row>
    <row r="561" spans="1:11" x14ac:dyDescent="0.3">
      <c r="A561">
        <v>0</v>
      </c>
      <c r="B561">
        <v>8200541</v>
      </c>
      <c r="C561" s="13">
        <v>40360.106944444444</v>
      </c>
      <c r="D561">
        <v>4639</v>
      </c>
      <c r="E561">
        <v>126.85</v>
      </c>
      <c r="F561" t="s">
        <v>1987</v>
      </c>
      <c r="G561">
        <v>30286</v>
      </c>
      <c r="H561" t="s">
        <v>2002</v>
      </c>
      <c r="I561" t="s">
        <v>2001</v>
      </c>
      <c r="J561" s="8">
        <v>4104</v>
      </c>
      <c r="K561">
        <v>4814</v>
      </c>
    </row>
    <row r="562" spans="1:11" x14ac:dyDescent="0.3">
      <c r="A562">
        <v>0</v>
      </c>
      <c r="B562">
        <v>8203348</v>
      </c>
      <c r="C562" s="13">
        <v>40360.620138888888</v>
      </c>
      <c r="D562">
        <v>4639</v>
      </c>
      <c r="E562">
        <v>19.23</v>
      </c>
      <c r="F562" t="s">
        <v>1987</v>
      </c>
      <c r="G562">
        <v>60510</v>
      </c>
      <c r="H562" t="s">
        <v>2014</v>
      </c>
      <c r="I562" t="s">
        <v>2001</v>
      </c>
      <c r="J562" s="8">
        <v>4074</v>
      </c>
      <c r="K562">
        <v>5912</v>
      </c>
    </row>
    <row r="563" spans="1:11" x14ac:dyDescent="0.3">
      <c r="A563">
        <v>0</v>
      </c>
      <c r="B563">
        <v>8204272</v>
      </c>
      <c r="C563" s="13">
        <v>40360.818749999999</v>
      </c>
      <c r="D563">
        <v>4639</v>
      </c>
      <c r="E563">
        <v>8.7799999999999994</v>
      </c>
      <c r="F563" t="s">
        <v>1987</v>
      </c>
      <c r="G563">
        <v>55060</v>
      </c>
      <c r="H563" t="s">
        <v>2014</v>
      </c>
      <c r="I563" t="s">
        <v>2001</v>
      </c>
      <c r="J563" s="8">
        <v>4074</v>
      </c>
      <c r="K563">
        <v>5812</v>
      </c>
    </row>
    <row r="564" spans="1:11" x14ac:dyDescent="0.3">
      <c r="A564">
        <v>0</v>
      </c>
      <c r="B564">
        <v>8204600</v>
      </c>
      <c r="C564" s="13">
        <v>40360.92083333333</v>
      </c>
      <c r="D564">
        <v>4639</v>
      </c>
      <c r="E564">
        <v>54.65</v>
      </c>
      <c r="F564" t="s">
        <v>1987</v>
      </c>
      <c r="G564">
        <v>32164</v>
      </c>
      <c r="H564" t="s">
        <v>2014</v>
      </c>
      <c r="I564" t="s">
        <v>2001</v>
      </c>
      <c r="J564" s="8">
        <v>4074</v>
      </c>
      <c r="K564">
        <v>5813</v>
      </c>
    </row>
    <row r="565" spans="1:11" x14ac:dyDescent="0.3">
      <c r="A565">
        <v>0</v>
      </c>
      <c r="B565">
        <v>8204655</v>
      </c>
      <c r="C565" s="13">
        <v>40360.941666666666</v>
      </c>
      <c r="D565">
        <v>4639</v>
      </c>
      <c r="E565">
        <v>259.97000000000003</v>
      </c>
      <c r="F565" t="s">
        <v>1987</v>
      </c>
      <c r="G565">
        <v>29219</v>
      </c>
      <c r="H565" t="s">
        <v>2014</v>
      </c>
      <c r="I565" t="s">
        <v>2001</v>
      </c>
      <c r="J565" s="8">
        <v>4074</v>
      </c>
      <c r="K565">
        <v>4900</v>
      </c>
    </row>
    <row r="566" spans="1:11" x14ac:dyDescent="0.3">
      <c r="A566">
        <v>0</v>
      </c>
      <c r="B566">
        <v>8206221</v>
      </c>
      <c r="C566" s="13">
        <v>40361.482638888891</v>
      </c>
      <c r="D566">
        <v>4639</v>
      </c>
      <c r="E566">
        <v>88.84</v>
      </c>
      <c r="F566" t="s">
        <v>1987</v>
      </c>
      <c r="G566">
        <v>57053</v>
      </c>
      <c r="H566" t="s">
        <v>2014</v>
      </c>
      <c r="I566" t="s">
        <v>2001</v>
      </c>
      <c r="J566" s="8">
        <v>4074</v>
      </c>
      <c r="K566">
        <v>7538</v>
      </c>
    </row>
    <row r="567" spans="1:11" x14ac:dyDescent="0.3">
      <c r="A567">
        <v>0</v>
      </c>
      <c r="B567">
        <v>8210004</v>
      </c>
      <c r="C567" s="13">
        <v>40362.486805555556</v>
      </c>
      <c r="D567">
        <v>4639</v>
      </c>
      <c r="E567">
        <v>79.42</v>
      </c>
      <c r="F567" t="s">
        <v>1987</v>
      </c>
      <c r="G567">
        <v>57053</v>
      </c>
      <c r="H567" t="s">
        <v>2014</v>
      </c>
      <c r="I567" t="s">
        <v>2001</v>
      </c>
      <c r="J567" s="8">
        <v>4074</v>
      </c>
      <c r="K567">
        <v>7538</v>
      </c>
    </row>
    <row r="568" spans="1:11" x14ac:dyDescent="0.3">
      <c r="A568">
        <v>0</v>
      </c>
      <c r="B568">
        <v>8210427</v>
      </c>
      <c r="C568" s="13">
        <v>40362.554861111108</v>
      </c>
      <c r="D568">
        <v>4639</v>
      </c>
      <c r="E568">
        <v>43.18</v>
      </c>
      <c r="F568" t="s">
        <v>1987</v>
      </c>
      <c r="G568">
        <v>50783</v>
      </c>
      <c r="H568" t="s">
        <v>2023</v>
      </c>
      <c r="I568" t="s">
        <v>2001</v>
      </c>
      <c r="J568" s="8">
        <v>4085</v>
      </c>
      <c r="K568">
        <v>5411</v>
      </c>
    </row>
    <row r="569" spans="1:11" x14ac:dyDescent="0.3">
      <c r="A569">
        <v>0</v>
      </c>
      <c r="B569">
        <v>8211775</v>
      </c>
      <c r="C569" s="13">
        <v>40362.800000000003</v>
      </c>
      <c r="D569">
        <v>4639</v>
      </c>
      <c r="E569">
        <v>5.59</v>
      </c>
      <c r="F569" t="s">
        <v>1987</v>
      </c>
      <c r="G569">
        <v>13153</v>
      </c>
      <c r="H569" t="s">
        <v>2014</v>
      </c>
      <c r="I569" t="s">
        <v>2001</v>
      </c>
      <c r="J569" s="8">
        <v>4074</v>
      </c>
      <c r="K569">
        <v>5812</v>
      </c>
    </row>
    <row r="570" spans="1:11" x14ac:dyDescent="0.3">
      <c r="A570">
        <v>0</v>
      </c>
      <c r="B570">
        <v>8212495</v>
      </c>
      <c r="C570" s="13">
        <v>40363.149305555555</v>
      </c>
      <c r="D570">
        <v>4639</v>
      </c>
      <c r="E570">
        <v>41.75</v>
      </c>
      <c r="F570" t="s">
        <v>1987</v>
      </c>
      <c r="G570">
        <v>68591</v>
      </c>
      <c r="H570" t="s">
        <v>2014</v>
      </c>
      <c r="I570" t="s">
        <v>2001</v>
      </c>
      <c r="J570" s="8">
        <v>4074</v>
      </c>
      <c r="K570">
        <v>7349</v>
      </c>
    </row>
    <row r="571" spans="1:11" x14ac:dyDescent="0.3">
      <c r="A571">
        <v>0</v>
      </c>
      <c r="B571">
        <v>8216032</v>
      </c>
      <c r="C571" s="13">
        <v>40363.813888888886</v>
      </c>
      <c r="D571">
        <v>4639</v>
      </c>
      <c r="E571">
        <v>5.96</v>
      </c>
      <c r="F571" t="s">
        <v>1987</v>
      </c>
      <c r="G571">
        <v>13153</v>
      </c>
      <c r="H571" t="s">
        <v>2014</v>
      </c>
      <c r="I571" t="s">
        <v>2001</v>
      </c>
      <c r="J571" s="8">
        <v>4074</v>
      </c>
      <c r="K571">
        <v>5812</v>
      </c>
    </row>
    <row r="572" spans="1:11" x14ac:dyDescent="0.3">
      <c r="A572">
        <v>0</v>
      </c>
      <c r="B572">
        <v>8216464</v>
      </c>
      <c r="C572" s="13">
        <v>40363.935416666667</v>
      </c>
      <c r="D572">
        <v>4639</v>
      </c>
      <c r="E572">
        <v>74.17</v>
      </c>
      <c r="F572" t="s">
        <v>1987</v>
      </c>
      <c r="G572">
        <v>32164</v>
      </c>
      <c r="H572" t="s">
        <v>2014</v>
      </c>
      <c r="I572" t="s">
        <v>2001</v>
      </c>
      <c r="J572" s="8">
        <v>4074</v>
      </c>
      <c r="K572">
        <v>5813</v>
      </c>
    </row>
    <row r="573" spans="1:11" x14ac:dyDescent="0.3">
      <c r="A573">
        <v>0</v>
      </c>
      <c r="B573">
        <v>8216735</v>
      </c>
      <c r="C573" s="13">
        <v>40364.160416666666</v>
      </c>
      <c r="D573">
        <v>4639</v>
      </c>
      <c r="E573">
        <v>45.29</v>
      </c>
      <c r="F573" t="s">
        <v>1994</v>
      </c>
      <c r="G573">
        <v>84682</v>
      </c>
      <c r="H573" t="s">
        <v>1993</v>
      </c>
      <c r="I573" t="s">
        <v>3719</v>
      </c>
      <c r="J573" s="8" t="s">
        <v>3719</v>
      </c>
      <c r="K573">
        <v>4900</v>
      </c>
    </row>
    <row r="574" spans="1:11" x14ac:dyDescent="0.3">
      <c r="A574">
        <v>0</v>
      </c>
      <c r="B574">
        <v>8218518</v>
      </c>
      <c r="C574" s="13">
        <v>40364.495138888888</v>
      </c>
      <c r="D574">
        <v>4639</v>
      </c>
      <c r="E574">
        <v>86.1</v>
      </c>
      <c r="F574" t="s">
        <v>1987</v>
      </c>
      <c r="G574">
        <v>32175</v>
      </c>
      <c r="H574" t="s">
        <v>2002</v>
      </c>
      <c r="I574" t="s">
        <v>2001</v>
      </c>
      <c r="J574" s="8">
        <v>4103</v>
      </c>
      <c r="K574">
        <v>7538</v>
      </c>
    </row>
    <row r="575" spans="1:11" x14ac:dyDescent="0.3">
      <c r="A575">
        <v>0</v>
      </c>
      <c r="B575">
        <v>8218954</v>
      </c>
      <c r="C575" s="13">
        <v>40364.555555555555</v>
      </c>
      <c r="D575">
        <v>4639</v>
      </c>
      <c r="E575">
        <v>22.71</v>
      </c>
      <c r="F575" t="s">
        <v>1987</v>
      </c>
      <c r="G575">
        <v>74778</v>
      </c>
      <c r="H575" t="s">
        <v>2014</v>
      </c>
      <c r="I575" t="s">
        <v>2001</v>
      </c>
      <c r="J575" s="8">
        <v>4074</v>
      </c>
      <c r="K575">
        <v>7542</v>
      </c>
    </row>
    <row r="576" spans="1:11" x14ac:dyDescent="0.3">
      <c r="A576">
        <v>0</v>
      </c>
      <c r="B576">
        <v>8219708</v>
      </c>
      <c r="C576" s="13">
        <v>40364.669444444444</v>
      </c>
      <c r="D576">
        <v>4639</v>
      </c>
      <c r="E576">
        <v>57.44</v>
      </c>
      <c r="F576" t="s">
        <v>1987</v>
      </c>
      <c r="G576">
        <v>32635</v>
      </c>
      <c r="H576" t="s">
        <v>2014</v>
      </c>
      <c r="I576" t="s">
        <v>2001</v>
      </c>
      <c r="J576" s="8">
        <v>4074</v>
      </c>
      <c r="K576">
        <v>7230</v>
      </c>
    </row>
    <row r="577" spans="1:11" x14ac:dyDescent="0.3">
      <c r="A577">
        <v>0</v>
      </c>
      <c r="B577">
        <v>8220705</v>
      </c>
      <c r="C577" s="13">
        <v>40364.933333333334</v>
      </c>
      <c r="D577">
        <v>4639</v>
      </c>
      <c r="E577">
        <v>63.46</v>
      </c>
      <c r="F577" t="s">
        <v>1987</v>
      </c>
      <c r="G577">
        <v>32164</v>
      </c>
      <c r="H577" t="s">
        <v>2014</v>
      </c>
      <c r="I577" t="s">
        <v>2001</v>
      </c>
      <c r="J577" s="8">
        <v>4074</v>
      </c>
      <c r="K577">
        <v>5813</v>
      </c>
    </row>
    <row r="578" spans="1:11" x14ac:dyDescent="0.3">
      <c r="A578">
        <v>0</v>
      </c>
      <c r="B578">
        <v>8224536</v>
      </c>
      <c r="C578" s="13">
        <v>40365.796527777777</v>
      </c>
      <c r="D578">
        <v>4639</v>
      </c>
      <c r="E578">
        <v>120</v>
      </c>
      <c r="F578" t="s">
        <v>1987</v>
      </c>
      <c r="G578">
        <v>27092</v>
      </c>
      <c r="H578" t="s">
        <v>2002</v>
      </c>
      <c r="I578" t="s">
        <v>2001</v>
      </c>
      <c r="J578" s="8">
        <v>4102</v>
      </c>
      <c r="K578">
        <v>4829</v>
      </c>
    </row>
    <row r="579" spans="1:11" x14ac:dyDescent="0.3">
      <c r="A579">
        <v>0</v>
      </c>
      <c r="B579">
        <v>8224979</v>
      </c>
      <c r="C579" s="13">
        <v>40365.936111111114</v>
      </c>
      <c r="D579">
        <v>4639</v>
      </c>
      <c r="E579">
        <v>44.73</v>
      </c>
      <c r="F579" t="s">
        <v>1987</v>
      </c>
      <c r="G579">
        <v>32164</v>
      </c>
      <c r="H579" t="s">
        <v>2014</v>
      </c>
      <c r="I579" t="s">
        <v>2001</v>
      </c>
      <c r="J579" s="8">
        <v>4074</v>
      </c>
      <c r="K579">
        <v>5813</v>
      </c>
    </row>
    <row r="580" spans="1:11" x14ac:dyDescent="0.3">
      <c r="A580">
        <v>0</v>
      </c>
      <c r="B580">
        <v>8227298</v>
      </c>
      <c r="C580" s="13">
        <v>40366.541666666664</v>
      </c>
      <c r="D580">
        <v>4639</v>
      </c>
      <c r="E580">
        <v>52.57</v>
      </c>
      <c r="F580" t="s">
        <v>1987</v>
      </c>
      <c r="G580">
        <v>26593</v>
      </c>
      <c r="H580" t="s">
        <v>2014</v>
      </c>
      <c r="I580" t="s">
        <v>2001</v>
      </c>
      <c r="J580" s="8">
        <v>4074</v>
      </c>
      <c r="K580">
        <v>5300</v>
      </c>
    </row>
    <row r="581" spans="1:11" x14ac:dyDescent="0.3">
      <c r="A581">
        <v>0</v>
      </c>
      <c r="B581">
        <v>8228744</v>
      </c>
      <c r="C581" s="13">
        <v>40366.818055555559</v>
      </c>
      <c r="D581">
        <v>4639</v>
      </c>
      <c r="E581">
        <v>9.9</v>
      </c>
      <c r="F581" t="s">
        <v>1987</v>
      </c>
      <c r="G581">
        <v>13153</v>
      </c>
      <c r="H581" t="s">
        <v>2014</v>
      </c>
      <c r="I581" t="s">
        <v>2001</v>
      </c>
      <c r="J581" s="8">
        <v>4074</v>
      </c>
      <c r="K581">
        <v>5812</v>
      </c>
    </row>
    <row r="582" spans="1:11" x14ac:dyDescent="0.3">
      <c r="A582">
        <v>0</v>
      </c>
      <c r="B582">
        <v>8231533</v>
      </c>
      <c r="C582" s="13">
        <v>40367.551388888889</v>
      </c>
      <c r="D582">
        <v>4639</v>
      </c>
      <c r="E582">
        <v>56.95</v>
      </c>
      <c r="F582" t="s">
        <v>1987</v>
      </c>
      <c r="G582">
        <v>60569</v>
      </c>
      <c r="H582" t="s">
        <v>2017</v>
      </c>
      <c r="I582" t="s">
        <v>2001</v>
      </c>
      <c r="J582" s="8">
        <v>4240</v>
      </c>
      <c r="K582">
        <v>5300</v>
      </c>
    </row>
    <row r="583" spans="1:11" x14ac:dyDescent="0.3">
      <c r="A583">
        <v>0</v>
      </c>
      <c r="B583">
        <v>8232930</v>
      </c>
      <c r="C583" s="13">
        <v>40367.810416666667</v>
      </c>
      <c r="D583">
        <v>4639</v>
      </c>
      <c r="E583">
        <v>100</v>
      </c>
      <c r="F583" t="s">
        <v>1987</v>
      </c>
      <c r="G583">
        <v>27092</v>
      </c>
      <c r="H583" t="s">
        <v>2002</v>
      </c>
      <c r="I583" t="s">
        <v>2001</v>
      </c>
      <c r="J583" s="8">
        <v>4102</v>
      </c>
      <c r="K583">
        <v>4829</v>
      </c>
    </row>
    <row r="584" spans="1:11" x14ac:dyDescent="0.3">
      <c r="A584">
        <v>0</v>
      </c>
      <c r="B584">
        <v>8233007</v>
      </c>
      <c r="C584" s="13">
        <v>40367.829861111109</v>
      </c>
      <c r="D584">
        <v>4639</v>
      </c>
      <c r="E584">
        <v>9.66</v>
      </c>
      <c r="F584" t="s">
        <v>1987</v>
      </c>
      <c r="G584">
        <v>13153</v>
      </c>
      <c r="H584" t="s">
        <v>2014</v>
      </c>
      <c r="I584" t="s">
        <v>2001</v>
      </c>
      <c r="J584" s="8">
        <v>4074</v>
      </c>
      <c r="K584">
        <v>5812</v>
      </c>
    </row>
    <row r="585" spans="1:11" x14ac:dyDescent="0.3">
      <c r="A585">
        <v>0</v>
      </c>
      <c r="B585">
        <v>8235445</v>
      </c>
      <c r="C585" s="13">
        <v>40368.552777777775</v>
      </c>
      <c r="D585">
        <v>4639</v>
      </c>
      <c r="E585">
        <v>52.68</v>
      </c>
      <c r="F585" t="s">
        <v>1987</v>
      </c>
      <c r="G585">
        <v>60569</v>
      </c>
      <c r="H585" t="s">
        <v>2017</v>
      </c>
      <c r="I585" t="s">
        <v>2001</v>
      </c>
      <c r="J585" s="8">
        <v>4240</v>
      </c>
      <c r="K585">
        <v>5300</v>
      </c>
    </row>
    <row r="586" spans="1:11" x14ac:dyDescent="0.3">
      <c r="A586">
        <v>0</v>
      </c>
      <c r="B586">
        <v>8237122</v>
      </c>
      <c r="C586" s="13">
        <v>40368.920138888891</v>
      </c>
      <c r="D586">
        <v>4639</v>
      </c>
      <c r="E586">
        <v>56.74</v>
      </c>
      <c r="F586" t="s">
        <v>1987</v>
      </c>
      <c r="G586">
        <v>32164</v>
      </c>
      <c r="H586" t="s">
        <v>2014</v>
      </c>
      <c r="I586" t="s">
        <v>2001</v>
      </c>
      <c r="J586" s="8">
        <v>4074</v>
      </c>
      <c r="K586">
        <v>5813</v>
      </c>
    </row>
    <row r="587" spans="1:11" x14ac:dyDescent="0.3">
      <c r="A587">
        <v>0</v>
      </c>
      <c r="B587">
        <v>8237669</v>
      </c>
      <c r="C587" s="13">
        <v>40369.290277777778</v>
      </c>
      <c r="D587">
        <v>4639</v>
      </c>
      <c r="E587">
        <v>89.77</v>
      </c>
      <c r="F587" t="s">
        <v>1987</v>
      </c>
      <c r="G587">
        <v>43925</v>
      </c>
      <c r="H587" t="s">
        <v>2014</v>
      </c>
      <c r="I587" t="s">
        <v>2001</v>
      </c>
      <c r="J587" s="8">
        <v>4074</v>
      </c>
      <c r="K587">
        <v>5411</v>
      </c>
    </row>
    <row r="588" spans="1:11" x14ac:dyDescent="0.3">
      <c r="A588">
        <v>0</v>
      </c>
      <c r="B588">
        <v>8242939</v>
      </c>
      <c r="C588" s="13">
        <v>40370.48541666667</v>
      </c>
      <c r="D588">
        <v>4639</v>
      </c>
      <c r="E588">
        <v>114.78</v>
      </c>
      <c r="F588" t="s">
        <v>1987</v>
      </c>
      <c r="G588">
        <v>24823</v>
      </c>
      <c r="H588" t="s">
        <v>2014</v>
      </c>
      <c r="I588" t="s">
        <v>2001</v>
      </c>
      <c r="J588" s="8">
        <v>4074</v>
      </c>
      <c r="K588">
        <v>7538</v>
      </c>
    </row>
    <row r="589" spans="1:11" x14ac:dyDescent="0.3">
      <c r="A589">
        <v>0</v>
      </c>
      <c r="B589">
        <v>8243347</v>
      </c>
      <c r="C589" s="13">
        <v>40370.541666666664</v>
      </c>
      <c r="D589">
        <v>4639</v>
      </c>
      <c r="E589">
        <v>42.24</v>
      </c>
      <c r="F589" t="s">
        <v>1987</v>
      </c>
      <c r="G589">
        <v>50783</v>
      </c>
      <c r="H589" t="s">
        <v>2023</v>
      </c>
      <c r="I589" t="s">
        <v>2001</v>
      </c>
      <c r="J589" s="8">
        <v>4085</v>
      </c>
      <c r="K589">
        <v>5411</v>
      </c>
    </row>
    <row r="590" spans="1:11" x14ac:dyDescent="0.3">
      <c r="A590">
        <v>0</v>
      </c>
      <c r="B590">
        <v>8244873</v>
      </c>
      <c r="C590" s="13">
        <v>40370.82708333333</v>
      </c>
      <c r="D590">
        <v>4639</v>
      </c>
      <c r="E590">
        <v>6.7</v>
      </c>
      <c r="F590" t="s">
        <v>1987</v>
      </c>
      <c r="G590">
        <v>13153</v>
      </c>
      <c r="H590" t="s">
        <v>2014</v>
      </c>
      <c r="I590" t="s">
        <v>2001</v>
      </c>
      <c r="J590" s="8">
        <v>4074</v>
      </c>
      <c r="K590">
        <v>5812</v>
      </c>
    </row>
    <row r="591" spans="1:11" x14ac:dyDescent="0.3">
      <c r="A591">
        <v>0</v>
      </c>
      <c r="B591">
        <v>8247334</v>
      </c>
      <c r="C591" s="13">
        <v>40371.511111111111</v>
      </c>
      <c r="D591">
        <v>4639</v>
      </c>
      <c r="E591">
        <v>-90</v>
      </c>
      <c r="F591" t="s">
        <v>1987</v>
      </c>
      <c r="G591">
        <v>28395</v>
      </c>
      <c r="H591" t="s">
        <v>2022</v>
      </c>
      <c r="I591" t="s">
        <v>2001</v>
      </c>
      <c r="J591" s="8">
        <v>4083</v>
      </c>
      <c r="K591">
        <v>5541</v>
      </c>
    </row>
    <row r="592" spans="1:11" x14ac:dyDescent="0.3">
      <c r="A592">
        <v>0</v>
      </c>
      <c r="B592">
        <v>8247351</v>
      </c>
      <c r="C592" s="13">
        <v>40371.513194444444</v>
      </c>
      <c r="D592">
        <v>4639</v>
      </c>
      <c r="E592">
        <v>81.41</v>
      </c>
      <c r="F592" t="s">
        <v>1987</v>
      </c>
      <c r="G592">
        <v>28395</v>
      </c>
      <c r="H592" t="s">
        <v>2022</v>
      </c>
      <c r="I592" t="s">
        <v>2001</v>
      </c>
      <c r="J592" s="8">
        <v>4083</v>
      </c>
      <c r="K592">
        <v>5541</v>
      </c>
    </row>
    <row r="593" spans="1:12" x14ac:dyDescent="0.3">
      <c r="A593">
        <v>0</v>
      </c>
      <c r="B593">
        <v>8247374</v>
      </c>
      <c r="C593" s="13">
        <v>40371.51666666667</v>
      </c>
      <c r="D593">
        <v>4639</v>
      </c>
      <c r="E593">
        <v>90</v>
      </c>
      <c r="F593" t="s">
        <v>1987</v>
      </c>
      <c r="G593">
        <v>28395</v>
      </c>
      <c r="H593" t="s">
        <v>2022</v>
      </c>
      <c r="I593" t="s">
        <v>2001</v>
      </c>
      <c r="J593" s="8">
        <v>4083</v>
      </c>
      <c r="K593">
        <v>5541</v>
      </c>
    </row>
    <row r="594" spans="1:12" x14ac:dyDescent="0.3">
      <c r="A594">
        <v>0</v>
      </c>
      <c r="B594">
        <v>8247595</v>
      </c>
      <c r="C594" s="13">
        <v>40371.54791666667</v>
      </c>
      <c r="D594">
        <v>4639</v>
      </c>
      <c r="E594">
        <v>47.33</v>
      </c>
      <c r="F594" t="s">
        <v>1987</v>
      </c>
      <c r="G594">
        <v>90865</v>
      </c>
      <c r="H594" t="s">
        <v>2025</v>
      </c>
      <c r="I594" t="s">
        <v>2001</v>
      </c>
      <c r="J594" s="8">
        <v>4254</v>
      </c>
      <c r="K594">
        <v>5311</v>
      </c>
    </row>
    <row r="595" spans="1:12" x14ac:dyDescent="0.3">
      <c r="A595">
        <v>0</v>
      </c>
      <c r="B595">
        <v>8247810</v>
      </c>
      <c r="C595" s="13">
        <v>40371.57708333333</v>
      </c>
      <c r="D595">
        <v>4639</v>
      </c>
      <c r="E595">
        <v>57.22</v>
      </c>
      <c r="F595" t="s">
        <v>1987</v>
      </c>
      <c r="G595">
        <v>34490</v>
      </c>
      <c r="H595" t="s">
        <v>2015</v>
      </c>
      <c r="I595" t="s">
        <v>2001</v>
      </c>
      <c r="J595" s="8">
        <v>4401</v>
      </c>
      <c r="K595">
        <v>5719</v>
      </c>
    </row>
    <row r="596" spans="1:12" x14ac:dyDescent="0.3">
      <c r="A596">
        <v>0</v>
      </c>
      <c r="B596">
        <v>8247939</v>
      </c>
      <c r="C596" s="13">
        <v>40371.59375</v>
      </c>
      <c r="D596">
        <v>4639</v>
      </c>
      <c r="E596">
        <v>26.65</v>
      </c>
      <c r="F596" t="s">
        <v>1994</v>
      </c>
      <c r="G596">
        <v>16798</v>
      </c>
      <c r="H596" t="s">
        <v>1993</v>
      </c>
      <c r="I596" t="s">
        <v>3719</v>
      </c>
      <c r="J596" s="8" t="s">
        <v>3719</v>
      </c>
      <c r="K596">
        <v>4121</v>
      </c>
    </row>
    <row r="597" spans="1:12" x14ac:dyDescent="0.3">
      <c r="A597">
        <v>0</v>
      </c>
      <c r="B597">
        <v>8249056</v>
      </c>
      <c r="C597" s="13">
        <v>40371.823611111111</v>
      </c>
      <c r="D597">
        <v>4639</v>
      </c>
      <c r="E597">
        <v>8.2100000000000009</v>
      </c>
      <c r="F597" t="s">
        <v>1987</v>
      </c>
      <c r="G597">
        <v>98648</v>
      </c>
      <c r="H597" t="s">
        <v>2014</v>
      </c>
      <c r="I597" t="s">
        <v>2001</v>
      </c>
      <c r="J597" s="8">
        <v>4074</v>
      </c>
      <c r="K597">
        <v>5814</v>
      </c>
    </row>
    <row r="598" spans="1:12" x14ac:dyDescent="0.3">
      <c r="A598">
        <v>0</v>
      </c>
      <c r="B598">
        <v>8250064</v>
      </c>
      <c r="C598" s="13">
        <v>40372.306250000001</v>
      </c>
      <c r="D598">
        <v>4639</v>
      </c>
      <c r="E598">
        <v>134.05000000000001</v>
      </c>
      <c r="F598" t="s">
        <v>1987</v>
      </c>
      <c r="G598">
        <v>60569</v>
      </c>
      <c r="H598" t="s">
        <v>2017</v>
      </c>
      <c r="I598" t="s">
        <v>2001</v>
      </c>
      <c r="J598" s="8">
        <v>4240</v>
      </c>
      <c r="K598">
        <v>5300</v>
      </c>
    </row>
    <row r="599" spans="1:12" x14ac:dyDescent="0.3">
      <c r="A599">
        <v>0</v>
      </c>
      <c r="B599">
        <v>8251424</v>
      </c>
      <c r="C599" s="13">
        <v>40372.499305555553</v>
      </c>
      <c r="D599">
        <v>4639</v>
      </c>
      <c r="E599">
        <v>95.5</v>
      </c>
      <c r="F599" t="s">
        <v>1987</v>
      </c>
      <c r="G599">
        <v>32175</v>
      </c>
      <c r="H599" t="s">
        <v>2002</v>
      </c>
      <c r="I599" t="s">
        <v>2001</v>
      </c>
      <c r="J599" s="8">
        <v>4103</v>
      </c>
      <c r="K599">
        <v>7538</v>
      </c>
    </row>
    <row r="600" spans="1:12" x14ac:dyDescent="0.3">
      <c r="A600">
        <v>0</v>
      </c>
      <c r="B600">
        <v>8255848</v>
      </c>
      <c r="C600" s="13">
        <v>40373.538888888892</v>
      </c>
      <c r="D600">
        <v>4639</v>
      </c>
      <c r="E600">
        <v>69</v>
      </c>
      <c r="F600" t="s">
        <v>1987</v>
      </c>
      <c r="G600">
        <v>28395</v>
      </c>
      <c r="H600" t="s">
        <v>2022</v>
      </c>
      <c r="I600" t="s">
        <v>2001</v>
      </c>
      <c r="J600" s="8">
        <v>4083</v>
      </c>
      <c r="K600">
        <v>5541</v>
      </c>
    </row>
    <row r="601" spans="1:12" x14ac:dyDescent="0.3">
      <c r="A601">
        <v>0</v>
      </c>
      <c r="B601">
        <v>8255852</v>
      </c>
      <c r="C601" s="13">
        <v>40373.539583333331</v>
      </c>
      <c r="D601">
        <v>4639</v>
      </c>
      <c r="E601">
        <v>41.11</v>
      </c>
      <c r="F601" t="s">
        <v>1987</v>
      </c>
      <c r="G601">
        <v>28395</v>
      </c>
      <c r="H601" t="s">
        <v>2022</v>
      </c>
      <c r="I601" t="s">
        <v>2001</v>
      </c>
      <c r="J601" s="8">
        <v>4083</v>
      </c>
      <c r="K601">
        <v>5541</v>
      </c>
    </row>
    <row r="602" spans="1:12" x14ac:dyDescent="0.3">
      <c r="A602">
        <v>0</v>
      </c>
      <c r="B602">
        <v>8255862</v>
      </c>
      <c r="C602" s="13">
        <v>40373.540972222225</v>
      </c>
      <c r="D602">
        <v>4639</v>
      </c>
      <c r="E602">
        <v>-69</v>
      </c>
      <c r="F602" t="s">
        <v>1987</v>
      </c>
      <c r="G602">
        <v>28395</v>
      </c>
      <c r="H602" t="s">
        <v>2022</v>
      </c>
      <c r="I602" t="s">
        <v>2001</v>
      </c>
      <c r="J602" s="8">
        <v>4083</v>
      </c>
      <c r="K602">
        <v>5541</v>
      </c>
    </row>
    <row r="603" spans="1:12" x14ac:dyDescent="0.3">
      <c r="A603">
        <v>0</v>
      </c>
      <c r="B603">
        <v>8255968</v>
      </c>
      <c r="C603" s="13">
        <v>40373.553472222222</v>
      </c>
      <c r="D603">
        <v>4639</v>
      </c>
      <c r="E603">
        <v>59.66</v>
      </c>
      <c r="F603" t="s">
        <v>1987</v>
      </c>
      <c r="G603">
        <v>11468</v>
      </c>
      <c r="H603" t="s">
        <v>1996</v>
      </c>
      <c r="I603" t="s">
        <v>2001</v>
      </c>
      <c r="J603" s="8">
        <v>4938</v>
      </c>
      <c r="K603">
        <v>5970</v>
      </c>
    </row>
    <row r="604" spans="1:12" x14ac:dyDescent="0.3">
      <c r="A604">
        <v>0</v>
      </c>
      <c r="B604">
        <v>8257275</v>
      </c>
      <c r="C604" s="13">
        <v>40373.797222222223</v>
      </c>
      <c r="D604">
        <v>4639</v>
      </c>
      <c r="E604">
        <v>140</v>
      </c>
      <c r="F604" t="s">
        <v>1987</v>
      </c>
      <c r="G604">
        <v>27092</v>
      </c>
      <c r="H604" t="s">
        <v>2002</v>
      </c>
      <c r="I604" t="s">
        <v>2001</v>
      </c>
      <c r="J604" s="8">
        <v>4102</v>
      </c>
      <c r="K604">
        <v>4829</v>
      </c>
    </row>
    <row r="605" spans="1:12" x14ac:dyDescent="0.3">
      <c r="A605">
        <v>0</v>
      </c>
      <c r="B605">
        <v>8257324</v>
      </c>
      <c r="C605" s="13">
        <v>40373.80972222222</v>
      </c>
      <c r="D605">
        <v>4639</v>
      </c>
      <c r="E605">
        <v>8.86</v>
      </c>
      <c r="F605" t="s">
        <v>1987</v>
      </c>
      <c r="G605">
        <v>98648</v>
      </c>
      <c r="H605" t="s">
        <v>2014</v>
      </c>
      <c r="I605" t="s">
        <v>2001</v>
      </c>
      <c r="J605" s="8">
        <v>4074</v>
      </c>
      <c r="K605">
        <v>5814</v>
      </c>
    </row>
    <row r="606" spans="1:12" x14ac:dyDescent="0.3">
      <c r="A606">
        <v>0</v>
      </c>
      <c r="B606">
        <v>8260034</v>
      </c>
      <c r="C606" s="13">
        <v>40374.53402777778</v>
      </c>
      <c r="D606">
        <v>4639</v>
      </c>
      <c r="E606">
        <v>45.52</v>
      </c>
      <c r="F606" t="s">
        <v>1987</v>
      </c>
      <c r="G606">
        <v>20561</v>
      </c>
      <c r="H606" t="s">
        <v>2014</v>
      </c>
      <c r="I606" t="s">
        <v>2001</v>
      </c>
      <c r="J606" s="8">
        <v>4074</v>
      </c>
      <c r="K606">
        <v>5912</v>
      </c>
    </row>
    <row r="607" spans="1:12" x14ac:dyDescent="0.3">
      <c r="A607">
        <v>0</v>
      </c>
      <c r="B607">
        <v>8262221</v>
      </c>
      <c r="C607" s="13">
        <v>40375.086805555555</v>
      </c>
      <c r="D607">
        <v>4639</v>
      </c>
      <c r="E607">
        <v>99.31</v>
      </c>
      <c r="F607" t="s">
        <v>1987</v>
      </c>
      <c r="G607">
        <v>30286</v>
      </c>
      <c r="H607" t="s">
        <v>2002</v>
      </c>
      <c r="I607" t="s">
        <v>2001</v>
      </c>
      <c r="J607" s="8">
        <v>4104</v>
      </c>
      <c r="K607">
        <v>4814</v>
      </c>
    </row>
    <row r="608" spans="1:12" x14ac:dyDescent="0.3">
      <c r="A608">
        <v>0</v>
      </c>
      <c r="B608">
        <v>8262230</v>
      </c>
      <c r="C608" s="13">
        <v>40375.098611111112</v>
      </c>
      <c r="D608">
        <v>4639</v>
      </c>
      <c r="E608">
        <v>127.64</v>
      </c>
      <c r="F608" t="s">
        <v>1987</v>
      </c>
      <c r="G608">
        <v>30286</v>
      </c>
      <c r="H608" t="s">
        <v>2002</v>
      </c>
      <c r="I608" t="s">
        <v>2001</v>
      </c>
      <c r="J608" s="8">
        <v>4104</v>
      </c>
      <c r="K608">
        <v>4814</v>
      </c>
      <c r="L608" t="s">
        <v>1988</v>
      </c>
    </row>
    <row r="609" spans="1:11" x14ac:dyDescent="0.3">
      <c r="A609">
        <v>0</v>
      </c>
      <c r="B609">
        <v>8262232</v>
      </c>
      <c r="C609" s="13">
        <v>40375.101388888892</v>
      </c>
      <c r="D609">
        <v>4639</v>
      </c>
      <c r="E609">
        <v>465.21</v>
      </c>
      <c r="F609" t="s">
        <v>1994</v>
      </c>
      <c r="G609">
        <v>13348</v>
      </c>
      <c r="H609" t="s">
        <v>1993</v>
      </c>
      <c r="I609" t="s">
        <v>3719</v>
      </c>
      <c r="J609" s="8" t="s">
        <v>3719</v>
      </c>
      <c r="K609">
        <v>4722</v>
      </c>
    </row>
    <row r="610" spans="1:11" x14ac:dyDescent="0.3">
      <c r="A610">
        <v>0</v>
      </c>
      <c r="B610">
        <v>8265436</v>
      </c>
      <c r="C610" s="13">
        <v>40375.825694444444</v>
      </c>
      <c r="D610">
        <v>4639</v>
      </c>
      <c r="E610">
        <v>7.32</v>
      </c>
      <c r="F610" t="s">
        <v>1987</v>
      </c>
      <c r="G610">
        <v>98648</v>
      </c>
      <c r="H610" t="s">
        <v>2014</v>
      </c>
      <c r="I610" t="s">
        <v>2001</v>
      </c>
      <c r="J610" s="8">
        <v>4074</v>
      </c>
      <c r="K610">
        <v>5814</v>
      </c>
    </row>
    <row r="611" spans="1:11" x14ac:dyDescent="0.3">
      <c r="A611">
        <v>0</v>
      </c>
      <c r="B611">
        <v>8265528</v>
      </c>
      <c r="C611" s="13">
        <v>40375.847916666666</v>
      </c>
      <c r="D611">
        <v>4639</v>
      </c>
      <c r="E611">
        <v>8.94</v>
      </c>
      <c r="F611" t="s">
        <v>1987</v>
      </c>
      <c r="G611">
        <v>13153</v>
      </c>
      <c r="H611" t="s">
        <v>2014</v>
      </c>
      <c r="I611" t="s">
        <v>2001</v>
      </c>
      <c r="J611" s="8">
        <v>4074</v>
      </c>
      <c r="K611">
        <v>5812</v>
      </c>
    </row>
    <row r="612" spans="1:11" x14ac:dyDescent="0.3">
      <c r="A612">
        <v>0</v>
      </c>
      <c r="B612">
        <v>8266390</v>
      </c>
      <c r="C612" s="13">
        <v>40376.301388888889</v>
      </c>
      <c r="D612">
        <v>4639</v>
      </c>
      <c r="E612">
        <v>68.08</v>
      </c>
      <c r="F612" t="s">
        <v>1987</v>
      </c>
      <c r="G612">
        <v>26593</v>
      </c>
      <c r="H612" t="s">
        <v>2014</v>
      </c>
      <c r="I612" t="s">
        <v>2001</v>
      </c>
      <c r="J612" s="8">
        <v>4074</v>
      </c>
      <c r="K612">
        <v>5300</v>
      </c>
    </row>
    <row r="613" spans="1:11" x14ac:dyDescent="0.3">
      <c r="A613">
        <v>0</v>
      </c>
      <c r="B613">
        <v>8269714</v>
      </c>
      <c r="C613" s="13">
        <v>40376.936111111114</v>
      </c>
      <c r="D613">
        <v>4639</v>
      </c>
      <c r="E613">
        <v>55.68</v>
      </c>
      <c r="F613" t="s">
        <v>1987</v>
      </c>
      <c r="G613">
        <v>32164</v>
      </c>
      <c r="H613" t="s">
        <v>2014</v>
      </c>
      <c r="I613" t="s">
        <v>2001</v>
      </c>
      <c r="J613" s="8">
        <v>4074</v>
      </c>
      <c r="K613">
        <v>5813</v>
      </c>
    </row>
    <row r="614" spans="1:11" x14ac:dyDescent="0.3">
      <c r="A614">
        <v>0</v>
      </c>
      <c r="B614">
        <v>8269992</v>
      </c>
      <c r="C614" s="13">
        <v>40377.177083333336</v>
      </c>
      <c r="D614">
        <v>4639</v>
      </c>
      <c r="E614">
        <v>24.55</v>
      </c>
      <c r="F614" t="s">
        <v>1987</v>
      </c>
      <c r="G614">
        <v>29219</v>
      </c>
      <c r="H614" t="s">
        <v>2014</v>
      </c>
      <c r="I614" t="s">
        <v>2001</v>
      </c>
      <c r="J614" s="8">
        <v>4074</v>
      </c>
      <c r="K614">
        <v>4900</v>
      </c>
    </row>
    <row r="615" spans="1:11" x14ac:dyDescent="0.3">
      <c r="A615">
        <v>0</v>
      </c>
      <c r="B615">
        <v>8270281</v>
      </c>
      <c r="C615" s="13">
        <v>40377.286111111112</v>
      </c>
      <c r="D615">
        <v>4639</v>
      </c>
      <c r="E615">
        <v>14.46</v>
      </c>
      <c r="F615" t="s">
        <v>1987</v>
      </c>
      <c r="G615">
        <v>43925</v>
      </c>
      <c r="H615" t="s">
        <v>2014</v>
      </c>
      <c r="I615" t="s">
        <v>2001</v>
      </c>
      <c r="J615" s="8">
        <v>4074</v>
      </c>
      <c r="K615">
        <v>5411</v>
      </c>
    </row>
    <row r="616" spans="1:11" x14ac:dyDescent="0.3">
      <c r="A616">
        <v>0</v>
      </c>
      <c r="B616">
        <v>8271921</v>
      </c>
      <c r="C616" s="13">
        <v>40377.520833333336</v>
      </c>
      <c r="D616">
        <v>4639</v>
      </c>
      <c r="E616">
        <v>-55</v>
      </c>
      <c r="F616" t="s">
        <v>1987</v>
      </c>
      <c r="G616">
        <v>43293</v>
      </c>
      <c r="H616" t="s">
        <v>2014</v>
      </c>
      <c r="I616" t="s">
        <v>2001</v>
      </c>
      <c r="J616" s="8">
        <v>4074</v>
      </c>
      <c r="K616">
        <v>5499</v>
      </c>
    </row>
    <row r="617" spans="1:11" x14ac:dyDescent="0.3">
      <c r="A617">
        <v>0</v>
      </c>
      <c r="B617">
        <v>8271941</v>
      </c>
      <c r="C617" s="13">
        <v>40377.523611111108</v>
      </c>
      <c r="D617">
        <v>4639</v>
      </c>
      <c r="E617">
        <v>52.23</v>
      </c>
      <c r="F617" t="s">
        <v>1987</v>
      </c>
      <c r="G617">
        <v>43293</v>
      </c>
      <c r="H617" t="s">
        <v>2014</v>
      </c>
      <c r="I617" t="s">
        <v>2001</v>
      </c>
      <c r="J617" s="8">
        <v>4074</v>
      </c>
      <c r="K617">
        <v>5499</v>
      </c>
    </row>
    <row r="618" spans="1:11" x14ac:dyDescent="0.3">
      <c r="A618">
        <v>0</v>
      </c>
      <c r="B618">
        <v>8272023</v>
      </c>
      <c r="C618" s="13">
        <v>40377.53402777778</v>
      </c>
      <c r="D618">
        <v>4639</v>
      </c>
      <c r="E618">
        <v>55</v>
      </c>
      <c r="F618" t="s">
        <v>1987</v>
      </c>
      <c r="G618">
        <v>43293</v>
      </c>
      <c r="H618" t="s">
        <v>2014</v>
      </c>
      <c r="I618" t="s">
        <v>2001</v>
      </c>
      <c r="J618" s="8">
        <v>4074</v>
      </c>
      <c r="K618">
        <v>5499</v>
      </c>
    </row>
    <row r="619" spans="1:11" x14ac:dyDescent="0.3">
      <c r="A619">
        <v>0</v>
      </c>
      <c r="B619">
        <v>8272093</v>
      </c>
      <c r="C619" s="13">
        <v>40377.543055555558</v>
      </c>
      <c r="D619">
        <v>4639</v>
      </c>
      <c r="E619">
        <v>58.99</v>
      </c>
      <c r="F619" t="s">
        <v>1987</v>
      </c>
      <c r="G619">
        <v>20519</v>
      </c>
      <c r="H619" t="s">
        <v>2002</v>
      </c>
      <c r="I619" t="s">
        <v>2001</v>
      </c>
      <c r="J619" s="8">
        <v>4101</v>
      </c>
      <c r="K619">
        <v>5942</v>
      </c>
    </row>
    <row r="620" spans="1:11" x14ac:dyDescent="0.3">
      <c r="A620">
        <v>0</v>
      </c>
      <c r="B620">
        <v>8272377</v>
      </c>
      <c r="C620" s="13">
        <v>40377.588888888888</v>
      </c>
      <c r="D620">
        <v>4639</v>
      </c>
      <c r="E620">
        <v>25.14</v>
      </c>
      <c r="F620" t="s">
        <v>1994</v>
      </c>
      <c r="G620">
        <v>18563</v>
      </c>
      <c r="H620" t="s">
        <v>1993</v>
      </c>
      <c r="I620" t="s">
        <v>3719</v>
      </c>
      <c r="J620" s="8" t="s">
        <v>3719</v>
      </c>
      <c r="K620">
        <v>4121</v>
      </c>
    </row>
    <row r="621" spans="1:11" x14ac:dyDescent="0.3">
      <c r="A621">
        <v>0</v>
      </c>
      <c r="B621">
        <v>8273843</v>
      </c>
      <c r="C621" s="13">
        <v>40377.931944444441</v>
      </c>
      <c r="D621">
        <v>4639</v>
      </c>
      <c r="E621">
        <v>49.88</v>
      </c>
      <c r="F621" t="s">
        <v>1987</v>
      </c>
      <c r="G621">
        <v>32164</v>
      </c>
      <c r="H621" t="s">
        <v>2014</v>
      </c>
      <c r="I621" t="s">
        <v>2001</v>
      </c>
      <c r="J621" s="8">
        <v>4074</v>
      </c>
      <c r="K621">
        <v>5813</v>
      </c>
    </row>
    <row r="622" spans="1:11" x14ac:dyDescent="0.3">
      <c r="A622">
        <v>0</v>
      </c>
      <c r="B622">
        <v>8274477</v>
      </c>
      <c r="C622" s="13">
        <v>40378.295138888891</v>
      </c>
      <c r="D622">
        <v>4639</v>
      </c>
      <c r="E622">
        <v>112.24</v>
      </c>
      <c r="F622" t="s">
        <v>1987</v>
      </c>
      <c r="G622">
        <v>20561</v>
      </c>
      <c r="H622" t="s">
        <v>2014</v>
      </c>
      <c r="I622" t="s">
        <v>2001</v>
      </c>
      <c r="J622" s="8">
        <v>4074</v>
      </c>
      <c r="K622">
        <v>5912</v>
      </c>
    </row>
    <row r="623" spans="1:11" x14ac:dyDescent="0.3">
      <c r="A623">
        <v>0</v>
      </c>
      <c r="B623">
        <v>8276056</v>
      </c>
      <c r="C623" s="13">
        <v>40378.524305555555</v>
      </c>
      <c r="D623">
        <v>4639</v>
      </c>
      <c r="E623">
        <v>88</v>
      </c>
      <c r="F623" t="s">
        <v>1987</v>
      </c>
      <c r="G623">
        <v>28395</v>
      </c>
      <c r="H623" t="s">
        <v>2022</v>
      </c>
      <c r="I623" t="s">
        <v>2001</v>
      </c>
      <c r="J623" s="8">
        <v>4083</v>
      </c>
      <c r="K623">
        <v>5541</v>
      </c>
    </row>
    <row r="624" spans="1:11" x14ac:dyDescent="0.3">
      <c r="A624">
        <v>0</v>
      </c>
      <c r="B624">
        <v>8276076</v>
      </c>
      <c r="C624" s="13">
        <v>40378.527083333334</v>
      </c>
      <c r="D624">
        <v>4639</v>
      </c>
      <c r="E624">
        <v>-88</v>
      </c>
      <c r="F624" t="s">
        <v>1987</v>
      </c>
      <c r="G624">
        <v>28395</v>
      </c>
      <c r="H624" t="s">
        <v>2022</v>
      </c>
      <c r="I624" t="s">
        <v>2001</v>
      </c>
      <c r="J624" s="8">
        <v>4083</v>
      </c>
      <c r="K624">
        <v>5541</v>
      </c>
    </row>
    <row r="625" spans="1:11" x14ac:dyDescent="0.3">
      <c r="A625">
        <v>0</v>
      </c>
      <c r="B625">
        <v>8276108</v>
      </c>
      <c r="C625" s="13">
        <v>40378.530555555553</v>
      </c>
      <c r="D625">
        <v>4639</v>
      </c>
      <c r="E625">
        <v>60.27</v>
      </c>
      <c r="F625" t="s">
        <v>1987</v>
      </c>
      <c r="G625">
        <v>28395</v>
      </c>
      <c r="H625" t="s">
        <v>2022</v>
      </c>
      <c r="I625" t="s">
        <v>2001</v>
      </c>
      <c r="J625" s="8">
        <v>4083</v>
      </c>
      <c r="K625">
        <v>5541</v>
      </c>
    </row>
    <row r="626" spans="1:11" x14ac:dyDescent="0.3">
      <c r="A626">
        <v>0</v>
      </c>
      <c r="B626">
        <v>8276244</v>
      </c>
      <c r="C626" s="13">
        <v>40378.549305555556</v>
      </c>
      <c r="D626">
        <v>4639</v>
      </c>
      <c r="E626">
        <v>20.82</v>
      </c>
      <c r="F626" t="s">
        <v>1994</v>
      </c>
      <c r="G626">
        <v>18563</v>
      </c>
      <c r="H626" t="s">
        <v>1993</v>
      </c>
      <c r="I626" t="s">
        <v>3719</v>
      </c>
      <c r="J626" s="8" t="s">
        <v>3719</v>
      </c>
      <c r="K626">
        <v>4121</v>
      </c>
    </row>
    <row r="627" spans="1:11" x14ac:dyDescent="0.3">
      <c r="A627">
        <v>0</v>
      </c>
      <c r="B627">
        <v>8276251</v>
      </c>
      <c r="C627" s="13">
        <v>40378.551388888889</v>
      </c>
      <c r="D627">
        <v>4639</v>
      </c>
      <c r="E627">
        <v>47.19</v>
      </c>
      <c r="F627" t="s">
        <v>1987</v>
      </c>
      <c r="G627">
        <v>32858</v>
      </c>
      <c r="H627" t="s">
        <v>2012</v>
      </c>
      <c r="I627" t="s">
        <v>2000</v>
      </c>
      <c r="J627" s="8">
        <v>5401</v>
      </c>
      <c r="K627">
        <v>5311</v>
      </c>
    </row>
    <row r="628" spans="1:11" x14ac:dyDescent="0.3">
      <c r="A628">
        <v>0</v>
      </c>
      <c r="B628">
        <v>8277668</v>
      </c>
      <c r="C628" s="13">
        <v>40378.820833333331</v>
      </c>
      <c r="D628">
        <v>4639</v>
      </c>
      <c r="E628">
        <v>11.01</v>
      </c>
      <c r="F628" t="s">
        <v>1987</v>
      </c>
      <c r="G628">
        <v>13153</v>
      </c>
      <c r="H628" t="s">
        <v>2014</v>
      </c>
      <c r="I628" t="s">
        <v>2001</v>
      </c>
      <c r="J628" s="8">
        <v>4074</v>
      </c>
      <c r="K628">
        <v>5812</v>
      </c>
    </row>
    <row r="629" spans="1:11" x14ac:dyDescent="0.3">
      <c r="A629">
        <v>0</v>
      </c>
      <c r="B629">
        <v>8279151</v>
      </c>
      <c r="C629" s="13">
        <v>40379.364583333336</v>
      </c>
      <c r="D629">
        <v>4639</v>
      </c>
      <c r="E629">
        <v>44.88</v>
      </c>
      <c r="F629" t="s">
        <v>1987</v>
      </c>
      <c r="G629">
        <v>43925</v>
      </c>
      <c r="H629" t="s">
        <v>2014</v>
      </c>
      <c r="I629" t="s">
        <v>2001</v>
      </c>
      <c r="J629" s="8">
        <v>4074</v>
      </c>
      <c r="K629">
        <v>5411</v>
      </c>
    </row>
    <row r="630" spans="1:11" x14ac:dyDescent="0.3">
      <c r="A630">
        <v>0</v>
      </c>
      <c r="B630">
        <v>8280024</v>
      </c>
      <c r="C630" s="13">
        <v>40379.488194444442</v>
      </c>
      <c r="D630">
        <v>4639</v>
      </c>
      <c r="E630">
        <v>104.21</v>
      </c>
      <c r="F630" t="s">
        <v>1987</v>
      </c>
      <c r="G630">
        <v>57053</v>
      </c>
      <c r="H630" t="s">
        <v>2014</v>
      </c>
      <c r="I630" t="s">
        <v>2001</v>
      </c>
      <c r="J630" s="8">
        <v>4074</v>
      </c>
      <c r="K630">
        <v>7538</v>
      </c>
    </row>
    <row r="631" spans="1:11" x14ac:dyDescent="0.3">
      <c r="A631">
        <v>0</v>
      </c>
      <c r="B631">
        <v>8284762</v>
      </c>
      <c r="C631" s="13">
        <v>40380.54583333333</v>
      </c>
      <c r="D631">
        <v>4639</v>
      </c>
      <c r="E631">
        <v>50.8</v>
      </c>
      <c r="F631" t="s">
        <v>1987</v>
      </c>
      <c r="G631">
        <v>90865</v>
      </c>
      <c r="H631" t="s">
        <v>2025</v>
      </c>
      <c r="I631" t="s">
        <v>2001</v>
      </c>
      <c r="J631" s="8">
        <v>4254</v>
      </c>
      <c r="K631">
        <v>5311</v>
      </c>
    </row>
    <row r="632" spans="1:11" x14ac:dyDescent="0.3">
      <c r="A632">
        <v>0</v>
      </c>
      <c r="B632">
        <v>8285614</v>
      </c>
      <c r="C632" s="13">
        <v>40380.680555555555</v>
      </c>
      <c r="D632">
        <v>4639</v>
      </c>
      <c r="E632">
        <v>107.25</v>
      </c>
      <c r="F632" t="s">
        <v>1987</v>
      </c>
      <c r="G632">
        <v>48919</v>
      </c>
      <c r="H632" t="s">
        <v>2022</v>
      </c>
      <c r="I632" t="s">
        <v>2001</v>
      </c>
      <c r="J632" s="8">
        <v>4083</v>
      </c>
      <c r="K632">
        <v>5311</v>
      </c>
    </row>
    <row r="633" spans="1:11" x14ac:dyDescent="0.3">
      <c r="A633">
        <v>0</v>
      </c>
      <c r="B633">
        <v>8285632</v>
      </c>
      <c r="C633" s="13">
        <v>40380.683333333334</v>
      </c>
      <c r="D633">
        <v>4639</v>
      </c>
      <c r="E633">
        <v>183.18</v>
      </c>
      <c r="F633" t="s">
        <v>1994</v>
      </c>
      <c r="G633">
        <v>84682</v>
      </c>
      <c r="H633" t="s">
        <v>1993</v>
      </c>
      <c r="I633" t="s">
        <v>3719</v>
      </c>
      <c r="J633" s="8" t="s">
        <v>3719</v>
      </c>
      <c r="K633">
        <v>4900</v>
      </c>
    </row>
    <row r="634" spans="1:11" x14ac:dyDescent="0.3">
      <c r="A634">
        <v>0</v>
      </c>
      <c r="B634">
        <v>8288616</v>
      </c>
      <c r="C634" s="13">
        <v>40381.486805555556</v>
      </c>
      <c r="D634">
        <v>4639</v>
      </c>
      <c r="E634">
        <v>77</v>
      </c>
      <c r="F634" t="s">
        <v>1987</v>
      </c>
      <c r="G634">
        <v>32175</v>
      </c>
      <c r="H634" t="s">
        <v>2002</v>
      </c>
      <c r="I634" t="s">
        <v>2001</v>
      </c>
      <c r="J634" s="8">
        <v>4103</v>
      </c>
      <c r="K634">
        <v>7538</v>
      </c>
    </row>
    <row r="635" spans="1:11" x14ac:dyDescent="0.3">
      <c r="A635">
        <v>0</v>
      </c>
      <c r="B635">
        <v>8289790</v>
      </c>
      <c r="C635" s="13">
        <v>40381.648611111108</v>
      </c>
      <c r="D635">
        <v>4639</v>
      </c>
      <c r="E635">
        <v>17.91</v>
      </c>
      <c r="F635" t="s">
        <v>1987</v>
      </c>
      <c r="G635">
        <v>20519</v>
      </c>
      <c r="H635" t="s">
        <v>2002</v>
      </c>
      <c r="I635" t="s">
        <v>2001</v>
      </c>
      <c r="J635" s="8">
        <v>4101</v>
      </c>
      <c r="K635">
        <v>5942</v>
      </c>
    </row>
    <row r="636" spans="1:11" x14ac:dyDescent="0.3">
      <c r="A636">
        <v>0</v>
      </c>
      <c r="B636">
        <v>8292888</v>
      </c>
      <c r="C636" s="13">
        <v>40382.522916666669</v>
      </c>
      <c r="D636">
        <v>4639</v>
      </c>
      <c r="E636">
        <v>53.94</v>
      </c>
      <c r="F636" t="s">
        <v>1987</v>
      </c>
      <c r="G636">
        <v>43925</v>
      </c>
      <c r="H636" t="s">
        <v>2014</v>
      </c>
      <c r="I636" t="s">
        <v>2001</v>
      </c>
      <c r="J636" s="8">
        <v>4074</v>
      </c>
      <c r="K636">
        <v>5411</v>
      </c>
    </row>
    <row r="637" spans="1:11" x14ac:dyDescent="0.3">
      <c r="A637">
        <v>0</v>
      </c>
      <c r="B637">
        <v>8293071</v>
      </c>
      <c r="C637" s="13">
        <v>40382.552083333336</v>
      </c>
      <c r="D637">
        <v>4639</v>
      </c>
      <c r="E637">
        <v>34.799999999999997</v>
      </c>
      <c r="F637" t="s">
        <v>1987</v>
      </c>
      <c r="G637">
        <v>41527</v>
      </c>
      <c r="H637" t="s">
        <v>2014</v>
      </c>
      <c r="I637" t="s">
        <v>2001</v>
      </c>
      <c r="J637" s="8">
        <v>4074</v>
      </c>
      <c r="K637">
        <v>5310</v>
      </c>
    </row>
    <row r="638" spans="1:11" x14ac:dyDescent="0.3">
      <c r="A638">
        <v>0</v>
      </c>
      <c r="B638">
        <v>8294489</v>
      </c>
      <c r="C638" s="13">
        <v>40382.851388888892</v>
      </c>
      <c r="D638">
        <v>4639</v>
      </c>
      <c r="E638">
        <v>7.91</v>
      </c>
      <c r="F638" t="s">
        <v>1987</v>
      </c>
      <c r="G638">
        <v>98648</v>
      </c>
      <c r="H638" t="s">
        <v>2014</v>
      </c>
      <c r="I638" t="s">
        <v>2001</v>
      </c>
      <c r="J638" s="8">
        <v>4074</v>
      </c>
      <c r="K638">
        <v>5814</v>
      </c>
    </row>
    <row r="639" spans="1:11" x14ac:dyDescent="0.3">
      <c r="A639">
        <v>0</v>
      </c>
      <c r="B639">
        <v>8294654</v>
      </c>
      <c r="C639" s="13">
        <v>40382.902083333334</v>
      </c>
      <c r="D639">
        <v>4639</v>
      </c>
      <c r="E639">
        <v>57.19</v>
      </c>
      <c r="F639" t="s">
        <v>1987</v>
      </c>
      <c r="G639">
        <v>30286</v>
      </c>
      <c r="H639" t="s">
        <v>2002</v>
      </c>
      <c r="I639" t="s">
        <v>2001</v>
      </c>
      <c r="J639" s="8">
        <v>4104</v>
      </c>
      <c r="K639">
        <v>4814</v>
      </c>
    </row>
    <row r="640" spans="1:11" x14ac:dyDescent="0.3">
      <c r="A640">
        <v>0</v>
      </c>
      <c r="B640">
        <v>8296351</v>
      </c>
      <c r="C640" s="13">
        <v>40383.476388888892</v>
      </c>
      <c r="D640">
        <v>4639</v>
      </c>
      <c r="E640">
        <v>27.02</v>
      </c>
      <c r="F640" t="s">
        <v>1987</v>
      </c>
      <c r="G640">
        <v>83271</v>
      </c>
      <c r="H640" t="s">
        <v>2002</v>
      </c>
      <c r="I640" t="s">
        <v>2001</v>
      </c>
      <c r="J640" s="8">
        <v>4103</v>
      </c>
      <c r="K640">
        <v>4214</v>
      </c>
    </row>
    <row r="641" spans="1:12" x14ac:dyDescent="0.3">
      <c r="A641">
        <v>0</v>
      </c>
      <c r="B641">
        <v>8296797</v>
      </c>
      <c r="C641" s="13">
        <v>40383.543055555558</v>
      </c>
      <c r="D641">
        <v>4639</v>
      </c>
      <c r="E641">
        <v>46.07</v>
      </c>
      <c r="F641" t="s">
        <v>1987</v>
      </c>
      <c r="G641">
        <v>26593</v>
      </c>
      <c r="H641" t="s">
        <v>2014</v>
      </c>
      <c r="I641" t="s">
        <v>2001</v>
      </c>
      <c r="J641" s="8">
        <v>4074</v>
      </c>
      <c r="K641">
        <v>5300</v>
      </c>
    </row>
    <row r="642" spans="1:12" x14ac:dyDescent="0.3">
      <c r="A642">
        <v>0</v>
      </c>
      <c r="B642">
        <v>8297260</v>
      </c>
      <c r="C642" s="13">
        <v>40383.616666666669</v>
      </c>
      <c r="D642">
        <v>4639</v>
      </c>
      <c r="E642">
        <v>1.64</v>
      </c>
      <c r="F642" t="s">
        <v>1987</v>
      </c>
      <c r="G642">
        <v>14528</v>
      </c>
      <c r="H642" t="s">
        <v>2014</v>
      </c>
      <c r="I642" t="s">
        <v>2001</v>
      </c>
      <c r="J642" s="8">
        <v>4074</v>
      </c>
      <c r="K642">
        <v>5499</v>
      </c>
    </row>
    <row r="643" spans="1:12" x14ac:dyDescent="0.3">
      <c r="A643">
        <v>0</v>
      </c>
      <c r="B643">
        <v>8298703</v>
      </c>
      <c r="C643" s="13">
        <v>40383.934027777781</v>
      </c>
      <c r="D643">
        <v>4639</v>
      </c>
      <c r="E643">
        <v>63.21</v>
      </c>
      <c r="F643" t="s">
        <v>1987</v>
      </c>
      <c r="G643">
        <v>32164</v>
      </c>
      <c r="H643" t="s">
        <v>2014</v>
      </c>
      <c r="I643" t="s">
        <v>2001</v>
      </c>
      <c r="J643" s="8">
        <v>4074</v>
      </c>
      <c r="K643">
        <v>5813</v>
      </c>
    </row>
    <row r="644" spans="1:12" x14ac:dyDescent="0.3">
      <c r="A644">
        <v>0</v>
      </c>
      <c r="B644">
        <v>8301254</v>
      </c>
      <c r="C644" s="13">
        <v>40384.553472222222</v>
      </c>
      <c r="D644">
        <v>4639</v>
      </c>
      <c r="E644">
        <v>38.81</v>
      </c>
      <c r="F644" t="s">
        <v>1987</v>
      </c>
      <c r="G644">
        <v>90865</v>
      </c>
      <c r="H644" t="s">
        <v>2025</v>
      </c>
      <c r="I644" t="s">
        <v>2001</v>
      </c>
      <c r="J644" s="8">
        <v>4254</v>
      </c>
      <c r="K644">
        <v>5311</v>
      </c>
    </row>
    <row r="645" spans="1:12" x14ac:dyDescent="0.3">
      <c r="A645">
        <v>0</v>
      </c>
      <c r="B645">
        <v>8301731</v>
      </c>
      <c r="C645" s="13">
        <v>40384.622916666667</v>
      </c>
      <c r="D645">
        <v>4639</v>
      </c>
      <c r="E645">
        <v>22.36</v>
      </c>
      <c r="F645" t="s">
        <v>1994</v>
      </c>
      <c r="G645">
        <v>18563</v>
      </c>
      <c r="H645" t="s">
        <v>1993</v>
      </c>
      <c r="I645" t="s">
        <v>3719</v>
      </c>
      <c r="J645" s="8" t="s">
        <v>3719</v>
      </c>
      <c r="K645">
        <v>4121</v>
      </c>
    </row>
    <row r="646" spans="1:12" x14ac:dyDescent="0.3">
      <c r="A646">
        <v>0</v>
      </c>
      <c r="B646">
        <v>8305002</v>
      </c>
      <c r="C646" s="13">
        <v>40385.489583333336</v>
      </c>
      <c r="D646">
        <v>4639</v>
      </c>
      <c r="E646">
        <v>97.69</v>
      </c>
      <c r="F646" t="s">
        <v>1987</v>
      </c>
      <c r="G646">
        <v>57053</v>
      </c>
      <c r="H646" t="s">
        <v>2014</v>
      </c>
      <c r="I646" t="s">
        <v>2001</v>
      </c>
      <c r="J646" s="8">
        <v>4074</v>
      </c>
      <c r="K646">
        <v>7538</v>
      </c>
    </row>
    <row r="647" spans="1:12" x14ac:dyDescent="0.3">
      <c r="A647">
        <v>0</v>
      </c>
      <c r="B647">
        <v>8309756</v>
      </c>
      <c r="C647" s="13">
        <v>40386.590277777781</v>
      </c>
      <c r="D647">
        <v>4639</v>
      </c>
      <c r="E647">
        <v>56.32</v>
      </c>
      <c r="F647" t="s">
        <v>1987</v>
      </c>
      <c r="G647">
        <v>26593</v>
      </c>
      <c r="H647" t="s">
        <v>2014</v>
      </c>
      <c r="I647" t="s">
        <v>2001</v>
      </c>
      <c r="J647" s="8">
        <v>4074</v>
      </c>
      <c r="K647">
        <v>5300</v>
      </c>
    </row>
    <row r="648" spans="1:12" x14ac:dyDescent="0.3">
      <c r="A648">
        <v>0</v>
      </c>
      <c r="B648">
        <v>8313322</v>
      </c>
      <c r="C648" s="13">
        <v>40387.49722222222</v>
      </c>
      <c r="D648">
        <v>4639</v>
      </c>
      <c r="E648">
        <v>96.39</v>
      </c>
      <c r="F648" t="s">
        <v>1987</v>
      </c>
      <c r="G648">
        <v>32175</v>
      </c>
      <c r="H648" t="s">
        <v>2002</v>
      </c>
      <c r="I648" t="s">
        <v>2001</v>
      </c>
      <c r="J648" s="8">
        <v>4103</v>
      </c>
      <c r="K648">
        <v>7538</v>
      </c>
      <c r="L648" t="s">
        <v>2024</v>
      </c>
    </row>
    <row r="649" spans="1:12" x14ac:dyDescent="0.3">
      <c r="A649">
        <v>0</v>
      </c>
      <c r="B649">
        <v>8313329</v>
      </c>
      <c r="C649" s="13">
        <v>40387.498611111114</v>
      </c>
      <c r="D649">
        <v>4639</v>
      </c>
      <c r="E649">
        <v>91.74</v>
      </c>
      <c r="F649" t="s">
        <v>1987</v>
      </c>
      <c r="G649">
        <v>32175</v>
      </c>
      <c r="H649" t="s">
        <v>2002</v>
      </c>
      <c r="I649" t="s">
        <v>2001</v>
      </c>
      <c r="J649" s="8">
        <v>4103</v>
      </c>
      <c r="K649">
        <v>7538</v>
      </c>
    </row>
    <row r="650" spans="1:12" x14ac:dyDescent="0.3">
      <c r="A650">
        <v>0</v>
      </c>
      <c r="B650">
        <v>8313685</v>
      </c>
      <c r="C650" s="13">
        <v>40387.549305555556</v>
      </c>
      <c r="D650">
        <v>4639</v>
      </c>
      <c r="E650">
        <v>51.08</v>
      </c>
      <c r="F650" t="s">
        <v>1987</v>
      </c>
      <c r="G650">
        <v>20519</v>
      </c>
      <c r="H650" t="s">
        <v>2002</v>
      </c>
      <c r="I650" t="s">
        <v>2001</v>
      </c>
      <c r="J650" s="8">
        <v>4101</v>
      </c>
      <c r="K650">
        <v>5942</v>
      </c>
    </row>
    <row r="651" spans="1:12" x14ac:dyDescent="0.3">
      <c r="A651">
        <v>0</v>
      </c>
      <c r="B651">
        <v>8315694</v>
      </c>
      <c r="C651" s="13">
        <v>40388.156944444447</v>
      </c>
      <c r="D651">
        <v>4639</v>
      </c>
      <c r="E651">
        <v>32.08</v>
      </c>
      <c r="F651" t="s">
        <v>1994</v>
      </c>
      <c r="G651">
        <v>81759</v>
      </c>
      <c r="H651" t="s">
        <v>1993</v>
      </c>
      <c r="I651" t="s">
        <v>3719</v>
      </c>
      <c r="J651" s="8" t="s">
        <v>3719</v>
      </c>
      <c r="K651">
        <v>7349</v>
      </c>
    </row>
    <row r="652" spans="1:12" x14ac:dyDescent="0.3">
      <c r="A652">
        <v>0</v>
      </c>
      <c r="B652">
        <v>8317475</v>
      </c>
      <c r="C652" s="13">
        <v>40388.494444444441</v>
      </c>
      <c r="D652">
        <v>4639</v>
      </c>
      <c r="E652">
        <v>100.03</v>
      </c>
      <c r="F652" t="s">
        <v>1987</v>
      </c>
      <c r="G652">
        <v>57053</v>
      </c>
      <c r="H652" t="s">
        <v>2014</v>
      </c>
      <c r="I652" t="s">
        <v>2001</v>
      </c>
      <c r="J652" s="8">
        <v>4074</v>
      </c>
      <c r="K652">
        <v>7538</v>
      </c>
    </row>
    <row r="653" spans="1:12" x14ac:dyDescent="0.3">
      <c r="A653">
        <v>0</v>
      </c>
      <c r="B653">
        <v>8317723</v>
      </c>
      <c r="C653" s="13">
        <v>40388.527083333334</v>
      </c>
      <c r="D653">
        <v>4639</v>
      </c>
      <c r="E653">
        <v>-85</v>
      </c>
      <c r="F653" t="s">
        <v>1987</v>
      </c>
      <c r="G653">
        <v>28395</v>
      </c>
      <c r="H653" t="s">
        <v>2022</v>
      </c>
      <c r="I653" t="s">
        <v>2001</v>
      </c>
      <c r="J653" s="8">
        <v>4083</v>
      </c>
      <c r="K653">
        <v>5541</v>
      </c>
      <c r="L653" t="s">
        <v>1988</v>
      </c>
    </row>
    <row r="654" spans="1:12" x14ac:dyDescent="0.3">
      <c r="A654">
        <v>0</v>
      </c>
      <c r="B654">
        <v>8317805</v>
      </c>
      <c r="C654" s="13">
        <v>40388.537499999999</v>
      </c>
      <c r="D654">
        <v>4639</v>
      </c>
      <c r="E654">
        <v>55.78</v>
      </c>
      <c r="F654" t="s">
        <v>1987</v>
      </c>
      <c r="G654">
        <v>28395</v>
      </c>
      <c r="H654" t="s">
        <v>2022</v>
      </c>
      <c r="I654" t="s">
        <v>2001</v>
      </c>
      <c r="J654" s="8">
        <v>4083</v>
      </c>
      <c r="K654">
        <v>5541</v>
      </c>
    </row>
    <row r="655" spans="1:12" x14ac:dyDescent="0.3">
      <c r="A655">
        <v>0</v>
      </c>
      <c r="B655">
        <v>8317827</v>
      </c>
      <c r="C655" s="13">
        <v>40388.539583333331</v>
      </c>
      <c r="D655">
        <v>4639</v>
      </c>
      <c r="E655">
        <v>85</v>
      </c>
      <c r="F655" t="s">
        <v>1987</v>
      </c>
      <c r="G655">
        <v>28395</v>
      </c>
      <c r="H655" t="s">
        <v>2022</v>
      </c>
      <c r="I655" t="s">
        <v>2001</v>
      </c>
      <c r="J655" s="8">
        <v>4083</v>
      </c>
      <c r="K655">
        <v>5541</v>
      </c>
    </row>
    <row r="656" spans="1:12" x14ac:dyDescent="0.3">
      <c r="A656">
        <v>0</v>
      </c>
      <c r="B656">
        <v>8318103</v>
      </c>
      <c r="C656" s="13">
        <v>40388.57916666667</v>
      </c>
      <c r="D656">
        <v>4639</v>
      </c>
      <c r="E656">
        <v>15.59</v>
      </c>
      <c r="F656" t="s">
        <v>1987</v>
      </c>
      <c r="G656">
        <v>20519</v>
      </c>
      <c r="H656" t="s">
        <v>2002</v>
      </c>
      <c r="I656" t="s">
        <v>2001</v>
      </c>
      <c r="J656" s="8">
        <v>4101</v>
      </c>
      <c r="K656">
        <v>5942</v>
      </c>
    </row>
    <row r="657" spans="1:11" x14ac:dyDescent="0.3">
      <c r="A657">
        <v>0</v>
      </c>
      <c r="B657">
        <v>8319614</v>
      </c>
      <c r="C657" s="13">
        <v>40388.911111111112</v>
      </c>
      <c r="D657">
        <v>4639</v>
      </c>
      <c r="E657">
        <v>46.55</v>
      </c>
      <c r="F657" t="s">
        <v>1987</v>
      </c>
      <c r="G657">
        <v>30286</v>
      </c>
      <c r="H657" t="s">
        <v>2002</v>
      </c>
      <c r="I657" t="s">
        <v>2001</v>
      </c>
      <c r="J657" s="8">
        <v>4104</v>
      </c>
      <c r="K657">
        <v>4814</v>
      </c>
    </row>
    <row r="658" spans="1:11" x14ac:dyDescent="0.3">
      <c r="A658">
        <v>0</v>
      </c>
      <c r="B658">
        <v>8321774</v>
      </c>
      <c r="C658" s="13">
        <v>40389.556944444441</v>
      </c>
      <c r="D658">
        <v>4639</v>
      </c>
      <c r="E658">
        <v>21.62</v>
      </c>
      <c r="F658" t="s">
        <v>1987</v>
      </c>
      <c r="G658">
        <v>26593</v>
      </c>
      <c r="H658" t="s">
        <v>2014</v>
      </c>
      <c r="I658" t="s">
        <v>2001</v>
      </c>
      <c r="J658" s="8">
        <v>4074</v>
      </c>
      <c r="K658">
        <v>5300</v>
      </c>
    </row>
    <row r="659" spans="1:11" x14ac:dyDescent="0.3">
      <c r="A659">
        <v>0</v>
      </c>
      <c r="B659">
        <v>8322589</v>
      </c>
      <c r="C659" s="13">
        <v>40389.686111111114</v>
      </c>
      <c r="D659">
        <v>4639</v>
      </c>
      <c r="E659">
        <v>148.79</v>
      </c>
      <c r="F659" t="s">
        <v>1987</v>
      </c>
      <c r="G659">
        <v>29219</v>
      </c>
      <c r="H659" t="s">
        <v>2014</v>
      </c>
      <c r="I659" t="s">
        <v>2001</v>
      </c>
      <c r="J659" s="8">
        <v>4074</v>
      </c>
      <c r="K659">
        <v>4900</v>
      </c>
    </row>
    <row r="660" spans="1:11" x14ac:dyDescent="0.3">
      <c r="A660">
        <v>0</v>
      </c>
      <c r="B660">
        <v>8323480</v>
      </c>
      <c r="C660" s="13">
        <v>40389.934027777781</v>
      </c>
      <c r="D660">
        <v>4639</v>
      </c>
      <c r="E660">
        <v>34.369999999999997</v>
      </c>
      <c r="F660" t="s">
        <v>1987</v>
      </c>
      <c r="G660">
        <v>32164</v>
      </c>
      <c r="H660" t="s">
        <v>2014</v>
      </c>
      <c r="I660" t="s">
        <v>2001</v>
      </c>
      <c r="J660" s="8">
        <v>4074</v>
      </c>
      <c r="K660">
        <v>5813</v>
      </c>
    </row>
    <row r="661" spans="1:11" x14ac:dyDescent="0.3">
      <c r="A661">
        <v>0</v>
      </c>
      <c r="B661">
        <v>8323751</v>
      </c>
      <c r="C661" s="13">
        <v>40390.154166666667</v>
      </c>
      <c r="D661">
        <v>4639</v>
      </c>
      <c r="E661">
        <v>44.05</v>
      </c>
      <c r="F661" t="s">
        <v>1994</v>
      </c>
      <c r="G661">
        <v>84682</v>
      </c>
      <c r="H661" t="s">
        <v>1993</v>
      </c>
      <c r="I661" t="s">
        <v>3719</v>
      </c>
      <c r="J661" s="8" t="s">
        <v>3719</v>
      </c>
      <c r="K661">
        <v>4900</v>
      </c>
    </row>
    <row r="662" spans="1:11" x14ac:dyDescent="0.3">
      <c r="A662">
        <v>0</v>
      </c>
      <c r="B662">
        <v>8325416</v>
      </c>
      <c r="C662" s="13">
        <v>40390.526388888888</v>
      </c>
      <c r="D662">
        <v>4639</v>
      </c>
      <c r="E662">
        <v>57.93</v>
      </c>
      <c r="F662" t="s">
        <v>1987</v>
      </c>
      <c r="G662">
        <v>11468</v>
      </c>
      <c r="H662" t="s">
        <v>1996</v>
      </c>
      <c r="I662" t="s">
        <v>2001</v>
      </c>
      <c r="J662" s="8">
        <v>4938</v>
      </c>
      <c r="K662">
        <v>5970</v>
      </c>
    </row>
    <row r="663" spans="1:11" x14ac:dyDescent="0.3">
      <c r="A663">
        <v>0</v>
      </c>
      <c r="B663">
        <v>8325596</v>
      </c>
      <c r="C663" s="13">
        <v>40390.554166666669</v>
      </c>
      <c r="D663">
        <v>4639</v>
      </c>
      <c r="E663">
        <v>42.1</v>
      </c>
      <c r="F663" t="s">
        <v>1987</v>
      </c>
      <c r="G663">
        <v>50783</v>
      </c>
      <c r="H663" t="s">
        <v>2023</v>
      </c>
      <c r="I663" t="s">
        <v>2001</v>
      </c>
      <c r="J663" s="8">
        <v>4085</v>
      </c>
      <c r="K663">
        <v>5411</v>
      </c>
    </row>
    <row r="664" spans="1:11" x14ac:dyDescent="0.3">
      <c r="A664">
        <v>0</v>
      </c>
      <c r="B664">
        <v>8326074</v>
      </c>
      <c r="C664" s="13">
        <v>40390.622916666667</v>
      </c>
      <c r="D664">
        <v>4639</v>
      </c>
      <c r="E664">
        <v>9.43</v>
      </c>
      <c r="F664" t="s">
        <v>1987</v>
      </c>
      <c r="G664">
        <v>16256</v>
      </c>
      <c r="H664" t="s">
        <v>2014</v>
      </c>
      <c r="I664" t="s">
        <v>2001</v>
      </c>
      <c r="J664" s="8">
        <v>4074</v>
      </c>
      <c r="K664">
        <v>5211</v>
      </c>
    </row>
    <row r="665" spans="1:11" x14ac:dyDescent="0.3">
      <c r="A665">
        <v>0</v>
      </c>
      <c r="B665">
        <v>8327356</v>
      </c>
      <c r="C665" s="13">
        <v>40390.906944444447</v>
      </c>
      <c r="D665">
        <v>4639</v>
      </c>
      <c r="E665">
        <v>33.130000000000003</v>
      </c>
      <c r="F665" t="s">
        <v>1987</v>
      </c>
      <c r="G665">
        <v>30286</v>
      </c>
      <c r="H665" t="s">
        <v>2002</v>
      </c>
      <c r="I665" t="s">
        <v>2001</v>
      </c>
      <c r="J665" s="8">
        <v>4104</v>
      </c>
      <c r="K665">
        <v>4814</v>
      </c>
    </row>
    <row r="666" spans="1:11" x14ac:dyDescent="0.3">
      <c r="A666">
        <v>0</v>
      </c>
      <c r="B666">
        <v>8327476</v>
      </c>
      <c r="C666" s="13">
        <v>40390.939583333333</v>
      </c>
      <c r="D666">
        <v>4639</v>
      </c>
      <c r="E666">
        <v>211.7</v>
      </c>
      <c r="F666" t="s">
        <v>1987</v>
      </c>
      <c r="G666">
        <v>90865</v>
      </c>
      <c r="H666" t="s">
        <v>2025</v>
      </c>
      <c r="I666" t="s">
        <v>2001</v>
      </c>
      <c r="J666" s="8">
        <v>4254</v>
      </c>
      <c r="K666">
        <v>5311</v>
      </c>
    </row>
    <row r="667" spans="1:11" x14ac:dyDescent="0.3">
      <c r="A667">
        <v>0</v>
      </c>
      <c r="B667">
        <v>8329335</v>
      </c>
      <c r="C667" s="13">
        <v>40391.458333333336</v>
      </c>
      <c r="D667">
        <v>4639</v>
      </c>
      <c r="E667">
        <v>24.59</v>
      </c>
      <c r="F667" t="s">
        <v>1987</v>
      </c>
      <c r="G667">
        <v>83271</v>
      </c>
      <c r="H667" t="s">
        <v>2002</v>
      </c>
      <c r="I667" t="s">
        <v>2001</v>
      </c>
      <c r="J667" s="8">
        <v>4103</v>
      </c>
      <c r="K667">
        <v>4214</v>
      </c>
    </row>
    <row r="668" spans="1:11" x14ac:dyDescent="0.3">
      <c r="A668">
        <v>0</v>
      </c>
      <c r="B668">
        <v>8329860</v>
      </c>
      <c r="C668" s="13">
        <v>40391.529166666667</v>
      </c>
      <c r="D668">
        <v>4639</v>
      </c>
      <c r="E668">
        <v>66</v>
      </c>
      <c r="F668" t="s">
        <v>1987</v>
      </c>
      <c r="G668">
        <v>43293</v>
      </c>
      <c r="H668" t="s">
        <v>2014</v>
      </c>
      <c r="I668" t="s">
        <v>2001</v>
      </c>
      <c r="J668" s="8">
        <v>4074</v>
      </c>
      <c r="K668">
        <v>5499</v>
      </c>
    </row>
    <row r="669" spans="1:11" x14ac:dyDescent="0.3">
      <c r="A669">
        <v>0</v>
      </c>
      <c r="B669">
        <v>8329876</v>
      </c>
      <c r="C669" s="13">
        <v>40391.531944444447</v>
      </c>
      <c r="D669">
        <v>4639</v>
      </c>
      <c r="E669">
        <v>-66</v>
      </c>
      <c r="F669" t="s">
        <v>1987</v>
      </c>
      <c r="G669">
        <v>43293</v>
      </c>
      <c r="H669" t="s">
        <v>2014</v>
      </c>
      <c r="I669" t="s">
        <v>2001</v>
      </c>
      <c r="J669" s="8">
        <v>4074</v>
      </c>
      <c r="K669">
        <v>5499</v>
      </c>
    </row>
    <row r="670" spans="1:11" x14ac:dyDescent="0.3">
      <c r="A670">
        <v>0</v>
      </c>
      <c r="B670">
        <v>8329917</v>
      </c>
      <c r="C670" s="13">
        <v>40391.538194444445</v>
      </c>
      <c r="D670">
        <v>4639</v>
      </c>
      <c r="E670">
        <v>28.82</v>
      </c>
      <c r="F670" t="s">
        <v>1987</v>
      </c>
      <c r="G670">
        <v>43293</v>
      </c>
      <c r="H670" t="s">
        <v>2014</v>
      </c>
      <c r="I670" t="s">
        <v>2001</v>
      </c>
      <c r="J670" s="8">
        <v>4074</v>
      </c>
      <c r="K670">
        <v>5499</v>
      </c>
    </row>
    <row r="671" spans="1:11" x14ac:dyDescent="0.3">
      <c r="A671">
        <v>0</v>
      </c>
      <c r="B671">
        <v>8334301</v>
      </c>
      <c r="C671" s="13">
        <v>40392.552777777775</v>
      </c>
      <c r="D671">
        <v>4639</v>
      </c>
      <c r="E671">
        <v>34.46</v>
      </c>
      <c r="F671" t="s">
        <v>1987</v>
      </c>
      <c r="G671">
        <v>26593</v>
      </c>
      <c r="H671" t="s">
        <v>2014</v>
      </c>
      <c r="I671" t="s">
        <v>2001</v>
      </c>
      <c r="J671" s="8">
        <v>4074</v>
      </c>
      <c r="K671">
        <v>5300</v>
      </c>
    </row>
    <row r="672" spans="1:11" x14ac:dyDescent="0.3">
      <c r="A672">
        <v>0</v>
      </c>
      <c r="B672">
        <v>8334397</v>
      </c>
      <c r="C672" s="13">
        <v>40392.568749999999</v>
      </c>
      <c r="D672">
        <v>4639</v>
      </c>
      <c r="E672">
        <v>2.58</v>
      </c>
      <c r="F672" t="s">
        <v>1994</v>
      </c>
      <c r="G672">
        <v>9932</v>
      </c>
      <c r="H672" t="s">
        <v>1993</v>
      </c>
      <c r="I672" t="s">
        <v>3719</v>
      </c>
      <c r="J672" s="8" t="s">
        <v>3719</v>
      </c>
      <c r="K672">
        <v>5311</v>
      </c>
    </row>
    <row r="673" spans="1:12" x14ac:dyDescent="0.3">
      <c r="A673">
        <v>0</v>
      </c>
      <c r="B673">
        <v>8337920</v>
      </c>
      <c r="C673" s="13">
        <v>40393.466666666667</v>
      </c>
      <c r="D673">
        <v>4639</v>
      </c>
      <c r="E673">
        <v>25.48</v>
      </c>
      <c r="F673" t="s">
        <v>1987</v>
      </c>
      <c r="G673">
        <v>83480</v>
      </c>
      <c r="H673" t="s">
        <v>2014</v>
      </c>
      <c r="I673" t="s">
        <v>2001</v>
      </c>
      <c r="J673" s="8">
        <v>4074</v>
      </c>
      <c r="K673">
        <v>9402</v>
      </c>
    </row>
    <row r="674" spans="1:12" x14ac:dyDescent="0.3">
      <c r="A674">
        <v>0</v>
      </c>
      <c r="B674">
        <v>8338521</v>
      </c>
      <c r="C674" s="13">
        <v>40393.550694444442</v>
      </c>
      <c r="D674">
        <v>4639</v>
      </c>
      <c r="E674">
        <v>36.04</v>
      </c>
      <c r="F674" t="s">
        <v>1987</v>
      </c>
      <c r="G674">
        <v>32858</v>
      </c>
      <c r="H674" t="s">
        <v>2012</v>
      </c>
      <c r="I674" t="s">
        <v>2000</v>
      </c>
      <c r="J674" s="8">
        <v>5401</v>
      </c>
      <c r="K674">
        <v>5311</v>
      </c>
    </row>
    <row r="675" spans="1:12" x14ac:dyDescent="0.3">
      <c r="A675">
        <v>0</v>
      </c>
      <c r="B675">
        <v>8342948</v>
      </c>
      <c r="C675" s="13">
        <v>40394.559027777781</v>
      </c>
      <c r="D675">
        <v>4639</v>
      </c>
      <c r="E675">
        <v>42.73</v>
      </c>
      <c r="F675" t="s">
        <v>1994</v>
      </c>
      <c r="G675">
        <v>88459</v>
      </c>
      <c r="H675" t="s">
        <v>1993</v>
      </c>
      <c r="I675" t="s">
        <v>3719</v>
      </c>
      <c r="J675" s="8" t="s">
        <v>3719</v>
      </c>
      <c r="K675">
        <v>5311</v>
      </c>
    </row>
    <row r="676" spans="1:12" x14ac:dyDescent="0.3">
      <c r="A676">
        <v>0</v>
      </c>
      <c r="B676">
        <v>8344353</v>
      </c>
      <c r="C676" s="13">
        <v>40394.828472222223</v>
      </c>
      <c r="D676">
        <v>4639</v>
      </c>
      <c r="E676">
        <v>7.54</v>
      </c>
      <c r="F676" t="s">
        <v>1987</v>
      </c>
      <c r="G676">
        <v>13153</v>
      </c>
      <c r="H676" t="s">
        <v>2014</v>
      </c>
      <c r="I676" t="s">
        <v>2001</v>
      </c>
      <c r="J676" s="8">
        <v>4074</v>
      </c>
      <c r="K676">
        <v>5812</v>
      </c>
    </row>
    <row r="677" spans="1:12" x14ac:dyDescent="0.3">
      <c r="A677">
        <v>0</v>
      </c>
      <c r="B677">
        <v>8344799</v>
      </c>
      <c r="C677" s="13">
        <v>40394.996527777781</v>
      </c>
      <c r="D677">
        <v>4639</v>
      </c>
      <c r="E677">
        <v>252.78</v>
      </c>
      <c r="F677" t="s">
        <v>1987</v>
      </c>
      <c r="G677">
        <v>29219</v>
      </c>
      <c r="H677" t="s">
        <v>2014</v>
      </c>
      <c r="I677" t="s">
        <v>2001</v>
      </c>
      <c r="J677" s="8">
        <v>4074</v>
      </c>
      <c r="K677">
        <v>4900</v>
      </c>
    </row>
    <row r="678" spans="1:12" x14ac:dyDescent="0.3">
      <c r="A678">
        <v>0</v>
      </c>
      <c r="B678">
        <v>8346691</v>
      </c>
      <c r="C678" s="13">
        <v>40395.481944444444</v>
      </c>
      <c r="D678">
        <v>4639</v>
      </c>
      <c r="E678">
        <v>93.23</v>
      </c>
      <c r="F678" t="s">
        <v>1987</v>
      </c>
      <c r="G678">
        <v>24823</v>
      </c>
      <c r="H678" t="s">
        <v>2014</v>
      </c>
      <c r="I678" t="s">
        <v>2001</v>
      </c>
      <c r="J678" s="8">
        <v>4074</v>
      </c>
      <c r="K678">
        <v>7538</v>
      </c>
    </row>
    <row r="679" spans="1:12" x14ac:dyDescent="0.3">
      <c r="A679">
        <v>0</v>
      </c>
      <c r="B679">
        <v>8347842</v>
      </c>
      <c r="C679" s="13">
        <v>40395.636111111111</v>
      </c>
      <c r="D679">
        <v>4639</v>
      </c>
      <c r="E679">
        <v>62.72</v>
      </c>
      <c r="F679" t="s">
        <v>1987</v>
      </c>
      <c r="G679">
        <v>32635</v>
      </c>
      <c r="H679" t="s">
        <v>2014</v>
      </c>
      <c r="I679" t="s">
        <v>2001</v>
      </c>
      <c r="J679" s="8">
        <v>4074</v>
      </c>
      <c r="K679">
        <v>7230</v>
      </c>
    </row>
    <row r="680" spans="1:12" x14ac:dyDescent="0.3">
      <c r="A680">
        <v>0</v>
      </c>
      <c r="B680">
        <v>8348724</v>
      </c>
      <c r="C680" s="13">
        <v>40395.828472222223</v>
      </c>
      <c r="D680">
        <v>4639</v>
      </c>
      <c r="E680">
        <v>9.24</v>
      </c>
      <c r="F680" t="s">
        <v>1987</v>
      </c>
      <c r="G680">
        <v>55060</v>
      </c>
      <c r="H680" t="s">
        <v>2014</v>
      </c>
      <c r="I680" t="s">
        <v>2001</v>
      </c>
      <c r="J680" s="8">
        <v>4074</v>
      </c>
      <c r="K680">
        <v>5812</v>
      </c>
    </row>
    <row r="681" spans="1:12" x14ac:dyDescent="0.3">
      <c r="A681">
        <v>0</v>
      </c>
      <c r="B681">
        <v>8349072</v>
      </c>
      <c r="C681" s="13">
        <v>40395.930555555555</v>
      </c>
      <c r="D681">
        <v>4639</v>
      </c>
      <c r="E681">
        <v>56.4</v>
      </c>
      <c r="F681" t="s">
        <v>1987</v>
      </c>
      <c r="G681">
        <v>32164</v>
      </c>
      <c r="H681" t="s">
        <v>2014</v>
      </c>
      <c r="I681" t="s">
        <v>2001</v>
      </c>
      <c r="J681" s="8">
        <v>4074</v>
      </c>
      <c r="K681">
        <v>5813</v>
      </c>
    </row>
    <row r="682" spans="1:12" x14ac:dyDescent="0.3">
      <c r="A682">
        <v>0</v>
      </c>
      <c r="B682">
        <v>8351386</v>
      </c>
      <c r="C682" s="13">
        <v>40396.597916666666</v>
      </c>
      <c r="D682">
        <v>4639</v>
      </c>
      <c r="E682">
        <v>445.72</v>
      </c>
      <c r="F682" t="s">
        <v>1987</v>
      </c>
      <c r="G682">
        <v>26593</v>
      </c>
      <c r="H682" t="s">
        <v>2014</v>
      </c>
      <c r="I682" t="s">
        <v>2001</v>
      </c>
      <c r="J682" s="8">
        <v>4074</v>
      </c>
      <c r="K682">
        <v>5300</v>
      </c>
    </row>
    <row r="683" spans="1:12" x14ac:dyDescent="0.3">
      <c r="A683">
        <v>0</v>
      </c>
      <c r="B683">
        <v>8352384</v>
      </c>
      <c r="C683" s="13">
        <v>40396.798611111109</v>
      </c>
      <c r="D683">
        <v>4639</v>
      </c>
      <c r="E683">
        <v>60</v>
      </c>
      <c r="F683" t="s">
        <v>1987</v>
      </c>
      <c r="G683">
        <v>27092</v>
      </c>
      <c r="H683" t="s">
        <v>2002</v>
      </c>
      <c r="I683" t="s">
        <v>2001</v>
      </c>
      <c r="J683" s="8">
        <v>4102</v>
      </c>
      <c r="K683">
        <v>4829</v>
      </c>
    </row>
    <row r="684" spans="1:12" x14ac:dyDescent="0.3">
      <c r="A684">
        <v>0</v>
      </c>
      <c r="B684">
        <v>8352468</v>
      </c>
      <c r="C684" s="13">
        <v>40396.819444444445</v>
      </c>
      <c r="D684">
        <v>4639</v>
      </c>
      <c r="E684">
        <v>10.33</v>
      </c>
      <c r="F684" t="s">
        <v>1987</v>
      </c>
      <c r="G684">
        <v>55060</v>
      </c>
      <c r="H684" t="s">
        <v>2014</v>
      </c>
      <c r="I684" t="s">
        <v>2001</v>
      </c>
      <c r="J684" s="8">
        <v>4074</v>
      </c>
      <c r="K684">
        <v>5812</v>
      </c>
    </row>
    <row r="685" spans="1:12" x14ac:dyDescent="0.3">
      <c r="A685">
        <v>0</v>
      </c>
      <c r="B685">
        <v>8354895</v>
      </c>
      <c r="C685" s="13">
        <v>40397.546527777777</v>
      </c>
      <c r="D685">
        <v>4639</v>
      </c>
      <c r="E685">
        <v>54.22</v>
      </c>
      <c r="F685" t="s">
        <v>1987</v>
      </c>
      <c r="G685">
        <v>50783</v>
      </c>
      <c r="H685" t="s">
        <v>2023</v>
      </c>
      <c r="I685" t="s">
        <v>2001</v>
      </c>
      <c r="J685" s="8">
        <v>4085</v>
      </c>
      <c r="K685">
        <v>5411</v>
      </c>
    </row>
    <row r="686" spans="1:12" x14ac:dyDescent="0.3">
      <c r="A686">
        <v>0</v>
      </c>
      <c r="B686">
        <v>8355058</v>
      </c>
      <c r="C686" s="13">
        <v>40397.575694444444</v>
      </c>
      <c r="D686">
        <v>4639</v>
      </c>
      <c r="E686">
        <v>2.5</v>
      </c>
      <c r="F686" t="s">
        <v>1987</v>
      </c>
      <c r="G686">
        <v>26593</v>
      </c>
      <c r="H686" t="s">
        <v>2014</v>
      </c>
      <c r="I686" t="s">
        <v>2001</v>
      </c>
      <c r="J686" s="8">
        <v>4074</v>
      </c>
      <c r="K686">
        <v>5300</v>
      </c>
    </row>
    <row r="687" spans="1:12" x14ac:dyDescent="0.3">
      <c r="A687">
        <v>0</v>
      </c>
      <c r="B687">
        <v>8355896</v>
      </c>
      <c r="C687" s="13">
        <v>40397.705555555556</v>
      </c>
      <c r="D687">
        <v>4639</v>
      </c>
      <c r="E687">
        <v>98</v>
      </c>
      <c r="F687" t="s">
        <v>1987</v>
      </c>
      <c r="G687">
        <v>66206</v>
      </c>
      <c r="H687" t="s">
        <v>2016</v>
      </c>
      <c r="I687" t="s">
        <v>2001</v>
      </c>
      <c r="J687" s="8">
        <v>4073</v>
      </c>
      <c r="K687">
        <v>5651</v>
      </c>
      <c r="L687" t="s">
        <v>2011</v>
      </c>
    </row>
    <row r="688" spans="1:12" x14ac:dyDescent="0.3">
      <c r="A688">
        <v>0</v>
      </c>
      <c r="B688">
        <v>8355910</v>
      </c>
      <c r="C688" s="13">
        <v>40397.707638888889</v>
      </c>
      <c r="D688">
        <v>4639</v>
      </c>
      <c r="E688">
        <v>125.05</v>
      </c>
      <c r="F688" t="s">
        <v>1987</v>
      </c>
      <c r="G688">
        <v>66206</v>
      </c>
      <c r="H688" t="s">
        <v>2016</v>
      </c>
      <c r="I688" t="s">
        <v>2001</v>
      </c>
      <c r="J688" s="8">
        <v>4073</v>
      </c>
      <c r="K688">
        <v>5651</v>
      </c>
    </row>
    <row r="689" spans="1:12" x14ac:dyDescent="0.3">
      <c r="A689">
        <v>0</v>
      </c>
      <c r="B689">
        <v>8356464</v>
      </c>
      <c r="C689" s="13">
        <v>40397.856249999997</v>
      </c>
      <c r="D689">
        <v>4639</v>
      </c>
      <c r="E689">
        <v>473</v>
      </c>
      <c r="F689" t="s">
        <v>1987</v>
      </c>
      <c r="G689">
        <v>52923</v>
      </c>
      <c r="H689" t="s">
        <v>2031</v>
      </c>
      <c r="I689" t="s">
        <v>2001</v>
      </c>
      <c r="J689" s="8">
        <v>4105</v>
      </c>
      <c r="K689">
        <v>3504</v>
      </c>
    </row>
    <row r="690" spans="1:12" x14ac:dyDescent="0.3">
      <c r="A690">
        <v>0</v>
      </c>
      <c r="B690">
        <v>8356687</v>
      </c>
      <c r="C690" s="13">
        <v>40397.920138888891</v>
      </c>
      <c r="D690">
        <v>4639</v>
      </c>
      <c r="E690">
        <v>55.66</v>
      </c>
      <c r="F690" t="s">
        <v>1987</v>
      </c>
      <c r="G690">
        <v>88483</v>
      </c>
      <c r="H690" t="s">
        <v>2016</v>
      </c>
      <c r="I690" t="s">
        <v>2001</v>
      </c>
      <c r="J690" s="8">
        <v>4073</v>
      </c>
      <c r="K690">
        <v>5813</v>
      </c>
    </row>
    <row r="691" spans="1:12" x14ac:dyDescent="0.3">
      <c r="A691">
        <v>0</v>
      </c>
      <c r="B691">
        <v>8356781</v>
      </c>
      <c r="C691" s="13">
        <v>40397.946527777778</v>
      </c>
      <c r="D691">
        <v>4639</v>
      </c>
      <c r="E691">
        <v>52.79</v>
      </c>
      <c r="F691" t="s">
        <v>1987</v>
      </c>
      <c r="G691">
        <v>88483</v>
      </c>
      <c r="H691" t="s">
        <v>2016</v>
      </c>
      <c r="I691" t="s">
        <v>2001</v>
      </c>
      <c r="J691" s="8">
        <v>4073</v>
      </c>
      <c r="K691">
        <v>5813</v>
      </c>
    </row>
    <row r="692" spans="1:12" x14ac:dyDescent="0.3">
      <c r="A692">
        <v>0</v>
      </c>
      <c r="B692">
        <v>8359038</v>
      </c>
      <c r="C692" s="13">
        <v>40398.52847222222</v>
      </c>
      <c r="D692">
        <v>4639</v>
      </c>
      <c r="E692">
        <v>83</v>
      </c>
      <c r="F692" t="s">
        <v>1987</v>
      </c>
      <c r="G692">
        <v>28395</v>
      </c>
      <c r="H692" t="s">
        <v>2022</v>
      </c>
      <c r="I692" t="s">
        <v>2001</v>
      </c>
      <c r="J692" s="8">
        <v>4083</v>
      </c>
      <c r="K692">
        <v>5541</v>
      </c>
    </row>
    <row r="693" spans="1:12" x14ac:dyDescent="0.3">
      <c r="A693">
        <v>0</v>
      </c>
      <c r="B693">
        <v>8359104</v>
      </c>
      <c r="C693" s="13">
        <v>40398.536111111112</v>
      </c>
      <c r="D693">
        <v>4639</v>
      </c>
      <c r="E693">
        <v>-83</v>
      </c>
      <c r="F693" t="s">
        <v>1987</v>
      </c>
      <c r="G693">
        <v>28395</v>
      </c>
      <c r="H693" t="s">
        <v>2022</v>
      </c>
      <c r="I693" t="s">
        <v>2001</v>
      </c>
      <c r="J693" s="8">
        <v>4083</v>
      </c>
      <c r="K693">
        <v>5541</v>
      </c>
    </row>
    <row r="694" spans="1:12" x14ac:dyDescent="0.3">
      <c r="A694">
        <v>0</v>
      </c>
      <c r="B694">
        <v>8359128</v>
      </c>
      <c r="C694" s="13">
        <v>40398.538888888892</v>
      </c>
      <c r="D694">
        <v>4639</v>
      </c>
      <c r="E694">
        <v>63.83</v>
      </c>
      <c r="F694" t="s">
        <v>1987</v>
      </c>
      <c r="G694">
        <v>28395</v>
      </c>
      <c r="H694" t="s">
        <v>2022</v>
      </c>
      <c r="I694" t="s">
        <v>2001</v>
      </c>
      <c r="J694" s="8">
        <v>4083</v>
      </c>
      <c r="K694">
        <v>5541</v>
      </c>
      <c r="L694" t="s">
        <v>1988</v>
      </c>
    </row>
    <row r="695" spans="1:12" x14ac:dyDescent="0.3">
      <c r="A695">
        <v>0</v>
      </c>
      <c r="B695">
        <v>8359134</v>
      </c>
      <c r="C695" s="13">
        <v>40398.539583333331</v>
      </c>
      <c r="D695">
        <v>4639</v>
      </c>
      <c r="E695">
        <v>63.83</v>
      </c>
      <c r="F695" t="s">
        <v>1987</v>
      </c>
      <c r="G695">
        <v>28395</v>
      </c>
      <c r="H695" t="s">
        <v>2022</v>
      </c>
      <c r="I695" t="s">
        <v>2001</v>
      </c>
      <c r="J695" s="8">
        <v>4083</v>
      </c>
      <c r="K695">
        <v>5541</v>
      </c>
      <c r="L695" t="s">
        <v>1988</v>
      </c>
    </row>
    <row r="696" spans="1:12" x14ac:dyDescent="0.3">
      <c r="A696">
        <v>0</v>
      </c>
      <c r="B696">
        <v>8359147</v>
      </c>
      <c r="C696" s="13">
        <v>40398.540972222225</v>
      </c>
      <c r="D696">
        <v>4639</v>
      </c>
      <c r="E696">
        <v>65</v>
      </c>
      <c r="F696" t="s">
        <v>1987</v>
      </c>
      <c r="G696">
        <v>28395</v>
      </c>
      <c r="H696" t="s">
        <v>2022</v>
      </c>
      <c r="I696" t="s">
        <v>2001</v>
      </c>
      <c r="J696" s="8">
        <v>4083</v>
      </c>
      <c r="K696">
        <v>5541</v>
      </c>
    </row>
    <row r="697" spans="1:12" x14ac:dyDescent="0.3">
      <c r="A697">
        <v>0</v>
      </c>
      <c r="B697">
        <v>8359148</v>
      </c>
      <c r="C697" s="13">
        <v>40398.540972222225</v>
      </c>
      <c r="D697">
        <v>4639</v>
      </c>
      <c r="E697">
        <v>-65</v>
      </c>
      <c r="F697" t="s">
        <v>1987</v>
      </c>
      <c r="G697">
        <v>28395</v>
      </c>
      <c r="H697" t="s">
        <v>2022</v>
      </c>
      <c r="I697" t="s">
        <v>2001</v>
      </c>
      <c r="J697" s="8">
        <v>4083</v>
      </c>
      <c r="K697">
        <v>5541</v>
      </c>
    </row>
    <row r="698" spans="1:12" x14ac:dyDescent="0.3">
      <c r="A698">
        <v>0</v>
      </c>
      <c r="B698">
        <v>8359467</v>
      </c>
      <c r="C698" s="13">
        <v>40398.588194444441</v>
      </c>
      <c r="D698">
        <v>4639</v>
      </c>
      <c r="E698">
        <v>26.65</v>
      </c>
      <c r="F698" t="s">
        <v>1994</v>
      </c>
      <c r="G698">
        <v>18563</v>
      </c>
      <c r="H698" t="s">
        <v>1993</v>
      </c>
      <c r="I698" t="s">
        <v>3719</v>
      </c>
      <c r="J698" s="8" t="s">
        <v>3719</v>
      </c>
      <c r="K698">
        <v>4121</v>
      </c>
    </row>
    <row r="699" spans="1:12" x14ac:dyDescent="0.3">
      <c r="A699">
        <v>0</v>
      </c>
      <c r="B699">
        <v>8360954</v>
      </c>
      <c r="C699" s="13">
        <v>40398.921527777777</v>
      </c>
      <c r="D699">
        <v>4639</v>
      </c>
      <c r="E699">
        <v>67.2</v>
      </c>
      <c r="F699" t="s">
        <v>1987</v>
      </c>
      <c r="G699">
        <v>88483</v>
      </c>
      <c r="H699" t="s">
        <v>2016</v>
      </c>
      <c r="I699" t="s">
        <v>2001</v>
      </c>
      <c r="J699" s="8">
        <v>4073</v>
      </c>
      <c r="K699">
        <v>5813</v>
      </c>
    </row>
    <row r="700" spans="1:12" x14ac:dyDescent="0.3">
      <c r="A700">
        <v>0</v>
      </c>
      <c r="B700">
        <v>8363531</v>
      </c>
      <c r="C700" s="13">
        <v>40399.557638888888</v>
      </c>
      <c r="D700">
        <v>4639</v>
      </c>
      <c r="E700">
        <v>51.63</v>
      </c>
      <c r="F700" t="s">
        <v>1987</v>
      </c>
      <c r="G700">
        <v>75781</v>
      </c>
      <c r="H700" t="s">
        <v>2016</v>
      </c>
      <c r="I700" t="s">
        <v>2001</v>
      </c>
      <c r="J700" s="8">
        <v>4073</v>
      </c>
      <c r="K700">
        <v>5411</v>
      </c>
    </row>
    <row r="701" spans="1:12" x14ac:dyDescent="0.3">
      <c r="A701">
        <v>0</v>
      </c>
      <c r="B701">
        <v>8364929</v>
      </c>
      <c r="C701" s="13">
        <v>40399.822222222225</v>
      </c>
      <c r="D701">
        <v>4639</v>
      </c>
      <c r="E701">
        <v>9.11</v>
      </c>
      <c r="F701" t="s">
        <v>1987</v>
      </c>
      <c r="G701">
        <v>45926</v>
      </c>
      <c r="H701" t="s">
        <v>2016</v>
      </c>
      <c r="I701" t="s">
        <v>2001</v>
      </c>
      <c r="J701" s="8">
        <v>4073</v>
      </c>
      <c r="K701">
        <v>5814</v>
      </c>
    </row>
    <row r="702" spans="1:12" x14ac:dyDescent="0.3">
      <c r="A702">
        <v>0</v>
      </c>
      <c r="B702">
        <v>8365248</v>
      </c>
      <c r="C702" s="13">
        <v>40399.918749999997</v>
      </c>
      <c r="D702">
        <v>4639</v>
      </c>
      <c r="E702">
        <v>52.76</v>
      </c>
      <c r="F702" t="s">
        <v>1987</v>
      </c>
      <c r="G702">
        <v>88483</v>
      </c>
      <c r="H702" t="s">
        <v>2016</v>
      </c>
      <c r="I702" t="s">
        <v>2001</v>
      </c>
      <c r="J702" s="8">
        <v>4073</v>
      </c>
      <c r="K702">
        <v>5813</v>
      </c>
    </row>
    <row r="703" spans="1:12" x14ac:dyDescent="0.3">
      <c r="A703">
        <v>0</v>
      </c>
      <c r="B703">
        <v>8367958</v>
      </c>
      <c r="C703" s="13">
        <v>40400.584027777775</v>
      </c>
      <c r="D703">
        <v>4639</v>
      </c>
      <c r="E703">
        <v>23.85</v>
      </c>
      <c r="F703" t="s">
        <v>1987</v>
      </c>
      <c r="G703">
        <v>46293</v>
      </c>
      <c r="H703" t="s">
        <v>2016</v>
      </c>
      <c r="I703" t="s">
        <v>2001</v>
      </c>
      <c r="J703" s="8">
        <v>4073</v>
      </c>
      <c r="K703">
        <v>4121</v>
      </c>
    </row>
    <row r="704" spans="1:12" x14ac:dyDescent="0.3">
      <c r="A704">
        <v>0</v>
      </c>
      <c r="B704">
        <v>8369053</v>
      </c>
      <c r="C704" s="13">
        <v>40400.78402777778</v>
      </c>
      <c r="D704">
        <v>4639</v>
      </c>
      <c r="E704">
        <v>6.49</v>
      </c>
      <c r="F704" t="s">
        <v>1987</v>
      </c>
      <c r="G704">
        <v>55060</v>
      </c>
      <c r="H704" t="s">
        <v>2014</v>
      </c>
      <c r="I704" t="s">
        <v>2001</v>
      </c>
      <c r="J704" s="8">
        <v>4074</v>
      </c>
      <c r="K704">
        <v>5812</v>
      </c>
    </row>
    <row r="705" spans="1:11" x14ac:dyDescent="0.3">
      <c r="A705">
        <v>0</v>
      </c>
      <c r="B705">
        <v>8369210</v>
      </c>
      <c r="C705" s="13">
        <v>40400.82916666667</v>
      </c>
      <c r="D705">
        <v>4639</v>
      </c>
      <c r="E705">
        <v>8.26</v>
      </c>
      <c r="F705" t="s">
        <v>1987</v>
      </c>
      <c r="G705">
        <v>67543</v>
      </c>
      <c r="H705" t="s">
        <v>2016</v>
      </c>
      <c r="I705" t="s">
        <v>2001</v>
      </c>
      <c r="J705" s="8">
        <v>4073</v>
      </c>
      <c r="K705">
        <v>5812</v>
      </c>
    </row>
    <row r="706" spans="1:11" x14ac:dyDescent="0.3">
      <c r="A706">
        <v>0</v>
      </c>
      <c r="B706">
        <v>8369493</v>
      </c>
      <c r="C706" s="13">
        <v>40400.920138888891</v>
      </c>
      <c r="D706">
        <v>4639</v>
      </c>
      <c r="E706">
        <v>37.619999999999997</v>
      </c>
      <c r="F706" t="s">
        <v>1987</v>
      </c>
      <c r="G706">
        <v>88483</v>
      </c>
      <c r="H706" t="s">
        <v>2016</v>
      </c>
      <c r="I706" t="s">
        <v>2001</v>
      </c>
      <c r="J706" s="8">
        <v>4073</v>
      </c>
      <c r="K706">
        <v>5813</v>
      </c>
    </row>
    <row r="707" spans="1:11" x14ac:dyDescent="0.3">
      <c r="A707">
        <v>0</v>
      </c>
      <c r="B707">
        <v>8369571</v>
      </c>
      <c r="C707" s="13">
        <v>40400.946527777778</v>
      </c>
      <c r="D707">
        <v>4639</v>
      </c>
      <c r="E707">
        <v>61.24</v>
      </c>
      <c r="F707" t="s">
        <v>1987</v>
      </c>
      <c r="G707">
        <v>88483</v>
      </c>
      <c r="H707" t="s">
        <v>2016</v>
      </c>
      <c r="I707" t="s">
        <v>2001</v>
      </c>
      <c r="J707" s="8">
        <v>4073</v>
      </c>
      <c r="K707">
        <v>5813</v>
      </c>
    </row>
    <row r="708" spans="1:11" x14ac:dyDescent="0.3">
      <c r="A708">
        <v>0</v>
      </c>
      <c r="B708">
        <v>8372545</v>
      </c>
      <c r="C708" s="13">
        <v>40401.627083333333</v>
      </c>
      <c r="D708">
        <v>4639</v>
      </c>
      <c r="E708">
        <v>-473</v>
      </c>
      <c r="F708" t="s">
        <v>1987</v>
      </c>
      <c r="G708">
        <v>52923</v>
      </c>
      <c r="H708" t="s">
        <v>2031</v>
      </c>
      <c r="I708" t="s">
        <v>2001</v>
      </c>
      <c r="J708" s="8">
        <v>4105</v>
      </c>
      <c r="K708">
        <v>3504</v>
      </c>
    </row>
    <row r="709" spans="1:11" x14ac:dyDescent="0.3">
      <c r="A709">
        <v>0</v>
      </c>
      <c r="B709">
        <v>8372551</v>
      </c>
      <c r="C709" s="13">
        <v>40401.628472222219</v>
      </c>
      <c r="D709">
        <v>4639</v>
      </c>
      <c r="E709">
        <v>141.6</v>
      </c>
      <c r="F709" t="s">
        <v>1987</v>
      </c>
      <c r="G709">
        <v>52923</v>
      </c>
      <c r="H709" t="s">
        <v>2031</v>
      </c>
      <c r="I709" t="s">
        <v>2001</v>
      </c>
      <c r="J709" s="8">
        <v>4105</v>
      </c>
      <c r="K709">
        <v>3504</v>
      </c>
    </row>
    <row r="710" spans="1:11" x14ac:dyDescent="0.3">
      <c r="A710">
        <v>0</v>
      </c>
      <c r="B710">
        <v>8373420</v>
      </c>
      <c r="C710" s="13">
        <v>40401.800000000003</v>
      </c>
      <c r="D710">
        <v>4639</v>
      </c>
      <c r="E710">
        <v>120</v>
      </c>
      <c r="F710" t="s">
        <v>1987</v>
      </c>
      <c r="G710">
        <v>27092</v>
      </c>
      <c r="H710" t="s">
        <v>2002</v>
      </c>
      <c r="I710" t="s">
        <v>2001</v>
      </c>
      <c r="J710" s="8">
        <v>4102</v>
      </c>
      <c r="K710">
        <v>4829</v>
      </c>
    </row>
    <row r="711" spans="1:11" x14ac:dyDescent="0.3">
      <c r="A711">
        <v>0</v>
      </c>
      <c r="B711">
        <v>8378497</v>
      </c>
      <c r="C711" s="13">
        <v>40403.291666666664</v>
      </c>
      <c r="D711">
        <v>4639</v>
      </c>
      <c r="E711">
        <v>98.21</v>
      </c>
      <c r="F711" t="s">
        <v>1987</v>
      </c>
      <c r="G711">
        <v>28395</v>
      </c>
      <c r="H711" t="s">
        <v>2022</v>
      </c>
      <c r="I711" t="s">
        <v>2001</v>
      </c>
      <c r="J711" s="8">
        <v>4083</v>
      </c>
      <c r="K711">
        <v>5541</v>
      </c>
    </row>
    <row r="712" spans="1:11" x14ac:dyDescent="0.3">
      <c r="A712">
        <v>0</v>
      </c>
      <c r="B712">
        <v>8379603</v>
      </c>
      <c r="C712" s="13">
        <v>40403.481944444444</v>
      </c>
      <c r="D712">
        <v>4639</v>
      </c>
      <c r="E712">
        <v>16.82</v>
      </c>
      <c r="F712" t="s">
        <v>1987</v>
      </c>
      <c r="G712">
        <v>83271</v>
      </c>
      <c r="H712" t="s">
        <v>2002</v>
      </c>
      <c r="I712" t="s">
        <v>2001</v>
      </c>
      <c r="J712" s="8">
        <v>4103</v>
      </c>
      <c r="K712">
        <v>4214</v>
      </c>
    </row>
    <row r="713" spans="1:11" x14ac:dyDescent="0.3">
      <c r="A713">
        <v>0</v>
      </c>
      <c r="B713">
        <v>8380240</v>
      </c>
      <c r="C713" s="13">
        <v>40403.583333333336</v>
      </c>
      <c r="D713">
        <v>4639</v>
      </c>
      <c r="E713">
        <v>288.66000000000003</v>
      </c>
      <c r="F713" t="s">
        <v>1987</v>
      </c>
      <c r="G713">
        <v>69956</v>
      </c>
      <c r="H713" t="s">
        <v>2022</v>
      </c>
      <c r="I713" t="s">
        <v>2001</v>
      </c>
      <c r="J713" s="8">
        <v>4083</v>
      </c>
      <c r="K713">
        <v>5310</v>
      </c>
    </row>
    <row r="714" spans="1:11" x14ac:dyDescent="0.3">
      <c r="A714">
        <v>0</v>
      </c>
      <c r="B714">
        <v>8381369</v>
      </c>
      <c r="C714" s="13">
        <v>40403.821527777778</v>
      </c>
      <c r="D714">
        <v>4639</v>
      </c>
      <c r="E714">
        <v>9.89</v>
      </c>
      <c r="F714" t="s">
        <v>1987</v>
      </c>
      <c r="G714">
        <v>98648</v>
      </c>
      <c r="H714" t="s">
        <v>2014</v>
      </c>
      <c r="I714" t="s">
        <v>2001</v>
      </c>
      <c r="J714" s="8">
        <v>4074</v>
      </c>
      <c r="K714">
        <v>5814</v>
      </c>
    </row>
    <row r="715" spans="1:11" x14ac:dyDescent="0.3">
      <c r="A715">
        <v>0</v>
      </c>
      <c r="B715">
        <v>8384170</v>
      </c>
      <c r="C715" s="13">
        <v>40404.602083333331</v>
      </c>
      <c r="D715">
        <v>4639</v>
      </c>
      <c r="E715">
        <v>25.39</v>
      </c>
      <c r="F715" t="s">
        <v>1987</v>
      </c>
      <c r="G715">
        <v>24206</v>
      </c>
      <c r="H715" t="s">
        <v>2014</v>
      </c>
      <c r="I715" t="s">
        <v>2001</v>
      </c>
      <c r="J715" s="8">
        <v>4074</v>
      </c>
      <c r="K715">
        <v>4121</v>
      </c>
    </row>
    <row r="716" spans="1:11" x14ac:dyDescent="0.3">
      <c r="A716">
        <v>0</v>
      </c>
      <c r="B716">
        <v>8385577</v>
      </c>
      <c r="C716" s="13">
        <v>40404.899305555555</v>
      </c>
      <c r="D716">
        <v>4639</v>
      </c>
      <c r="E716">
        <v>51.54</v>
      </c>
      <c r="F716" t="s">
        <v>1987</v>
      </c>
      <c r="G716">
        <v>32164</v>
      </c>
      <c r="H716" t="s">
        <v>2014</v>
      </c>
      <c r="I716" t="s">
        <v>2001</v>
      </c>
      <c r="J716" s="8">
        <v>4074</v>
      </c>
      <c r="K716">
        <v>5813</v>
      </c>
    </row>
    <row r="717" spans="1:11" x14ac:dyDescent="0.3">
      <c r="A717">
        <v>0</v>
      </c>
      <c r="B717">
        <v>8385655</v>
      </c>
      <c r="C717" s="13">
        <v>40404.919444444444</v>
      </c>
      <c r="D717">
        <v>4639</v>
      </c>
      <c r="E717">
        <v>38.229999999999997</v>
      </c>
      <c r="F717" t="s">
        <v>1987</v>
      </c>
      <c r="G717">
        <v>32164</v>
      </c>
      <c r="H717" t="s">
        <v>2014</v>
      </c>
      <c r="I717" t="s">
        <v>2001</v>
      </c>
      <c r="J717" s="8">
        <v>4074</v>
      </c>
      <c r="K717">
        <v>5813</v>
      </c>
    </row>
    <row r="718" spans="1:11" x14ac:dyDescent="0.3">
      <c r="A718">
        <v>0</v>
      </c>
      <c r="B718">
        <v>8388205</v>
      </c>
      <c r="C718" s="13">
        <v>40405.558333333334</v>
      </c>
      <c r="D718">
        <v>4639</v>
      </c>
      <c r="E718">
        <v>44.79</v>
      </c>
      <c r="F718" t="s">
        <v>1987</v>
      </c>
      <c r="G718">
        <v>32858</v>
      </c>
      <c r="H718" t="s">
        <v>2012</v>
      </c>
      <c r="I718" t="s">
        <v>2000</v>
      </c>
      <c r="J718" s="8">
        <v>5401</v>
      </c>
      <c r="K718">
        <v>5311</v>
      </c>
    </row>
    <row r="719" spans="1:11" x14ac:dyDescent="0.3">
      <c r="A719">
        <v>0</v>
      </c>
      <c r="B719">
        <v>8389571</v>
      </c>
      <c r="C719" s="13">
        <v>40405.813194444447</v>
      </c>
      <c r="D719">
        <v>4639</v>
      </c>
      <c r="E719">
        <v>7.74</v>
      </c>
      <c r="F719" t="s">
        <v>1987</v>
      </c>
      <c r="G719">
        <v>98648</v>
      </c>
      <c r="H719" t="s">
        <v>2014</v>
      </c>
      <c r="I719" t="s">
        <v>2001</v>
      </c>
      <c r="J719" s="8">
        <v>4074</v>
      </c>
      <c r="K719">
        <v>5814</v>
      </c>
    </row>
    <row r="720" spans="1:11" x14ac:dyDescent="0.3">
      <c r="A720">
        <v>0</v>
      </c>
      <c r="B720">
        <v>8389937</v>
      </c>
      <c r="C720" s="13">
        <v>40405.931250000001</v>
      </c>
      <c r="D720">
        <v>4639</v>
      </c>
      <c r="E720">
        <v>45.25</v>
      </c>
      <c r="F720" t="s">
        <v>1987</v>
      </c>
      <c r="G720">
        <v>32164</v>
      </c>
      <c r="H720" t="s">
        <v>2014</v>
      </c>
      <c r="I720" t="s">
        <v>2001</v>
      </c>
      <c r="J720" s="8">
        <v>4074</v>
      </c>
      <c r="K720">
        <v>5813</v>
      </c>
    </row>
    <row r="721" spans="1:11" x14ac:dyDescent="0.3">
      <c r="A721">
        <v>0</v>
      </c>
      <c r="B721">
        <v>8398854</v>
      </c>
      <c r="C721" s="13">
        <v>40408.15</v>
      </c>
      <c r="D721">
        <v>4639</v>
      </c>
      <c r="E721">
        <v>49.68</v>
      </c>
      <c r="F721" t="s">
        <v>1994</v>
      </c>
      <c r="G721">
        <v>27310</v>
      </c>
      <c r="H721" t="s">
        <v>1993</v>
      </c>
      <c r="I721" t="s">
        <v>3719</v>
      </c>
      <c r="J721" s="8" t="s">
        <v>3719</v>
      </c>
      <c r="K721">
        <v>7349</v>
      </c>
    </row>
    <row r="722" spans="1:11" x14ac:dyDescent="0.3">
      <c r="A722">
        <v>0</v>
      </c>
      <c r="B722">
        <v>8401096</v>
      </c>
      <c r="C722" s="13">
        <v>40408.555555555555</v>
      </c>
      <c r="D722">
        <v>4639</v>
      </c>
      <c r="E722">
        <v>48.59</v>
      </c>
      <c r="F722" t="s">
        <v>1987</v>
      </c>
      <c r="G722">
        <v>20561</v>
      </c>
      <c r="H722" t="s">
        <v>2014</v>
      </c>
      <c r="I722" t="s">
        <v>2001</v>
      </c>
      <c r="J722" s="8">
        <v>4074</v>
      </c>
      <c r="K722">
        <v>5912</v>
      </c>
    </row>
    <row r="723" spans="1:11" x14ac:dyDescent="0.3">
      <c r="A723">
        <v>0</v>
      </c>
      <c r="B723">
        <v>8405195</v>
      </c>
      <c r="C723" s="13">
        <v>40409.525000000001</v>
      </c>
      <c r="D723">
        <v>4639</v>
      </c>
      <c r="E723">
        <v>385</v>
      </c>
      <c r="F723" t="s">
        <v>1987</v>
      </c>
      <c r="G723">
        <v>15574</v>
      </c>
      <c r="H723" t="s">
        <v>2028</v>
      </c>
      <c r="I723" t="s">
        <v>1989</v>
      </c>
      <c r="J723" s="8">
        <v>37138</v>
      </c>
      <c r="K723">
        <v>3393</v>
      </c>
    </row>
    <row r="724" spans="1:11" x14ac:dyDescent="0.3">
      <c r="A724">
        <v>0</v>
      </c>
      <c r="B724">
        <v>8405743</v>
      </c>
      <c r="C724" s="13">
        <v>40409.602777777778</v>
      </c>
      <c r="D724">
        <v>4639</v>
      </c>
      <c r="E724">
        <v>19.03</v>
      </c>
      <c r="F724" t="s">
        <v>1987</v>
      </c>
      <c r="G724">
        <v>22652</v>
      </c>
      <c r="H724" t="s">
        <v>2009</v>
      </c>
      <c r="I724" t="s">
        <v>1989</v>
      </c>
      <c r="J724" s="8">
        <v>37087</v>
      </c>
      <c r="K724">
        <v>4121</v>
      </c>
    </row>
    <row r="725" spans="1:11" x14ac:dyDescent="0.3">
      <c r="A725">
        <v>0</v>
      </c>
      <c r="B725">
        <v>8406272</v>
      </c>
      <c r="C725" s="13">
        <v>40409.683333333334</v>
      </c>
      <c r="D725">
        <v>4639</v>
      </c>
      <c r="E725">
        <v>97.92</v>
      </c>
      <c r="F725" t="s">
        <v>1987</v>
      </c>
      <c r="G725">
        <v>60569</v>
      </c>
      <c r="H725" t="s">
        <v>2020</v>
      </c>
      <c r="I725" t="s">
        <v>1989</v>
      </c>
      <c r="J725" s="8">
        <v>37327</v>
      </c>
      <c r="K725">
        <v>5300</v>
      </c>
    </row>
    <row r="726" spans="1:11" x14ac:dyDescent="0.3">
      <c r="A726">
        <v>0</v>
      </c>
      <c r="B726">
        <v>8406851</v>
      </c>
      <c r="C726" s="13">
        <v>40409.823611111111</v>
      </c>
      <c r="D726">
        <v>4639</v>
      </c>
      <c r="E726">
        <v>5.0199999999999996</v>
      </c>
      <c r="F726" t="s">
        <v>1987</v>
      </c>
      <c r="G726">
        <v>10506</v>
      </c>
      <c r="H726" t="s">
        <v>2009</v>
      </c>
      <c r="I726" t="s">
        <v>1989</v>
      </c>
      <c r="J726" s="8">
        <v>37087</v>
      </c>
      <c r="K726">
        <v>5812</v>
      </c>
    </row>
    <row r="727" spans="1:11" x14ac:dyDescent="0.3">
      <c r="A727">
        <v>0</v>
      </c>
      <c r="B727">
        <v>8410631</v>
      </c>
      <c r="C727" s="13">
        <v>40410.802777777775</v>
      </c>
      <c r="D727">
        <v>4639</v>
      </c>
      <c r="E727">
        <v>120</v>
      </c>
      <c r="F727" t="s">
        <v>1987</v>
      </c>
      <c r="G727">
        <v>27092</v>
      </c>
      <c r="H727" t="s">
        <v>2027</v>
      </c>
      <c r="I727" t="s">
        <v>1989</v>
      </c>
      <c r="J727" s="8">
        <v>37128</v>
      </c>
      <c r="K727">
        <v>4829</v>
      </c>
    </row>
    <row r="728" spans="1:11" x14ac:dyDescent="0.3">
      <c r="A728">
        <v>0</v>
      </c>
      <c r="B728">
        <v>8410690</v>
      </c>
      <c r="C728" s="13">
        <v>40410.817361111112</v>
      </c>
      <c r="D728">
        <v>4639</v>
      </c>
      <c r="E728">
        <v>9.27</v>
      </c>
      <c r="F728" t="s">
        <v>1987</v>
      </c>
      <c r="G728">
        <v>75936</v>
      </c>
      <c r="H728" t="s">
        <v>2009</v>
      </c>
      <c r="I728" t="s">
        <v>1989</v>
      </c>
      <c r="J728" s="8">
        <v>37087</v>
      </c>
      <c r="K728">
        <v>5814</v>
      </c>
    </row>
    <row r="729" spans="1:11" x14ac:dyDescent="0.3">
      <c r="A729">
        <v>0</v>
      </c>
      <c r="B729">
        <v>8411069</v>
      </c>
      <c r="C729" s="13">
        <v>40410.931944444441</v>
      </c>
      <c r="D729">
        <v>4639</v>
      </c>
      <c r="E729">
        <v>63.11</v>
      </c>
      <c r="F729" t="s">
        <v>1987</v>
      </c>
      <c r="G729">
        <v>41676</v>
      </c>
      <c r="H729" t="s">
        <v>2009</v>
      </c>
      <c r="I729" t="s">
        <v>1989</v>
      </c>
      <c r="J729" s="8">
        <v>37087</v>
      </c>
      <c r="K729">
        <v>5813</v>
      </c>
    </row>
    <row r="730" spans="1:11" x14ac:dyDescent="0.3">
      <c r="A730">
        <v>0</v>
      </c>
      <c r="B730">
        <v>8411306</v>
      </c>
      <c r="C730" s="13">
        <v>40411.159722222219</v>
      </c>
      <c r="D730">
        <v>4639</v>
      </c>
      <c r="E730">
        <v>46.69</v>
      </c>
      <c r="F730" t="s">
        <v>1987</v>
      </c>
      <c r="G730">
        <v>50166</v>
      </c>
      <c r="H730" t="s">
        <v>2009</v>
      </c>
      <c r="I730" t="s">
        <v>1989</v>
      </c>
      <c r="J730" s="8">
        <v>37087</v>
      </c>
      <c r="K730">
        <v>4900</v>
      </c>
    </row>
    <row r="731" spans="1:11" x14ac:dyDescent="0.3">
      <c r="A731">
        <v>0</v>
      </c>
      <c r="B731">
        <v>8411633</v>
      </c>
      <c r="C731" s="13">
        <v>40411.29791666667</v>
      </c>
      <c r="D731">
        <v>4639</v>
      </c>
      <c r="E731">
        <v>70.62</v>
      </c>
      <c r="F731" t="s">
        <v>1987</v>
      </c>
      <c r="G731">
        <v>28395</v>
      </c>
      <c r="H731" t="s">
        <v>2009</v>
      </c>
      <c r="I731" t="s">
        <v>1989</v>
      </c>
      <c r="J731" s="8">
        <v>37087</v>
      </c>
      <c r="K731">
        <v>5541</v>
      </c>
    </row>
    <row r="732" spans="1:11" x14ac:dyDescent="0.3">
      <c r="A732">
        <v>0</v>
      </c>
      <c r="B732">
        <v>8414102</v>
      </c>
      <c r="C732" s="13">
        <v>40411.69027777778</v>
      </c>
      <c r="D732">
        <v>4639</v>
      </c>
      <c r="E732">
        <v>75.66</v>
      </c>
      <c r="F732" t="s">
        <v>1987</v>
      </c>
      <c r="G732">
        <v>14966</v>
      </c>
      <c r="H732" t="s">
        <v>2009</v>
      </c>
      <c r="I732" t="s">
        <v>1989</v>
      </c>
      <c r="J732" s="8">
        <v>37087</v>
      </c>
      <c r="K732">
        <v>5655</v>
      </c>
    </row>
    <row r="733" spans="1:11" x14ac:dyDescent="0.3">
      <c r="A733">
        <v>0</v>
      </c>
      <c r="B733">
        <v>8414563</v>
      </c>
      <c r="C733" s="13">
        <v>40411.793749999997</v>
      </c>
      <c r="D733">
        <v>4639</v>
      </c>
      <c r="E733">
        <v>11.73</v>
      </c>
      <c r="F733" t="s">
        <v>1987</v>
      </c>
      <c r="G733">
        <v>55060</v>
      </c>
      <c r="H733" t="s">
        <v>2009</v>
      </c>
      <c r="I733" t="s">
        <v>1989</v>
      </c>
      <c r="J733" s="8">
        <v>37087</v>
      </c>
      <c r="K733">
        <v>5812</v>
      </c>
    </row>
    <row r="734" spans="1:11" x14ac:dyDescent="0.3">
      <c r="A734">
        <v>0</v>
      </c>
      <c r="B734">
        <v>8414706</v>
      </c>
      <c r="C734" s="13">
        <v>40411.832638888889</v>
      </c>
      <c r="D734">
        <v>4639</v>
      </c>
      <c r="E734">
        <v>8.48</v>
      </c>
      <c r="F734" t="s">
        <v>1987</v>
      </c>
      <c r="G734">
        <v>75936</v>
      </c>
      <c r="H734" t="s">
        <v>2009</v>
      </c>
      <c r="I734" t="s">
        <v>1989</v>
      </c>
      <c r="J734" s="8">
        <v>37087</v>
      </c>
      <c r="K734">
        <v>5814</v>
      </c>
    </row>
    <row r="735" spans="1:11" x14ac:dyDescent="0.3">
      <c r="A735">
        <v>0</v>
      </c>
      <c r="B735">
        <v>8415049</v>
      </c>
      <c r="C735" s="13">
        <v>40411.929861111108</v>
      </c>
      <c r="D735">
        <v>4639</v>
      </c>
      <c r="E735">
        <v>52.36</v>
      </c>
      <c r="F735" t="s">
        <v>1987</v>
      </c>
      <c r="G735">
        <v>41676</v>
      </c>
      <c r="H735" t="s">
        <v>2009</v>
      </c>
      <c r="I735" t="s">
        <v>1989</v>
      </c>
      <c r="J735" s="8">
        <v>37087</v>
      </c>
      <c r="K735">
        <v>5813</v>
      </c>
    </row>
    <row r="736" spans="1:11" x14ac:dyDescent="0.3">
      <c r="A736">
        <v>0</v>
      </c>
      <c r="B736">
        <v>8417837</v>
      </c>
      <c r="C736" s="13">
        <v>40412.590277777781</v>
      </c>
      <c r="D736">
        <v>4639</v>
      </c>
      <c r="E736">
        <v>13.38</v>
      </c>
      <c r="F736" t="s">
        <v>1987</v>
      </c>
      <c r="G736">
        <v>22652</v>
      </c>
      <c r="H736" t="s">
        <v>2009</v>
      </c>
      <c r="I736" t="s">
        <v>1989</v>
      </c>
      <c r="J736" s="8">
        <v>37087</v>
      </c>
      <c r="K736">
        <v>4121</v>
      </c>
    </row>
    <row r="737" spans="1:11" x14ac:dyDescent="0.3">
      <c r="A737">
        <v>0</v>
      </c>
      <c r="B737">
        <v>8419035</v>
      </c>
      <c r="C737" s="13">
        <v>40412.82708333333</v>
      </c>
      <c r="D737">
        <v>4639</v>
      </c>
      <c r="E737">
        <v>8.14</v>
      </c>
      <c r="F737" t="s">
        <v>1987</v>
      </c>
      <c r="G737">
        <v>75936</v>
      </c>
      <c r="H737" t="s">
        <v>2009</v>
      </c>
      <c r="I737" t="s">
        <v>1989</v>
      </c>
      <c r="J737" s="8">
        <v>37087</v>
      </c>
      <c r="K737">
        <v>5814</v>
      </c>
    </row>
    <row r="738" spans="1:11" x14ac:dyDescent="0.3">
      <c r="A738">
        <v>0</v>
      </c>
      <c r="B738">
        <v>8419364</v>
      </c>
      <c r="C738" s="13">
        <v>40412.936111111114</v>
      </c>
      <c r="D738">
        <v>4639</v>
      </c>
      <c r="E738">
        <v>60.83</v>
      </c>
      <c r="F738" t="s">
        <v>1987</v>
      </c>
      <c r="G738">
        <v>41676</v>
      </c>
      <c r="H738" t="s">
        <v>2009</v>
      </c>
      <c r="I738" t="s">
        <v>1989</v>
      </c>
      <c r="J738" s="8">
        <v>37087</v>
      </c>
      <c r="K738">
        <v>5813</v>
      </c>
    </row>
    <row r="739" spans="1:11" x14ac:dyDescent="0.3">
      <c r="A739">
        <v>0</v>
      </c>
      <c r="B739">
        <v>8419403</v>
      </c>
      <c r="C739" s="13">
        <v>40412.950694444444</v>
      </c>
      <c r="D739">
        <v>4639</v>
      </c>
      <c r="E739">
        <v>42.83</v>
      </c>
      <c r="F739" t="s">
        <v>1987</v>
      </c>
      <c r="G739">
        <v>41676</v>
      </c>
      <c r="H739" t="s">
        <v>2009</v>
      </c>
      <c r="I739" t="s">
        <v>1989</v>
      </c>
      <c r="J739" s="8">
        <v>37087</v>
      </c>
      <c r="K739">
        <v>5813</v>
      </c>
    </row>
    <row r="740" spans="1:11" x14ac:dyDescent="0.3">
      <c r="A740">
        <v>0</v>
      </c>
      <c r="B740">
        <v>8421399</v>
      </c>
      <c r="C740" s="13">
        <v>40413.502083333333</v>
      </c>
      <c r="D740">
        <v>4639</v>
      </c>
      <c r="E740">
        <v>69.430000000000007</v>
      </c>
      <c r="F740" t="s">
        <v>1987</v>
      </c>
      <c r="G740">
        <v>28395</v>
      </c>
      <c r="H740" t="s">
        <v>2009</v>
      </c>
      <c r="I740" t="s">
        <v>1989</v>
      </c>
      <c r="J740" s="8">
        <v>37087</v>
      </c>
      <c r="K740">
        <v>5541</v>
      </c>
    </row>
    <row r="741" spans="1:11" x14ac:dyDescent="0.3">
      <c r="A741">
        <v>0</v>
      </c>
      <c r="B741">
        <v>8421412</v>
      </c>
      <c r="C741" s="13">
        <v>40413.503472222219</v>
      </c>
      <c r="D741">
        <v>4639</v>
      </c>
      <c r="E741">
        <v>53</v>
      </c>
      <c r="F741" t="s">
        <v>1987</v>
      </c>
      <c r="G741">
        <v>28395</v>
      </c>
      <c r="H741" t="s">
        <v>2009</v>
      </c>
      <c r="I741" t="s">
        <v>1989</v>
      </c>
      <c r="J741" s="8">
        <v>37087</v>
      </c>
      <c r="K741">
        <v>5541</v>
      </c>
    </row>
    <row r="742" spans="1:11" x14ac:dyDescent="0.3">
      <c r="A742">
        <v>0</v>
      </c>
      <c r="B742">
        <v>8421496</v>
      </c>
      <c r="C742" s="13">
        <v>40413.513888888891</v>
      </c>
      <c r="D742">
        <v>4639</v>
      </c>
      <c r="E742">
        <v>-53</v>
      </c>
      <c r="F742" t="s">
        <v>1987</v>
      </c>
      <c r="G742">
        <v>28395</v>
      </c>
      <c r="H742" t="s">
        <v>2009</v>
      </c>
      <c r="I742" t="s">
        <v>1989</v>
      </c>
      <c r="J742" s="8">
        <v>37087</v>
      </c>
      <c r="K742">
        <v>5541</v>
      </c>
    </row>
    <row r="743" spans="1:11" x14ac:dyDescent="0.3">
      <c r="A743">
        <v>0</v>
      </c>
      <c r="B743">
        <v>8422045</v>
      </c>
      <c r="C743" s="13">
        <v>40413.592361111114</v>
      </c>
      <c r="D743">
        <v>4639</v>
      </c>
      <c r="E743">
        <v>29.38</v>
      </c>
      <c r="F743" t="s">
        <v>1994</v>
      </c>
      <c r="G743">
        <v>18563</v>
      </c>
      <c r="H743" t="s">
        <v>1993</v>
      </c>
      <c r="I743" t="s">
        <v>3719</v>
      </c>
      <c r="J743" s="8" t="s">
        <v>3719</v>
      </c>
      <c r="K743">
        <v>4121</v>
      </c>
    </row>
    <row r="744" spans="1:11" x14ac:dyDescent="0.3">
      <c r="A744">
        <v>0</v>
      </c>
      <c r="B744">
        <v>8422133</v>
      </c>
      <c r="C744" s="13">
        <v>40413.606249999997</v>
      </c>
      <c r="D744">
        <v>4639</v>
      </c>
      <c r="E744">
        <v>23.65</v>
      </c>
      <c r="F744" t="s">
        <v>1994</v>
      </c>
      <c r="G744">
        <v>16798</v>
      </c>
      <c r="H744" t="s">
        <v>1993</v>
      </c>
      <c r="I744" t="s">
        <v>3719</v>
      </c>
      <c r="J744" s="8" t="s">
        <v>3719</v>
      </c>
      <c r="K744">
        <v>4121</v>
      </c>
    </row>
    <row r="745" spans="1:11" x14ac:dyDescent="0.3">
      <c r="A745">
        <v>0</v>
      </c>
      <c r="B745">
        <v>8422641</v>
      </c>
      <c r="C745" s="13">
        <v>40413.686805555553</v>
      </c>
      <c r="D745">
        <v>4639</v>
      </c>
      <c r="E745">
        <v>165.09</v>
      </c>
      <c r="F745" t="s">
        <v>1987</v>
      </c>
      <c r="G745">
        <v>50166</v>
      </c>
      <c r="H745" t="s">
        <v>2009</v>
      </c>
      <c r="I745" t="s">
        <v>1989</v>
      </c>
      <c r="J745" s="8">
        <v>37087</v>
      </c>
      <c r="K745">
        <v>4900</v>
      </c>
    </row>
    <row r="746" spans="1:11" x14ac:dyDescent="0.3">
      <c r="A746">
        <v>0</v>
      </c>
      <c r="B746">
        <v>8424438</v>
      </c>
      <c r="C746" s="13">
        <v>40414.337500000001</v>
      </c>
      <c r="D746">
        <v>4639</v>
      </c>
      <c r="E746">
        <v>142.91</v>
      </c>
      <c r="F746" t="s">
        <v>1994</v>
      </c>
      <c r="G746">
        <v>94212</v>
      </c>
      <c r="H746" t="s">
        <v>1993</v>
      </c>
      <c r="I746" t="s">
        <v>3719</v>
      </c>
      <c r="J746" s="8" t="s">
        <v>3719</v>
      </c>
      <c r="K746">
        <v>7996</v>
      </c>
    </row>
    <row r="747" spans="1:11" x14ac:dyDescent="0.3">
      <c r="A747">
        <v>0</v>
      </c>
      <c r="B747">
        <v>8435810</v>
      </c>
      <c r="C747" s="13">
        <v>40416.771527777775</v>
      </c>
      <c r="D747">
        <v>4639</v>
      </c>
      <c r="E747">
        <v>8.4700000000000006</v>
      </c>
      <c r="F747" t="s">
        <v>1987</v>
      </c>
      <c r="G747">
        <v>55060</v>
      </c>
      <c r="H747" t="s">
        <v>2009</v>
      </c>
      <c r="I747" t="s">
        <v>1989</v>
      </c>
      <c r="J747" s="8">
        <v>37087</v>
      </c>
      <c r="K747">
        <v>5812</v>
      </c>
    </row>
    <row r="748" spans="1:11" x14ac:dyDescent="0.3">
      <c r="A748">
        <v>0</v>
      </c>
      <c r="B748">
        <v>8436051</v>
      </c>
      <c r="C748" s="13">
        <v>40416.843055555553</v>
      </c>
      <c r="D748">
        <v>4639</v>
      </c>
      <c r="E748">
        <v>8.92</v>
      </c>
      <c r="F748" t="s">
        <v>1987</v>
      </c>
      <c r="G748">
        <v>75936</v>
      </c>
      <c r="H748" t="s">
        <v>2009</v>
      </c>
      <c r="I748" t="s">
        <v>1989</v>
      </c>
      <c r="J748" s="8">
        <v>37087</v>
      </c>
      <c r="K748">
        <v>5814</v>
      </c>
    </row>
    <row r="749" spans="1:11" x14ac:dyDescent="0.3">
      <c r="A749">
        <v>0</v>
      </c>
      <c r="B749">
        <v>8436303</v>
      </c>
      <c r="C749" s="13">
        <v>40416.923611111109</v>
      </c>
      <c r="D749">
        <v>4639</v>
      </c>
      <c r="E749">
        <v>61.98</v>
      </c>
      <c r="F749" t="s">
        <v>1987</v>
      </c>
      <c r="G749">
        <v>41676</v>
      </c>
      <c r="H749" t="s">
        <v>2009</v>
      </c>
      <c r="I749" t="s">
        <v>1989</v>
      </c>
      <c r="J749" s="8">
        <v>37087</v>
      </c>
      <c r="K749">
        <v>5813</v>
      </c>
    </row>
    <row r="750" spans="1:11" x14ac:dyDescent="0.3">
      <c r="A750">
        <v>0</v>
      </c>
      <c r="B750">
        <v>8438780</v>
      </c>
      <c r="C750" s="13">
        <v>40417.603472222225</v>
      </c>
      <c r="D750">
        <v>4639</v>
      </c>
      <c r="E750">
        <v>30.11</v>
      </c>
      <c r="F750" t="s">
        <v>1994</v>
      </c>
      <c r="G750">
        <v>18563</v>
      </c>
      <c r="H750" t="s">
        <v>1993</v>
      </c>
      <c r="I750" t="s">
        <v>3719</v>
      </c>
      <c r="J750" s="8" t="s">
        <v>3719</v>
      </c>
      <c r="K750">
        <v>4121</v>
      </c>
    </row>
    <row r="751" spans="1:11" x14ac:dyDescent="0.3">
      <c r="A751">
        <v>0</v>
      </c>
      <c r="B751">
        <v>8441790</v>
      </c>
      <c r="C751" s="13">
        <v>40418.480555555558</v>
      </c>
      <c r="D751">
        <v>4639</v>
      </c>
      <c r="E751">
        <v>83.15</v>
      </c>
      <c r="F751" t="s">
        <v>1987</v>
      </c>
      <c r="G751">
        <v>32175</v>
      </c>
      <c r="H751" t="s">
        <v>2009</v>
      </c>
      <c r="I751" t="s">
        <v>1989</v>
      </c>
      <c r="J751" s="8">
        <v>37087</v>
      </c>
      <c r="K751">
        <v>7538</v>
      </c>
    </row>
    <row r="752" spans="1:11" x14ac:dyDescent="0.3">
      <c r="A752">
        <v>0</v>
      </c>
      <c r="B752">
        <v>8442300</v>
      </c>
      <c r="C752" s="13">
        <v>40418.563194444447</v>
      </c>
      <c r="D752">
        <v>4639</v>
      </c>
      <c r="E752">
        <v>2.5299999999999998</v>
      </c>
      <c r="F752" t="s">
        <v>1987</v>
      </c>
      <c r="G752">
        <v>60569</v>
      </c>
      <c r="H752" t="s">
        <v>2020</v>
      </c>
      <c r="I752" t="s">
        <v>1989</v>
      </c>
      <c r="J752" s="8">
        <v>37327</v>
      </c>
      <c r="K752">
        <v>5300</v>
      </c>
    </row>
    <row r="753" spans="1:11" x14ac:dyDescent="0.3">
      <c r="A753">
        <v>0</v>
      </c>
      <c r="B753">
        <v>8447906</v>
      </c>
      <c r="C753" s="13">
        <v>40419.825694444444</v>
      </c>
      <c r="D753">
        <v>4639</v>
      </c>
      <c r="E753">
        <v>10.78</v>
      </c>
      <c r="F753" t="s">
        <v>1987</v>
      </c>
      <c r="G753">
        <v>10506</v>
      </c>
      <c r="H753" t="s">
        <v>2009</v>
      </c>
      <c r="I753" t="s">
        <v>1989</v>
      </c>
      <c r="J753" s="8">
        <v>37087</v>
      </c>
      <c r="K753">
        <v>5812</v>
      </c>
    </row>
    <row r="754" spans="1:11" x14ac:dyDescent="0.3">
      <c r="A754">
        <v>0</v>
      </c>
      <c r="B754">
        <v>8448118</v>
      </c>
      <c r="C754" s="13">
        <v>40419.904861111114</v>
      </c>
      <c r="D754">
        <v>4639</v>
      </c>
      <c r="E754">
        <v>70.31</v>
      </c>
      <c r="F754" t="s">
        <v>1987</v>
      </c>
      <c r="G754">
        <v>41676</v>
      </c>
      <c r="H754" t="s">
        <v>2009</v>
      </c>
      <c r="I754" t="s">
        <v>1989</v>
      </c>
      <c r="J754" s="8">
        <v>37087</v>
      </c>
      <c r="K754">
        <v>5813</v>
      </c>
    </row>
    <row r="755" spans="1:11" x14ac:dyDescent="0.3">
      <c r="A755">
        <v>0</v>
      </c>
      <c r="B755">
        <v>8449973</v>
      </c>
      <c r="C755" s="13">
        <v>40420.449999999997</v>
      </c>
      <c r="D755">
        <v>4639</v>
      </c>
      <c r="E755">
        <v>9.5399999999999991</v>
      </c>
      <c r="F755" t="s">
        <v>1987</v>
      </c>
      <c r="G755">
        <v>55060</v>
      </c>
      <c r="H755" t="s">
        <v>2009</v>
      </c>
      <c r="I755" t="s">
        <v>1989</v>
      </c>
      <c r="J755" s="8">
        <v>37087</v>
      </c>
      <c r="K755">
        <v>5812</v>
      </c>
    </row>
    <row r="756" spans="1:11" x14ac:dyDescent="0.3">
      <c r="A756">
        <v>0</v>
      </c>
      <c r="B756">
        <v>8452495</v>
      </c>
      <c r="C756" s="13">
        <v>40420.922222222223</v>
      </c>
      <c r="D756">
        <v>4639</v>
      </c>
      <c r="E756">
        <v>66.930000000000007</v>
      </c>
      <c r="F756" t="s">
        <v>1987</v>
      </c>
      <c r="G756">
        <v>41676</v>
      </c>
      <c r="H756" t="s">
        <v>2009</v>
      </c>
      <c r="I756" t="s">
        <v>1989</v>
      </c>
      <c r="J756" s="8">
        <v>37087</v>
      </c>
      <c r="K756">
        <v>5813</v>
      </c>
    </row>
    <row r="757" spans="1:11" x14ac:dyDescent="0.3">
      <c r="A757">
        <v>0</v>
      </c>
      <c r="B757">
        <v>8456376</v>
      </c>
      <c r="C757" s="13">
        <v>40421.813888888886</v>
      </c>
      <c r="D757">
        <v>4639</v>
      </c>
      <c r="E757">
        <v>7.99</v>
      </c>
      <c r="F757" t="s">
        <v>1987</v>
      </c>
      <c r="G757">
        <v>10506</v>
      </c>
      <c r="H757" t="s">
        <v>2009</v>
      </c>
      <c r="I757" t="s">
        <v>1989</v>
      </c>
      <c r="J757" s="8">
        <v>37087</v>
      </c>
      <c r="K757">
        <v>5812</v>
      </c>
    </row>
    <row r="758" spans="1:11" x14ac:dyDescent="0.3">
      <c r="A758">
        <v>0</v>
      </c>
      <c r="B758">
        <v>8456683</v>
      </c>
      <c r="C758" s="13">
        <v>40421.921527777777</v>
      </c>
      <c r="D758">
        <v>4639</v>
      </c>
      <c r="E758">
        <v>51.6</v>
      </c>
      <c r="F758" t="s">
        <v>1987</v>
      </c>
      <c r="G758">
        <v>41676</v>
      </c>
      <c r="H758" t="s">
        <v>2009</v>
      </c>
      <c r="I758" t="s">
        <v>1989</v>
      </c>
      <c r="J758" s="8">
        <v>37087</v>
      </c>
      <c r="K758">
        <v>5813</v>
      </c>
    </row>
    <row r="759" spans="1:11" x14ac:dyDescent="0.3">
      <c r="A759">
        <v>0</v>
      </c>
      <c r="B759">
        <v>8458665</v>
      </c>
      <c r="C759" s="13">
        <v>40422.482638888891</v>
      </c>
      <c r="D759">
        <v>4639</v>
      </c>
      <c r="E759">
        <v>66.78</v>
      </c>
      <c r="F759" t="s">
        <v>1987</v>
      </c>
      <c r="G759">
        <v>43293</v>
      </c>
      <c r="H759" t="s">
        <v>2009</v>
      </c>
      <c r="I759" t="s">
        <v>1989</v>
      </c>
      <c r="J759" s="8">
        <v>37087</v>
      </c>
      <c r="K759">
        <v>5499</v>
      </c>
    </row>
    <row r="760" spans="1:11" x14ac:dyDescent="0.3">
      <c r="A760">
        <v>0</v>
      </c>
      <c r="B760">
        <v>8458719</v>
      </c>
      <c r="C760" s="13">
        <v>40422.490277777775</v>
      </c>
      <c r="D760">
        <v>4639</v>
      </c>
      <c r="E760">
        <v>99</v>
      </c>
      <c r="F760" t="s">
        <v>1987</v>
      </c>
      <c r="G760">
        <v>43293</v>
      </c>
      <c r="H760" t="s">
        <v>2009</v>
      </c>
      <c r="I760" t="s">
        <v>1989</v>
      </c>
      <c r="J760" s="8">
        <v>37087</v>
      </c>
      <c r="K760">
        <v>5499</v>
      </c>
    </row>
    <row r="761" spans="1:11" x14ac:dyDescent="0.3">
      <c r="A761">
        <v>0</v>
      </c>
      <c r="B761">
        <v>8458738</v>
      </c>
      <c r="C761" s="13">
        <v>40422.493055555555</v>
      </c>
      <c r="D761">
        <v>4639</v>
      </c>
      <c r="E761">
        <v>-99</v>
      </c>
      <c r="F761" t="s">
        <v>1987</v>
      </c>
      <c r="G761">
        <v>43293</v>
      </c>
      <c r="H761" t="s">
        <v>2009</v>
      </c>
      <c r="I761" t="s">
        <v>1989</v>
      </c>
      <c r="J761" s="8">
        <v>37087</v>
      </c>
      <c r="K761">
        <v>5499</v>
      </c>
    </row>
    <row r="762" spans="1:11" x14ac:dyDescent="0.3">
      <c r="A762">
        <v>0</v>
      </c>
      <c r="B762">
        <v>8460573</v>
      </c>
      <c r="C762" s="13">
        <v>40422.827777777777</v>
      </c>
      <c r="D762">
        <v>4639</v>
      </c>
      <c r="E762">
        <v>11.73</v>
      </c>
      <c r="F762" t="s">
        <v>1987</v>
      </c>
      <c r="G762">
        <v>75936</v>
      </c>
      <c r="H762" t="s">
        <v>2009</v>
      </c>
      <c r="I762" t="s">
        <v>1989</v>
      </c>
      <c r="J762" s="8">
        <v>37087</v>
      </c>
      <c r="K762">
        <v>5814</v>
      </c>
    </row>
    <row r="763" spans="1:11" x14ac:dyDescent="0.3">
      <c r="A763">
        <v>0</v>
      </c>
      <c r="B763">
        <v>8460904</v>
      </c>
      <c r="C763" s="13">
        <v>40422.935416666667</v>
      </c>
      <c r="D763">
        <v>4639</v>
      </c>
      <c r="E763">
        <v>82.59</v>
      </c>
      <c r="F763" t="s">
        <v>1987</v>
      </c>
      <c r="G763">
        <v>41676</v>
      </c>
      <c r="H763" t="s">
        <v>2009</v>
      </c>
      <c r="I763" t="s">
        <v>1989</v>
      </c>
      <c r="J763" s="8">
        <v>37087</v>
      </c>
      <c r="K763">
        <v>5813</v>
      </c>
    </row>
    <row r="764" spans="1:11" x14ac:dyDescent="0.3">
      <c r="A764">
        <v>0</v>
      </c>
      <c r="B764">
        <v>8461077</v>
      </c>
      <c r="C764" s="13">
        <v>40423.063888888886</v>
      </c>
      <c r="D764">
        <v>4639</v>
      </c>
      <c r="E764">
        <v>115.76</v>
      </c>
      <c r="F764" t="s">
        <v>1987</v>
      </c>
      <c r="G764">
        <v>30286</v>
      </c>
      <c r="H764" t="s">
        <v>2009</v>
      </c>
      <c r="I764" t="s">
        <v>1989</v>
      </c>
      <c r="J764" s="8">
        <v>37087</v>
      </c>
      <c r="K764">
        <v>4814</v>
      </c>
    </row>
    <row r="765" spans="1:11" x14ac:dyDescent="0.3">
      <c r="A765">
        <v>0</v>
      </c>
      <c r="B765">
        <v>8461622</v>
      </c>
      <c r="C765" s="13">
        <v>40423.304861111108</v>
      </c>
      <c r="D765">
        <v>4639</v>
      </c>
      <c r="E765">
        <v>104.99</v>
      </c>
      <c r="F765" t="s">
        <v>1987</v>
      </c>
      <c r="G765">
        <v>60569</v>
      </c>
      <c r="H765" t="s">
        <v>2020</v>
      </c>
      <c r="I765" t="s">
        <v>1989</v>
      </c>
      <c r="J765" s="8">
        <v>37327</v>
      </c>
      <c r="K765">
        <v>5300</v>
      </c>
    </row>
    <row r="766" spans="1:11" x14ac:dyDescent="0.3">
      <c r="A766">
        <v>0</v>
      </c>
      <c r="B766">
        <v>8464930</v>
      </c>
      <c r="C766" s="13">
        <v>40423.827777777777</v>
      </c>
      <c r="D766">
        <v>4639</v>
      </c>
      <c r="E766">
        <v>9.02</v>
      </c>
      <c r="F766" t="s">
        <v>1987</v>
      </c>
      <c r="G766">
        <v>75936</v>
      </c>
      <c r="H766" t="s">
        <v>2009</v>
      </c>
      <c r="I766" t="s">
        <v>1989</v>
      </c>
      <c r="J766" s="8">
        <v>37087</v>
      </c>
      <c r="K766">
        <v>5814</v>
      </c>
    </row>
    <row r="767" spans="1:11" x14ac:dyDescent="0.3">
      <c r="A767">
        <v>0</v>
      </c>
      <c r="B767">
        <v>8467763</v>
      </c>
      <c r="C767" s="13">
        <v>40424.624305555553</v>
      </c>
      <c r="D767">
        <v>4639</v>
      </c>
      <c r="E767">
        <v>1.9</v>
      </c>
      <c r="F767" t="s">
        <v>1987</v>
      </c>
      <c r="G767">
        <v>14528</v>
      </c>
      <c r="H767" t="s">
        <v>2009</v>
      </c>
      <c r="I767" t="s">
        <v>1989</v>
      </c>
      <c r="J767" s="8">
        <v>37087</v>
      </c>
      <c r="K767">
        <v>5499</v>
      </c>
    </row>
    <row r="768" spans="1:11" x14ac:dyDescent="0.3">
      <c r="A768">
        <v>0</v>
      </c>
      <c r="B768">
        <v>8469032</v>
      </c>
      <c r="C768" s="13">
        <v>40424.926388888889</v>
      </c>
      <c r="D768">
        <v>4639</v>
      </c>
      <c r="E768">
        <v>50.95</v>
      </c>
      <c r="F768" t="s">
        <v>1987</v>
      </c>
      <c r="G768">
        <v>41676</v>
      </c>
      <c r="H768" t="s">
        <v>2009</v>
      </c>
      <c r="I768" t="s">
        <v>1989</v>
      </c>
      <c r="J768" s="8">
        <v>37087</v>
      </c>
      <c r="K768">
        <v>5813</v>
      </c>
    </row>
    <row r="769" spans="1:12" x14ac:dyDescent="0.3">
      <c r="A769">
        <v>0</v>
      </c>
      <c r="B769">
        <v>8471924</v>
      </c>
      <c r="C769" s="13">
        <v>40425.679166666669</v>
      </c>
      <c r="D769">
        <v>4639</v>
      </c>
      <c r="E769">
        <v>102.03</v>
      </c>
      <c r="F769" t="s">
        <v>1987</v>
      </c>
      <c r="G769">
        <v>50166</v>
      </c>
      <c r="H769" t="s">
        <v>2009</v>
      </c>
      <c r="I769" t="s">
        <v>1989</v>
      </c>
      <c r="J769" s="8">
        <v>37087</v>
      </c>
      <c r="K769">
        <v>4900</v>
      </c>
    </row>
    <row r="770" spans="1:12" x14ac:dyDescent="0.3">
      <c r="A770">
        <v>0</v>
      </c>
      <c r="B770">
        <v>8472917</v>
      </c>
      <c r="C770" s="13">
        <v>40425.931944444441</v>
      </c>
      <c r="D770">
        <v>4639</v>
      </c>
      <c r="E770">
        <v>52.41</v>
      </c>
      <c r="F770" t="s">
        <v>1987</v>
      </c>
      <c r="G770">
        <v>41676</v>
      </c>
      <c r="H770" t="s">
        <v>2009</v>
      </c>
      <c r="I770" t="s">
        <v>1989</v>
      </c>
      <c r="J770" s="8">
        <v>37087</v>
      </c>
      <c r="K770">
        <v>5813</v>
      </c>
    </row>
    <row r="771" spans="1:12" x14ac:dyDescent="0.3">
      <c r="A771">
        <v>0</v>
      </c>
      <c r="B771">
        <v>8476687</v>
      </c>
      <c r="C771" s="13">
        <v>40426.803472222222</v>
      </c>
      <c r="D771">
        <v>4639</v>
      </c>
      <c r="E771">
        <v>7.52</v>
      </c>
      <c r="F771" t="s">
        <v>1987</v>
      </c>
      <c r="G771">
        <v>75936</v>
      </c>
      <c r="H771" t="s">
        <v>2009</v>
      </c>
      <c r="I771" t="s">
        <v>1989</v>
      </c>
      <c r="J771" s="8">
        <v>37087</v>
      </c>
      <c r="K771">
        <v>5814</v>
      </c>
    </row>
    <row r="772" spans="1:12" x14ac:dyDescent="0.3">
      <c r="A772">
        <v>0</v>
      </c>
      <c r="B772">
        <v>8476754</v>
      </c>
      <c r="C772" s="13">
        <v>40426.817361111112</v>
      </c>
      <c r="D772">
        <v>4639</v>
      </c>
      <c r="E772">
        <v>4.37</v>
      </c>
      <c r="F772" t="s">
        <v>1987</v>
      </c>
      <c r="G772">
        <v>10506</v>
      </c>
      <c r="H772" t="s">
        <v>2009</v>
      </c>
      <c r="I772" t="s">
        <v>1989</v>
      </c>
      <c r="J772" s="8">
        <v>37087</v>
      </c>
      <c r="K772">
        <v>5812</v>
      </c>
    </row>
    <row r="773" spans="1:12" x14ac:dyDescent="0.3">
      <c r="A773">
        <v>0</v>
      </c>
      <c r="B773">
        <v>8477169</v>
      </c>
      <c r="C773" s="13">
        <v>40426.936111111114</v>
      </c>
      <c r="D773">
        <v>4639</v>
      </c>
      <c r="E773">
        <v>60.94</v>
      </c>
      <c r="F773" t="s">
        <v>1987</v>
      </c>
      <c r="G773">
        <v>41676</v>
      </c>
      <c r="H773" t="s">
        <v>2009</v>
      </c>
      <c r="I773" t="s">
        <v>1989</v>
      </c>
      <c r="J773" s="8">
        <v>37087</v>
      </c>
      <c r="K773">
        <v>5813</v>
      </c>
    </row>
    <row r="774" spans="1:12" x14ac:dyDescent="0.3">
      <c r="A774">
        <v>0</v>
      </c>
      <c r="B774">
        <v>8483631</v>
      </c>
      <c r="C774" s="13">
        <v>40428.522916666669</v>
      </c>
      <c r="D774">
        <v>4639</v>
      </c>
      <c r="E774">
        <v>64.430000000000007</v>
      </c>
      <c r="F774" t="s">
        <v>1987</v>
      </c>
      <c r="G774">
        <v>43293</v>
      </c>
      <c r="H774" t="s">
        <v>2009</v>
      </c>
      <c r="I774" t="s">
        <v>1989</v>
      </c>
      <c r="J774" s="8">
        <v>37087</v>
      </c>
      <c r="K774">
        <v>5499</v>
      </c>
    </row>
    <row r="775" spans="1:12" x14ac:dyDescent="0.3">
      <c r="A775">
        <v>0</v>
      </c>
      <c r="B775">
        <v>8483740</v>
      </c>
      <c r="C775" s="13">
        <v>40428.538194444445</v>
      </c>
      <c r="D775">
        <v>4639</v>
      </c>
      <c r="E775">
        <v>-71</v>
      </c>
      <c r="F775" t="s">
        <v>1987</v>
      </c>
      <c r="G775">
        <v>43293</v>
      </c>
      <c r="H775" t="s">
        <v>2009</v>
      </c>
      <c r="I775" t="s">
        <v>1989</v>
      </c>
      <c r="J775" s="8">
        <v>37087</v>
      </c>
      <c r="K775">
        <v>5499</v>
      </c>
      <c r="L775" t="s">
        <v>2011</v>
      </c>
    </row>
    <row r="776" spans="1:12" x14ac:dyDescent="0.3">
      <c r="A776">
        <v>0</v>
      </c>
      <c r="B776">
        <v>8483753</v>
      </c>
      <c r="C776" s="13">
        <v>40428.539583333331</v>
      </c>
      <c r="D776">
        <v>4639</v>
      </c>
      <c r="E776">
        <v>71</v>
      </c>
      <c r="F776" t="s">
        <v>1987</v>
      </c>
      <c r="G776">
        <v>43293</v>
      </c>
      <c r="H776" t="s">
        <v>2009</v>
      </c>
      <c r="I776" t="s">
        <v>1989</v>
      </c>
      <c r="J776" s="8">
        <v>37087</v>
      </c>
      <c r="K776">
        <v>5499</v>
      </c>
    </row>
    <row r="777" spans="1:12" x14ac:dyDescent="0.3">
      <c r="A777">
        <v>0</v>
      </c>
      <c r="B777">
        <v>8485357</v>
      </c>
      <c r="C777" s="13">
        <v>40428.817361111112</v>
      </c>
      <c r="D777">
        <v>4639</v>
      </c>
      <c r="E777">
        <v>8.36</v>
      </c>
      <c r="F777" t="s">
        <v>1987</v>
      </c>
      <c r="G777">
        <v>10506</v>
      </c>
      <c r="H777" t="s">
        <v>2009</v>
      </c>
      <c r="I777" t="s">
        <v>1989</v>
      </c>
      <c r="J777" s="8">
        <v>37087</v>
      </c>
      <c r="K777">
        <v>5812</v>
      </c>
    </row>
    <row r="778" spans="1:12" x14ac:dyDescent="0.3">
      <c r="A778">
        <v>0</v>
      </c>
      <c r="B778">
        <v>8485691</v>
      </c>
      <c r="C778" s="13">
        <v>40428.925694444442</v>
      </c>
      <c r="D778">
        <v>4639</v>
      </c>
      <c r="E778">
        <v>59.1</v>
      </c>
      <c r="F778" t="s">
        <v>1987</v>
      </c>
      <c r="G778">
        <v>41676</v>
      </c>
      <c r="H778" t="s">
        <v>2009</v>
      </c>
      <c r="I778" t="s">
        <v>1989</v>
      </c>
      <c r="J778" s="8">
        <v>37087</v>
      </c>
      <c r="K778">
        <v>5813</v>
      </c>
    </row>
    <row r="779" spans="1:12" x14ac:dyDescent="0.3">
      <c r="A779">
        <v>0</v>
      </c>
      <c r="B779">
        <v>8488174</v>
      </c>
      <c r="C779" s="13">
        <v>40429.559027777781</v>
      </c>
      <c r="D779">
        <v>4639</v>
      </c>
      <c r="E779">
        <v>57.41</v>
      </c>
      <c r="F779" t="s">
        <v>1987</v>
      </c>
      <c r="G779">
        <v>60569</v>
      </c>
      <c r="H779" t="s">
        <v>2020</v>
      </c>
      <c r="I779" t="s">
        <v>1989</v>
      </c>
      <c r="J779" s="8">
        <v>37327</v>
      </c>
      <c r="K779">
        <v>5300</v>
      </c>
    </row>
    <row r="780" spans="1:12" x14ac:dyDescent="0.3">
      <c r="A780">
        <v>0</v>
      </c>
      <c r="B780">
        <v>8489586</v>
      </c>
      <c r="C780" s="13">
        <v>40429.82708333333</v>
      </c>
      <c r="D780">
        <v>4639</v>
      </c>
      <c r="E780">
        <v>5.73</v>
      </c>
      <c r="F780" t="s">
        <v>1987</v>
      </c>
      <c r="G780">
        <v>10506</v>
      </c>
      <c r="H780" t="s">
        <v>2009</v>
      </c>
      <c r="I780" t="s">
        <v>1989</v>
      </c>
      <c r="J780" s="8">
        <v>37087</v>
      </c>
      <c r="K780">
        <v>5812</v>
      </c>
    </row>
    <row r="781" spans="1:12" x14ac:dyDescent="0.3">
      <c r="A781">
        <v>0</v>
      </c>
      <c r="B781">
        <v>8489889</v>
      </c>
      <c r="C781" s="13">
        <v>40429.921527777777</v>
      </c>
      <c r="D781">
        <v>4639</v>
      </c>
      <c r="E781">
        <v>56.62</v>
      </c>
      <c r="F781" t="s">
        <v>1987</v>
      </c>
      <c r="G781">
        <v>41676</v>
      </c>
      <c r="H781" t="s">
        <v>2009</v>
      </c>
      <c r="I781" t="s">
        <v>1989</v>
      </c>
      <c r="J781" s="8">
        <v>37087</v>
      </c>
      <c r="K781">
        <v>5813</v>
      </c>
    </row>
    <row r="782" spans="1:12" x14ac:dyDescent="0.3">
      <c r="A782">
        <v>0</v>
      </c>
      <c r="B782">
        <v>8494237</v>
      </c>
      <c r="C782" s="13">
        <v>40430.929861111108</v>
      </c>
      <c r="D782">
        <v>4639</v>
      </c>
      <c r="E782">
        <v>52.81</v>
      </c>
      <c r="F782" t="s">
        <v>1987</v>
      </c>
      <c r="G782">
        <v>41676</v>
      </c>
      <c r="H782" t="s">
        <v>2009</v>
      </c>
      <c r="I782" t="s">
        <v>1989</v>
      </c>
      <c r="J782" s="8">
        <v>37087</v>
      </c>
      <c r="K782">
        <v>5813</v>
      </c>
    </row>
    <row r="783" spans="1:12" x14ac:dyDescent="0.3">
      <c r="A783">
        <v>0</v>
      </c>
      <c r="B783">
        <v>8494757</v>
      </c>
      <c r="C783" s="13">
        <v>40431.289583333331</v>
      </c>
      <c r="D783">
        <v>4639</v>
      </c>
      <c r="E783">
        <v>10.48</v>
      </c>
      <c r="F783" t="s">
        <v>1987</v>
      </c>
      <c r="G783">
        <v>55060</v>
      </c>
      <c r="H783" t="s">
        <v>2009</v>
      </c>
      <c r="I783" t="s">
        <v>1989</v>
      </c>
      <c r="J783" s="8">
        <v>37087</v>
      </c>
      <c r="K783">
        <v>5812</v>
      </c>
    </row>
    <row r="784" spans="1:12" x14ac:dyDescent="0.3">
      <c r="A784">
        <v>0</v>
      </c>
      <c r="B784">
        <v>8494789</v>
      </c>
      <c r="C784" s="13">
        <v>40431.29583333333</v>
      </c>
      <c r="D784">
        <v>4639</v>
      </c>
      <c r="E784">
        <v>116.33</v>
      </c>
      <c r="F784" t="s">
        <v>1987</v>
      </c>
      <c r="G784">
        <v>81624</v>
      </c>
      <c r="H784" t="s">
        <v>2009</v>
      </c>
      <c r="I784" t="s">
        <v>1989</v>
      </c>
      <c r="J784" s="8">
        <v>37087</v>
      </c>
      <c r="K784">
        <v>5411</v>
      </c>
    </row>
    <row r="785" spans="1:11" x14ac:dyDescent="0.3">
      <c r="A785">
        <v>0</v>
      </c>
      <c r="B785">
        <v>8495915</v>
      </c>
      <c r="C785" s="13">
        <v>40431.492361111108</v>
      </c>
      <c r="D785">
        <v>4639</v>
      </c>
      <c r="E785">
        <v>84.47</v>
      </c>
      <c r="F785" t="s">
        <v>1987</v>
      </c>
      <c r="G785">
        <v>70812</v>
      </c>
      <c r="H785" t="s">
        <v>2009</v>
      </c>
      <c r="I785" t="s">
        <v>1989</v>
      </c>
      <c r="J785" s="8">
        <v>37087</v>
      </c>
      <c r="K785">
        <v>7538</v>
      </c>
    </row>
    <row r="786" spans="1:11" x14ac:dyDescent="0.3">
      <c r="A786">
        <v>0</v>
      </c>
      <c r="B786">
        <v>8497722</v>
      </c>
      <c r="C786" s="13">
        <v>40431.819444444445</v>
      </c>
      <c r="D786">
        <v>4639</v>
      </c>
      <c r="E786">
        <v>9.9700000000000006</v>
      </c>
      <c r="F786" t="s">
        <v>1987</v>
      </c>
      <c r="G786">
        <v>10506</v>
      </c>
      <c r="H786" t="s">
        <v>2009</v>
      </c>
      <c r="I786" t="s">
        <v>1989</v>
      </c>
      <c r="J786" s="8">
        <v>37087</v>
      </c>
      <c r="K786">
        <v>5812</v>
      </c>
    </row>
    <row r="787" spans="1:11" x14ac:dyDescent="0.3">
      <c r="A787">
        <v>0</v>
      </c>
      <c r="B787">
        <v>8498059</v>
      </c>
      <c r="C787" s="13">
        <v>40431.931944444441</v>
      </c>
      <c r="D787">
        <v>4639</v>
      </c>
      <c r="E787">
        <v>49.42</v>
      </c>
      <c r="F787" t="s">
        <v>1987</v>
      </c>
      <c r="G787">
        <v>41676</v>
      </c>
      <c r="H787" t="s">
        <v>2009</v>
      </c>
      <c r="I787" t="s">
        <v>1989</v>
      </c>
      <c r="J787" s="8">
        <v>37087</v>
      </c>
      <c r="K787">
        <v>5813</v>
      </c>
    </row>
    <row r="788" spans="1:11" x14ac:dyDescent="0.3">
      <c r="A788">
        <v>0</v>
      </c>
      <c r="B788">
        <v>8498667</v>
      </c>
      <c r="C788" s="13">
        <v>40432.304861111108</v>
      </c>
      <c r="D788">
        <v>4639</v>
      </c>
      <c r="E788">
        <v>87.94</v>
      </c>
      <c r="F788" t="s">
        <v>1987</v>
      </c>
      <c r="G788">
        <v>98374</v>
      </c>
      <c r="H788" t="s">
        <v>2029</v>
      </c>
      <c r="I788" t="s">
        <v>1989</v>
      </c>
      <c r="J788" s="8">
        <v>37096</v>
      </c>
      <c r="K788">
        <v>5411</v>
      </c>
    </row>
    <row r="789" spans="1:11" x14ac:dyDescent="0.3">
      <c r="A789">
        <v>0</v>
      </c>
      <c r="B789">
        <v>8504374</v>
      </c>
      <c r="C789" s="13">
        <v>40433.533333333333</v>
      </c>
      <c r="D789">
        <v>4639</v>
      </c>
      <c r="E789">
        <v>62.53</v>
      </c>
      <c r="F789" t="s">
        <v>1987</v>
      </c>
      <c r="G789">
        <v>43293</v>
      </c>
      <c r="H789" t="s">
        <v>2009</v>
      </c>
      <c r="I789" t="s">
        <v>1989</v>
      </c>
      <c r="J789" s="8">
        <v>37087</v>
      </c>
      <c r="K789">
        <v>5499</v>
      </c>
    </row>
    <row r="790" spans="1:11" x14ac:dyDescent="0.3">
      <c r="A790">
        <v>0</v>
      </c>
      <c r="B790">
        <v>8504402</v>
      </c>
      <c r="C790" s="13">
        <v>40433.536805555559</v>
      </c>
      <c r="D790">
        <v>4639</v>
      </c>
      <c r="E790">
        <v>-50</v>
      </c>
      <c r="F790" t="s">
        <v>1987</v>
      </c>
      <c r="G790">
        <v>43293</v>
      </c>
      <c r="H790" t="s">
        <v>2009</v>
      </c>
      <c r="I790" t="s">
        <v>1989</v>
      </c>
      <c r="J790" s="8">
        <v>37087</v>
      </c>
      <c r="K790">
        <v>5499</v>
      </c>
    </row>
    <row r="791" spans="1:11" x14ac:dyDescent="0.3">
      <c r="A791">
        <v>0</v>
      </c>
      <c r="B791">
        <v>8504423</v>
      </c>
      <c r="C791" s="13">
        <v>40433.539583333331</v>
      </c>
      <c r="D791">
        <v>4639</v>
      </c>
      <c r="E791">
        <v>50</v>
      </c>
      <c r="F791" t="s">
        <v>1987</v>
      </c>
      <c r="G791">
        <v>43293</v>
      </c>
      <c r="H791" t="s">
        <v>2009</v>
      </c>
      <c r="I791" t="s">
        <v>1989</v>
      </c>
      <c r="J791" s="8">
        <v>37087</v>
      </c>
      <c r="K791">
        <v>5499</v>
      </c>
    </row>
    <row r="792" spans="1:11" x14ac:dyDescent="0.3">
      <c r="A792">
        <v>0</v>
      </c>
      <c r="B792">
        <v>8505632</v>
      </c>
      <c r="C792" s="13">
        <v>40433.736111111109</v>
      </c>
      <c r="D792">
        <v>4639</v>
      </c>
      <c r="E792">
        <v>74.73</v>
      </c>
      <c r="F792" t="s">
        <v>1987</v>
      </c>
      <c r="G792">
        <v>15574</v>
      </c>
      <c r="H792" t="s">
        <v>2028</v>
      </c>
      <c r="I792" t="s">
        <v>1989</v>
      </c>
      <c r="J792" s="8">
        <v>37138</v>
      </c>
      <c r="K792">
        <v>3393</v>
      </c>
    </row>
    <row r="793" spans="1:11" x14ac:dyDescent="0.3">
      <c r="A793">
        <v>0</v>
      </c>
      <c r="B793">
        <v>8505650</v>
      </c>
      <c r="C793" s="13">
        <v>40433.740972222222</v>
      </c>
      <c r="D793">
        <v>4639</v>
      </c>
      <c r="E793">
        <v>-385</v>
      </c>
      <c r="F793" t="s">
        <v>1987</v>
      </c>
      <c r="G793">
        <v>15574</v>
      </c>
      <c r="H793" t="s">
        <v>2028</v>
      </c>
      <c r="I793" t="s">
        <v>1989</v>
      </c>
      <c r="J793" s="8">
        <v>37138</v>
      </c>
      <c r="K793">
        <v>3393</v>
      </c>
    </row>
    <row r="794" spans="1:11" x14ac:dyDescent="0.3">
      <c r="A794">
        <v>0</v>
      </c>
      <c r="B794">
        <v>8505944</v>
      </c>
      <c r="C794" s="13">
        <v>40433.820833333331</v>
      </c>
      <c r="D794">
        <v>4639</v>
      </c>
      <c r="E794">
        <v>9.64</v>
      </c>
      <c r="F794" t="s">
        <v>1987</v>
      </c>
      <c r="G794">
        <v>55060</v>
      </c>
      <c r="H794" t="s">
        <v>2014</v>
      </c>
      <c r="I794" t="s">
        <v>2001</v>
      </c>
      <c r="J794" s="8">
        <v>4074</v>
      </c>
      <c r="K794">
        <v>5812</v>
      </c>
    </row>
    <row r="795" spans="1:11" x14ac:dyDescent="0.3">
      <c r="A795">
        <v>0</v>
      </c>
      <c r="B795">
        <v>8506359</v>
      </c>
      <c r="C795" s="13">
        <v>40433.956944444442</v>
      </c>
      <c r="D795">
        <v>4639</v>
      </c>
      <c r="E795">
        <v>194.71</v>
      </c>
      <c r="F795" t="s">
        <v>1987</v>
      </c>
      <c r="G795">
        <v>29219</v>
      </c>
      <c r="H795" t="s">
        <v>2014</v>
      </c>
      <c r="I795" t="s">
        <v>2001</v>
      </c>
      <c r="J795" s="8">
        <v>4074</v>
      </c>
      <c r="K795">
        <v>4900</v>
      </c>
    </row>
    <row r="796" spans="1:11" x14ac:dyDescent="0.3">
      <c r="A796">
        <v>0</v>
      </c>
      <c r="B796">
        <v>8510390</v>
      </c>
      <c r="C796" s="13">
        <v>40434.855555555558</v>
      </c>
      <c r="D796">
        <v>4639</v>
      </c>
      <c r="E796">
        <v>7.3</v>
      </c>
      <c r="F796" t="s">
        <v>1987</v>
      </c>
      <c r="G796">
        <v>13153</v>
      </c>
      <c r="H796" t="s">
        <v>2014</v>
      </c>
      <c r="I796" t="s">
        <v>2001</v>
      </c>
      <c r="J796" s="8">
        <v>4074</v>
      </c>
      <c r="K796">
        <v>5812</v>
      </c>
    </row>
    <row r="797" spans="1:11" x14ac:dyDescent="0.3">
      <c r="A797">
        <v>0</v>
      </c>
      <c r="B797">
        <v>8510639</v>
      </c>
      <c r="C797" s="13">
        <v>40434.935416666667</v>
      </c>
      <c r="D797">
        <v>4639</v>
      </c>
      <c r="E797">
        <v>58.47</v>
      </c>
      <c r="F797" t="s">
        <v>1987</v>
      </c>
      <c r="G797">
        <v>32164</v>
      </c>
      <c r="H797" t="s">
        <v>2014</v>
      </c>
      <c r="I797" t="s">
        <v>2001</v>
      </c>
      <c r="J797" s="8">
        <v>4074</v>
      </c>
      <c r="K797">
        <v>5813</v>
      </c>
    </row>
    <row r="798" spans="1:11" x14ac:dyDescent="0.3">
      <c r="A798">
        <v>0</v>
      </c>
      <c r="B798">
        <v>8512641</v>
      </c>
      <c r="C798" s="13">
        <v>40435.492361111108</v>
      </c>
      <c r="D798">
        <v>4639</v>
      </c>
      <c r="E798">
        <v>85.64</v>
      </c>
      <c r="F798" t="s">
        <v>1987</v>
      </c>
      <c r="G798">
        <v>32175</v>
      </c>
      <c r="H798" t="s">
        <v>2002</v>
      </c>
      <c r="I798" t="s">
        <v>2001</v>
      </c>
      <c r="J798" s="8">
        <v>4103</v>
      </c>
      <c r="K798">
        <v>7538</v>
      </c>
    </row>
    <row r="799" spans="1:11" x14ac:dyDescent="0.3">
      <c r="A799">
        <v>0</v>
      </c>
      <c r="B799">
        <v>8514726</v>
      </c>
      <c r="C799" s="13">
        <v>40435.886111111111</v>
      </c>
      <c r="D799">
        <v>4639</v>
      </c>
      <c r="E799">
        <v>51.91</v>
      </c>
      <c r="F799" t="s">
        <v>1987</v>
      </c>
      <c r="G799">
        <v>32164</v>
      </c>
      <c r="H799" t="s">
        <v>2014</v>
      </c>
      <c r="I799" t="s">
        <v>2001</v>
      </c>
      <c r="J799" s="8">
        <v>4074</v>
      </c>
      <c r="K799">
        <v>5813</v>
      </c>
    </row>
    <row r="800" spans="1:11" x14ac:dyDescent="0.3">
      <c r="A800">
        <v>0</v>
      </c>
      <c r="B800">
        <v>8517354</v>
      </c>
      <c r="C800" s="13">
        <v>40436.548611111109</v>
      </c>
      <c r="D800">
        <v>4639</v>
      </c>
      <c r="E800">
        <v>49.99</v>
      </c>
      <c r="F800" t="s">
        <v>1987</v>
      </c>
      <c r="G800">
        <v>20519</v>
      </c>
      <c r="H800" t="s">
        <v>2002</v>
      </c>
      <c r="I800" t="s">
        <v>2001</v>
      </c>
      <c r="J800" s="8">
        <v>4101</v>
      </c>
      <c r="K800">
        <v>5942</v>
      </c>
    </row>
    <row r="801" spans="1:11" x14ac:dyDescent="0.3">
      <c r="A801">
        <v>0</v>
      </c>
      <c r="B801">
        <v>8520354</v>
      </c>
      <c r="C801" s="13">
        <v>40437.366666666669</v>
      </c>
      <c r="D801">
        <v>4639</v>
      </c>
      <c r="E801">
        <v>126.78</v>
      </c>
      <c r="F801" t="s">
        <v>1994</v>
      </c>
      <c r="G801">
        <v>37387</v>
      </c>
      <c r="H801" t="s">
        <v>1993</v>
      </c>
      <c r="I801" t="s">
        <v>3719</v>
      </c>
      <c r="J801" s="8" t="s">
        <v>3719</v>
      </c>
      <c r="K801">
        <v>4899</v>
      </c>
    </row>
    <row r="802" spans="1:11" x14ac:dyDescent="0.3">
      <c r="A802">
        <v>0</v>
      </c>
      <c r="B802">
        <v>8521627</v>
      </c>
      <c r="C802" s="13">
        <v>40437.551388888889</v>
      </c>
      <c r="D802">
        <v>4639</v>
      </c>
      <c r="E802">
        <v>32.4</v>
      </c>
      <c r="F802" t="s">
        <v>1987</v>
      </c>
      <c r="G802">
        <v>11468</v>
      </c>
      <c r="H802" t="s">
        <v>1996</v>
      </c>
      <c r="I802" t="s">
        <v>2001</v>
      </c>
      <c r="J802" s="8">
        <v>4938</v>
      </c>
      <c r="K802">
        <v>5970</v>
      </c>
    </row>
    <row r="803" spans="1:11" x14ac:dyDescent="0.3">
      <c r="A803">
        <v>0</v>
      </c>
      <c r="B803">
        <v>8524057</v>
      </c>
      <c r="C803" s="13">
        <v>40438.29791666667</v>
      </c>
      <c r="D803">
        <v>4639</v>
      </c>
      <c r="E803">
        <v>79.41</v>
      </c>
      <c r="F803" t="s">
        <v>1987</v>
      </c>
      <c r="G803">
        <v>60510</v>
      </c>
      <c r="H803" t="s">
        <v>2014</v>
      </c>
      <c r="I803" t="s">
        <v>2001</v>
      </c>
      <c r="J803" s="8">
        <v>4074</v>
      </c>
      <c r="K803">
        <v>5912</v>
      </c>
    </row>
    <row r="804" spans="1:11" x14ac:dyDescent="0.3">
      <c r="A804">
        <v>0</v>
      </c>
      <c r="B804">
        <v>8525439</v>
      </c>
      <c r="C804" s="13">
        <v>40438.525694444441</v>
      </c>
      <c r="D804">
        <v>4639</v>
      </c>
      <c r="E804">
        <v>48.13</v>
      </c>
      <c r="F804" t="s">
        <v>1987</v>
      </c>
      <c r="G804">
        <v>32858</v>
      </c>
      <c r="H804" t="s">
        <v>2012</v>
      </c>
      <c r="I804" t="s">
        <v>2000</v>
      </c>
      <c r="J804" s="8">
        <v>5401</v>
      </c>
      <c r="K804">
        <v>5311</v>
      </c>
    </row>
    <row r="805" spans="1:11" x14ac:dyDescent="0.3">
      <c r="A805">
        <v>0</v>
      </c>
      <c r="B805">
        <v>8526954</v>
      </c>
      <c r="C805" s="13">
        <v>40438.794444444444</v>
      </c>
      <c r="D805">
        <v>4639</v>
      </c>
      <c r="E805">
        <v>10.029999999999999</v>
      </c>
      <c r="F805" t="s">
        <v>1987</v>
      </c>
      <c r="G805">
        <v>55060</v>
      </c>
      <c r="H805" t="s">
        <v>2014</v>
      </c>
      <c r="I805" t="s">
        <v>2001</v>
      </c>
      <c r="J805" s="8">
        <v>4074</v>
      </c>
      <c r="K805">
        <v>5812</v>
      </c>
    </row>
    <row r="806" spans="1:11" x14ac:dyDescent="0.3">
      <c r="A806">
        <v>0</v>
      </c>
      <c r="B806">
        <v>8527034</v>
      </c>
      <c r="C806" s="13">
        <v>40438.817361111112</v>
      </c>
      <c r="D806">
        <v>4639</v>
      </c>
      <c r="E806">
        <v>7.14</v>
      </c>
      <c r="F806" t="s">
        <v>1987</v>
      </c>
      <c r="G806">
        <v>13153</v>
      </c>
      <c r="H806" t="s">
        <v>2014</v>
      </c>
      <c r="I806" t="s">
        <v>2001</v>
      </c>
      <c r="J806" s="8">
        <v>4074</v>
      </c>
      <c r="K806">
        <v>5812</v>
      </c>
    </row>
    <row r="807" spans="1:11" x14ac:dyDescent="0.3">
      <c r="A807">
        <v>0</v>
      </c>
      <c r="B807">
        <v>8529633</v>
      </c>
      <c r="C807" s="13">
        <v>40439.556250000001</v>
      </c>
      <c r="D807">
        <v>4639</v>
      </c>
      <c r="E807">
        <v>52.53</v>
      </c>
      <c r="F807" t="s">
        <v>1987</v>
      </c>
      <c r="G807">
        <v>11468</v>
      </c>
      <c r="H807" t="s">
        <v>1996</v>
      </c>
      <c r="I807" t="s">
        <v>2001</v>
      </c>
      <c r="J807" s="8">
        <v>4938</v>
      </c>
      <c r="K807">
        <v>5970</v>
      </c>
    </row>
    <row r="808" spans="1:11" x14ac:dyDescent="0.3">
      <c r="A808">
        <v>0</v>
      </c>
      <c r="B808">
        <v>8530079</v>
      </c>
      <c r="C808" s="13">
        <v>40439.624305555553</v>
      </c>
      <c r="D808">
        <v>4639</v>
      </c>
      <c r="E808">
        <v>2.7</v>
      </c>
      <c r="F808" t="s">
        <v>1987</v>
      </c>
      <c r="G808">
        <v>69956</v>
      </c>
      <c r="H808" t="s">
        <v>2022</v>
      </c>
      <c r="I808" t="s">
        <v>2001</v>
      </c>
      <c r="J808" s="8">
        <v>4083</v>
      </c>
      <c r="K808">
        <v>5310</v>
      </c>
    </row>
    <row r="809" spans="1:11" x14ac:dyDescent="0.3">
      <c r="A809">
        <v>0</v>
      </c>
      <c r="B809">
        <v>8531023</v>
      </c>
      <c r="C809" s="13">
        <v>40439.811805555553</v>
      </c>
      <c r="D809">
        <v>4639</v>
      </c>
      <c r="E809">
        <v>120</v>
      </c>
      <c r="F809" t="s">
        <v>1987</v>
      </c>
      <c r="G809">
        <v>27092</v>
      </c>
      <c r="H809" t="s">
        <v>2002</v>
      </c>
      <c r="I809" t="s">
        <v>2001</v>
      </c>
      <c r="J809" s="8">
        <v>4102</v>
      </c>
      <c r="K809">
        <v>4829</v>
      </c>
    </row>
    <row r="810" spans="1:11" x14ac:dyDescent="0.3">
      <c r="A810">
        <v>0</v>
      </c>
      <c r="B810">
        <v>8531405</v>
      </c>
      <c r="C810" s="13">
        <v>40439.927777777775</v>
      </c>
      <c r="D810">
        <v>4639</v>
      </c>
      <c r="E810">
        <v>67.010000000000005</v>
      </c>
      <c r="F810" t="s">
        <v>1987</v>
      </c>
      <c r="G810">
        <v>32164</v>
      </c>
      <c r="H810" t="s">
        <v>2014</v>
      </c>
      <c r="I810" t="s">
        <v>2001</v>
      </c>
      <c r="J810" s="8">
        <v>4074</v>
      </c>
      <c r="K810">
        <v>5813</v>
      </c>
    </row>
    <row r="811" spans="1:11" x14ac:dyDescent="0.3">
      <c r="A811">
        <v>0</v>
      </c>
      <c r="B811">
        <v>8533552</v>
      </c>
      <c r="C811" s="13">
        <v>40440.490277777775</v>
      </c>
      <c r="D811">
        <v>4639</v>
      </c>
      <c r="E811">
        <v>63.68</v>
      </c>
      <c r="F811" t="s">
        <v>1987</v>
      </c>
      <c r="G811">
        <v>57053</v>
      </c>
      <c r="H811" t="s">
        <v>2014</v>
      </c>
      <c r="I811" t="s">
        <v>2001</v>
      </c>
      <c r="J811" s="8">
        <v>4074</v>
      </c>
      <c r="K811">
        <v>7538</v>
      </c>
    </row>
    <row r="812" spans="1:11" x14ac:dyDescent="0.3">
      <c r="A812">
        <v>0</v>
      </c>
      <c r="B812">
        <v>8534090</v>
      </c>
      <c r="C812" s="13">
        <v>40440.557638888888</v>
      </c>
      <c r="D812">
        <v>4639</v>
      </c>
      <c r="E812">
        <v>52.07</v>
      </c>
      <c r="F812" t="s">
        <v>1987</v>
      </c>
      <c r="G812">
        <v>26909</v>
      </c>
      <c r="H812" t="s">
        <v>2026</v>
      </c>
      <c r="I812" t="s">
        <v>2001</v>
      </c>
      <c r="J812" s="8">
        <v>4084</v>
      </c>
      <c r="K812">
        <v>5211</v>
      </c>
    </row>
    <row r="813" spans="1:11" x14ac:dyDescent="0.3">
      <c r="A813">
        <v>0</v>
      </c>
      <c r="B813">
        <v>8534477</v>
      </c>
      <c r="C813" s="13">
        <v>40440.613194444442</v>
      </c>
      <c r="D813">
        <v>4639</v>
      </c>
      <c r="E813">
        <v>2.13</v>
      </c>
      <c r="F813" t="s">
        <v>1987</v>
      </c>
      <c r="G813">
        <v>14528</v>
      </c>
      <c r="H813" t="s">
        <v>2014</v>
      </c>
      <c r="I813" t="s">
        <v>2001</v>
      </c>
      <c r="J813" s="8">
        <v>4074</v>
      </c>
      <c r="K813">
        <v>5499</v>
      </c>
    </row>
    <row r="814" spans="1:11" x14ac:dyDescent="0.3">
      <c r="A814">
        <v>0</v>
      </c>
      <c r="B814">
        <v>8535497</v>
      </c>
      <c r="C814" s="13">
        <v>40440.818055555559</v>
      </c>
      <c r="D814">
        <v>4639</v>
      </c>
      <c r="E814">
        <v>11.9</v>
      </c>
      <c r="F814" t="s">
        <v>1987</v>
      </c>
      <c r="G814">
        <v>98648</v>
      </c>
      <c r="H814" t="s">
        <v>2014</v>
      </c>
      <c r="I814" t="s">
        <v>2001</v>
      </c>
      <c r="J814" s="8">
        <v>4074</v>
      </c>
      <c r="K814">
        <v>5814</v>
      </c>
    </row>
    <row r="815" spans="1:11" x14ac:dyDescent="0.3">
      <c r="A815">
        <v>0</v>
      </c>
      <c r="B815">
        <v>8535892</v>
      </c>
      <c r="C815" s="13">
        <v>40440.966666666667</v>
      </c>
      <c r="D815">
        <v>4639</v>
      </c>
      <c r="E815">
        <v>54.25</v>
      </c>
      <c r="F815" t="s">
        <v>1987</v>
      </c>
      <c r="G815">
        <v>32164</v>
      </c>
      <c r="H815" t="s">
        <v>2014</v>
      </c>
      <c r="I815" t="s">
        <v>2001</v>
      </c>
      <c r="J815" s="8">
        <v>4074</v>
      </c>
      <c r="K815">
        <v>5813</v>
      </c>
    </row>
    <row r="816" spans="1:11" x14ac:dyDescent="0.3">
      <c r="A816">
        <v>0</v>
      </c>
      <c r="B816">
        <v>8538321</v>
      </c>
      <c r="C816" s="13">
        <v>40441.561805555553</v>
      </c>
      <c r="D816">
        <v>4639</v>
      </c>
      <c r="E816">
        <v>58.3</v>
      </c>
      <c r="F816" t="s">
        <v>1987</v>
      </c>
      <c r="G816">
        <v>20519</v>
      </c>
      <c r="H816" t="s">
        <v>2002</v>
      </c>
      <c r="I816" t="s">
        <v>2001</v>
      </c>
      <c r="J816" s="8">
        <v>4101</v>
      </c>
      <c r="K816">
        <v>5942</v>
      </c>
    </row>
    <row r="817" spans="1:11" x14ac:dyDescent="0.3">
      <c r="A817">
        <v>0</v>
      </c>
      <c r="B817">
        <v>8539988</v>
      </c>
      <c r="C817" s="13">
        <v>40441.934027777781</v>
      </c>
      <c r="D817">
        <v>4639</v>
      </c>
      <c r="E817">
        <v>61.35</v>
      </c>
      <c r="F817" t="s">
        <v>1987</v>
      </c>
      <c r="G817">
        <v>32164</v>
      </c>
      <c r="H817" t="s">
        <v>2014</v>
      </c>
      <c r="I817" t="s">
        <v>2001</v>
      </c>
      <c r="J817" s="8">
        <v>4074</v>
      </c>
      <c r="K817">
        <v>5813</v>
      </c>
    </row>
    <row r="818" spans="1:11" x14ac:dyDescent="0.3">
      <c r="A818">
        <v>0</v>
      </c>
      <c r="B818">
        <v>8544211</v>
      </c>
      <c r="C818" s="13">
        <v>40442.925000000003</v>
      </c>
      <c r="D818">
        <v>4639</v>
      </c>
      <c r="E818">
        <v>52.63</v>
      </c>
      <c r="F818" t="s">
        <v>1987</v>
      </c>
      <c r="G818">
        <v>32164</v>
      </c>
      <c r="H818" t="s">
        <v>2014</v>
      </c>
      <c r="I818" t="s">
        <v>2001</v>
      </c>
      <c r="J818" s="8">
        <v>4074</v>
      </c>
      <c r="K818">
        <v>5813</v>
      </c>
    </row>
    <row r="819" spans="1:11" x14ac:dyDescent="0.3">
      <c r="A819">
        <v>0</v>
      </c>
      <c r="B819">
        <v>8552263</v>
      </c>
      <c r="C819" s="13">
        <v>40444.797222222223</v>
      </c>
      <c r="D819">
        <v>4639</v>
      </c>
      <c r="E819">
        <v>160</v>
      </c>
      <c r="F819" t="s">
        <v>1987</v>
      </c>
      <c r="G819">
        <v>27092</v>
      </c>
      <c r="H819" t="s">
        <v>2002</v>
      </c>
      <c r="I819" t="s">
        <v>2001</v>
      </c>
      <c r="J819" s="8">
        <v>4102</v>
      </c>
      <c r="K819">
        <v>4829</v>
      </c>
    </row>
    <row r="820" spans="1:11" x14ac:dyDescent="0.3">
      <c r="A820">
        <v>0</v>
      </c>
      <c r="B820">
        <v>8552328</v>
      </c>
      <c r="C820" s="13">
        <v>40444.818749999999</v>
      </c>
      <c r="D820">
        <v>4639</v>
      </c>
      <c r="E820">
        <v>8.69</v>
      </c>
      <c r="F820" t="s">
        <v>1987</v>
      </c>
      <c r="G820">
        <v>55060</v>
      </c>
      <c r="H820" t="s">
        <v>2014</v>
      </c>
      <c r="I820" t="s">
        <v>2001</v>
      </c>
      <c r="J820" s="8">
        <v>4074</v>
      </c>
      <c r="K820">
        <v>5812</v>
      </c>
    </row>
    <row r="821" spans="1:11" x14ac:dyDescent="0.3">
      <c r="A821">
        <v>0</v>
      </c>
      <c r="B821">
        <v>8554280</v>
      </c>
      <c r="C821" s="13">
        <v>40445.48541666667</v>
      </c>
      <c r="D821">
        <v>4639</v>
      </c>
      <c r="E821">
        <v>81.09</v>
      </c>
      <c r="F821" t="s">
        <v>1987</v>
      </c>
      <c r="G821">
        <v>57053</v>
      </c>
      <c r="H821" t="s">
        <v>2014</v>
      </c>
      <c r="I821" t="s">
        <v>2001</v>
      </c>
      <c r="J821" s="8">
        <v>4074</v>
      </c>
      <c r="K821">
        <v>7538</v>
      </c>
    </row>
    <row r="822" spans="1:11" x14ac:dyDescent="0.3">
      <c r="A822">
        <v>0</v>
      </c>
      <c r="B822">
        <v>8556111</v>
      </c>
      <c r="C822" s="13">
        <v>40445.822916666664</v>
      </c>
      <c r="D822">
        <v>4639</v>
      </c>
      <c r="E822">
        <v>10.51</v>
      </c>
      <c r="F822" t="s">
        <v>1987</v>
      </c>
      <c r="G822">
        <v>13153</v>
      </c>
      <c r="H822" t="s">
        <v>2014</v>
      </c>
      <c r="I822" t="s">
        <v>2001</v>
      </c>
      <c r="J822" s="8">
        <v>4074</v>
      </c>
      <c r="K822">
        <v>5812</v>
      </c>
    </row>
    <row r="823" spans="1:11" x14ac:dyDescent="0.3">
      <c r="A823">
        <v>0</v>
      </c>
      <c r="B823">
        <v>8558903</v>
      </c>
      <c r="C823" s="13">
        <v>40446.604166666664</v>
      </c>
      <c r="D823">
        <v>4639</v>
      </c>
      <c r="E823">
        <v>22.04</v>
      </c>
      <c r="F823" t="s">
        <v>1987</v>
      </c>
      <c r="G823">
        <v>24206</v>
      </c>
      <c r="H823" t="s">
        <v>2014</v>
      </c>
      <c r="I823" t="s">
        <v>2001</v>
      </c>
      <c r="J823" s="8">
        <v>4074</v>
      </c>
      <c r="K823">
        <v>4121</v>
      </c>
    </row>
    <row r="824" spans="1:11" x14ac:dyDescent="0.3">
      <c r="A824">
        <v>0</v>
      </c>
      <c r="B824">
        <v>8559958</v>
      </c>
      <c r="C824" s="13">
        <v>40446.813888888886</v>
      </c>
      <c r="D824">
        <v>4639</v>
      </c>
      <c r="E824">
        <v>7.94</v>
      </c>
      <c r="F824" t="s">
        <v>1987</v>
      </c>
      <c r="G824">
        <v>13153</v>
      </c>
      <c r="H824" t="s">
        <v>2014</v>
      </c>
      <c r="I824" t="s">
        <v>2001</v>
      </c>
      <c r="J824" s="8">
        <v>4074</v>
      </c>
      <c r="K824">
        <v>5812</v>
      </c>
    </row>
    <row r="825" spans="1:11" x14ac:dyDescent="0.3">
      <c r="A825">
        <v>0</v>
      </c>
      <c r="B825">
        <v>8560349</v>
      </c>
      <c r="C825" s="13">
        <v>40446.927777777775</v>
      </c>
      <c r="D825">
        <v>4639</v>
      </c>
      <c r="E825">
        <v>65.27</v>
      </c>
      <c r="F825" t="s">
        <v>1987</v>
      </c>
      <c r="G825">
        <v>32164</v>
      </c>
      <c r="H825" t="s">
        <v>2014</v>
      </c>
      <c r="I825" t="s">
        <v>2001</v>
      </c>
      <c r="J825" s="8">
        <v>4074</v>
      </c>
      <c r="K825">
        <v>5813</v>
      </c>
    </row>
    <row r="826" spans="1:11" x14ac:dyDescent="0.3">
      <c r="A826">
        <v>0</v>
      </c>
      <c r="B826">
        <v>8562072</v>
      </c>
      <c r="C826" s="13">
        <v>40447.442361111112</v>
      </c>
      <c r="D826">
        <v>4639</v>
      </c>
      <c r="E826">
        <v>24.63</v>
      </c>
      <c r="F826" t="s">
        <v>1987</v>
      </c>
      <c r="G826">
        <v>83480</v>
      </c>
      <c r="H826" t="s">
        <v>2014</v>
      </c>
      <c r="I826" t="s">
        <v>2001</v>
      </c>
      <c r="J826" s="8">
        <v>4074</v>
      </c>
      <c r="K826">
        <v>9402</v>
      </c>
    </row>
    <row r="827" spans="1:11" x14ac:dyDescent="0.3">
      <c r="A827">
        <v>0</v>
      </c>
      <c r="B827">
        <v>8563872</v>
      </c>
      <c r="C827" s="13">
        <v>40447.705555555556</v>
      </c>
      <c r="D827">
        <v>4639</v>
      </c>
      <c r="E827">
        <v>77.47</v>
      </c>
      <c r="F827" t="s">
        <v>1987</v>
      </c>
      <c r="G827">
        <v>41527</v>
      </c>
      <c r="H827" t="s">
        <v>2014</v>
      </c>
      <c r="I827" t="s">
        <v>2001</v>
      </c>
      <c r="J827" s="8">
        <v>4074</v>
      </c>
      <c r="K827">
        <v>5310</v>
      </c>
    </row>
    <row r="828" spans="1:11" x14ac:dyDescent="0.3">
      <c r="A828">
        <v>0</v>
      </c>
      <c r="B828">
        <v>8564205</v>
      </c>
      <c r="C828" s="13">
        <v>40447.800000000003</v>
      </c>
      <c r="D828">
        <v>4639</v>
      </c>
      <c r="E828">
        <v>7.72</v>
      </c>
      <c r="F828" t="s">
        <v>1987</v>
      </c>
      <c r="G828">
        <v>98648</v>
      </c>
      <c r="H828" t="s">
        <v>2014</v>
      </c>
      <c r="I828" t="s">
        <v>2001</v>
      </c>
      <c r="J828" s="8">
        <v>4074</v>
      </c>
      <c r="K828">
        <v>5814</v>
      </c>
    </row>
    <row r="829" spans="1:11" x14ac:dyDescent="0.3">
      <c r="A829">
        <v>0</v>
      </c>
      <c r="B829">
        <v>8564276</v>
      </c>
      <c r="C829" s="13">
        <v>40447.817361111112</v>
      </c>
      <c r="D829">
        <v>4639</v>
      </c>
      <c r="E829">
        <v>3.67</v>
      </c>
      <c r="F829" t="s">
        <v>1987</v>
      </c>
      <c r="G829">
        <v>98648</v>
      </c>
      <c r="H829" t="s">
        <v>2014</v>
      </c>
      <c r="I829" t="s">
        <v>2001</v>
      </c>
      <c r="J829" s="8">
        <v>4074</v>
      </c>
      <c r="K829">
        <v>5814</v>
      </c>
    </row>
    <row r="830" spans="1:11" x14ac:dyDescent="0.3">
      <c r="A830">
        <v>0</v>
      </c>
      <c r="B830">
        <v>8567098</v>
      </c>
      <c r="C830" s="13">
        <v>40448.544444444444</v>
      </c>
      <c r="D830">
        <v>4639</v>
      </c>
      <c r="E830">
        <v>40.82</v>
      </c>
      <c r="F830" t="s">
        <v>1987</v>
      </c>
      <c r="G830">
        <v>90865</v>
      </c>
      <c r="H830" t="s">
        <v>2025</v>
      </c>
      <c r="I830" t="s">
        <v>2001</v>
      </c>
      <c r="J830" s="8">
        <v>4254</v>
      </c>
      <c r="K830">
        <v>5311</v>
      </c>
    </row>
    <row r="831" spans="1:11" x14ac:dyDescent="0.3">
      <c r="A831">
        <v>0</v>
      </c>
      <c r="B831">
        <v>8571182</v>
      </c>
      <c r="C831" s="13">
        <v>40449.529861111114</v>
      </c>
      <c r="D831">
        <v>4639</v>
      </c>
      <c r="E831">
        <v>37.28</v>
      </c>
      <c r="F831" t="s">
        <v>1987</v>
      </c>
      <c r="G831">
        <v>41527</v>
      </c>
      <c r="H831" t="s">
        <v>2014</v>
      </c>
      <c r="I831" t="s">
        <v>2001</v>
      </c>
      <c r="J831" s="8">
        <v>4074</v>
      </c>
      <c r="K831">
        <v>5310</v>
      </c>
    </row>
    <row r="832" spans="1:11" x14ac:dyDescent="0.3">
      <c r="A832">
        <v>0</v>
      </c>
      <c r="B832">
        <v>8571320</v>
      </c>
      <c r="C832" s="13">
        <v>40449.54583333333</v>
      </c>
      <c r="D832">
        <v>4639</v>
      </c>
      <c r="E832">
        <v>54.32</v>
      </c>
      <c r="F832" t="s">
        <v>1987</v>
      </c>
      <c r="G832">
        <v>48919</v>
      </c>
      <c r="H832" t="s">
        <v>2022</v>
      </c>
      <c r="I832" t="s">
        <v>2001</v>
      </c>
      <c r="J832" s="8">
        <v>4083</v>
      </c>
      <c r="K832">
        <v>5311</v>
      </c>
    </row>
    <row r="833" spans="1:11" x14ac:dyDescent="0.3">
      <c r="A833">
        <v>0</v>
      </c>
      <c r="B833">
        <v>8573160</v>
      </c>
      <c r="C833" s="13">
        <v>40449.92083333333</v>
      </c>
      <c r="D833">
        <v>4639</v>
      </c>
      <c r="E833">
        <v>150.47999999999999</v>
      </c>
      <c r="F833" t="s">
        <v>1987</v>
      </c>
      <c r="G833">
        <v>48919</v>
      </c>
      <c r="H833" t="s">
        <v>2022</v>
      </c>
      <c r="I833" t="s">
        <v>2001</v>
      </c>
      <c r="J833" s="8">
        <v>4083</v>
      </c>
      <c r="K833">
        <v>5311</v>
      </c>
    </row>
    <row r="834" spans="1:11" x14ac:dyDescent="0.3">
      <c r="A834">
        <v>0</v>
      </c>
      <c r="B834">
        <v>8573222</v>
      </c>
      <c r="C834" s="13">
        <v>40449.940972222219</v>
      </c>
      <c r="D834">
        <v>4639</v>
      </c>
      <c r="E834">
        <v>61.19</v>
      </c>
      <c r="F834" t="s">
        <v>1987</v>
      </c>
      <c r="G834">
        <v>32164</v>
      </c>
      <c r="H834" t="s">
        <v>2014</v>
      </c>
      <c r="I834" t="s">
        <v>2001</v>
      </c>
      <c r="J834" s="8">
        <v>4074</v>
      </c>
      <c r="K834">
        <v>5813</v>
      </c>
    </row>
    <row r="835" spans="1:11" x14ac:dyDescent="0.3">
      <c r="A835">
        <v>0</v>
      </c>
      <c r="B835">
        <v>8575303</v>
      </c>
      <c r="C835" s="13">
        <v>40450.49722222222</v>
      </c>
      <c r="D835">
        <v>4639</v>
      </c>
      <c r="E835">
        <v>99.41</v>
      </c>
      <c r="F835" t="s">
        <v>1987</v>
      </c>
      <c r="G835">
        <v>32175</v>
      </c>
      <c r="H835" t="s">
        <v>2002</v>
      </c>
      <c r="I835" t="s">
        <v>2001</v>
      </c>
      <c r="J835" s="8">
        <v>4103</v>
      </c>
      <c r="K835">
        <v>7538</v>
      </c>
    </row>
    <row r="836" spans="1:11" x14ac:dyDescent="0.3">
      <c r="A836">
        <v>0</v>
      </c>
      <c r="B836">
        <v>8575659</v>
      </c>
      <c r="C836" s="13">
        <v>40450.545138888891</v>
      </c>
      <c r="D836">
        <v>4639</v>
      </c>
      <c r="E836">
        <v>50.41</v>
      </c>
      <c r="F836" t="s">
        <v>1987</v>
      </c>
      <c r="G836">
        <v>26593</v>
      </c>
      <c r="H836" t="s">
        <v>2014</v>
      </c>
      <c r="I836" t="s">
        <v>2001</v>
      </c>
      <c r="J836" s="8">
        <v>4074</v>
      </c>
      <c r="K836">
        <v>5300</v>
      </c>
    </row>
    <row r="837" spans="1:11" x14ac:dyDescent="0.3">
      <c r="A837">
        <v>0</v>
      </c>
      <c r="B837">
        <v>8576333</v>
      </c>
      <c r="C837" s="13">
        <v>40450.645833333336</v>
      </c>
      <c r="D837">
        <v>4639</v>
      </c>
      <c r="E837">
        <v>77.67</v>
      </c>
      <c r="F837" t="s">
        <v>1987</v>
      </c>
      <c r="G837">
        <v>32635</v>
      </c>
      <c r="H837" t="s">
        <v>2014</v>
      </c>
      <c r="I837" t="s">
        <v>2001</v>
      </c>
      <c r="J837" s="8">
        <v>4074</v>
      </c>
      <c r="K837">
        <v>7230</v>
      </c>
    </row>
    <row r="838" spans="1:11" x14ac:dyDescent="0.3">
      <c r="A838">
        <v>0</v>
      </c>
      <c r="B838">
        <v>8577088</v>
      </c>
      <c r="C838" s="13">
        <v>40450.806250000001</v>
      </c>
      <c r="D838">
        <v>4639</v>
      </c>
      <c r="E838">
        <v>8.77</v>
      </c>
      <c r="F838" t="s">
        <v>1987</v>
      </c>
      <c r="G838">
        <v>13153</v>
      </c>
      <c r="H838" t="s">
        <v>2014</v>
      </c>
      <c r="I838" t="s">
        <v>2001</v>
      </c>
      <c r="J838" s="8">
        <v>4074</v>
      </c>
      <c r="K838">
        <v>5812</v>
      </c>
    </row>
    <row r="839" spans="1:11" x14ac:dyDescent="0.3">
      <c r="A839">
        <v>0</v>
      </c>
      <c r="B839">
        <v>8577475</v>
      </c>
      <c r="C839" s="13">
        <v>40450.925694444442</v>
      </c>
      <c r="D839">
        <v>4639</v>
      </c>
      <c r="E839">
        <v>39.07</v>
      </c>
      <c r="F839" t="s">
        <v>1987</v>
      </c>
      <c r="G839">
        <v>32164</v>
      </c>
      <c r="H839" t="s">
        <v>2014</v>
      </c>
      <c r="I839" t="s">
        <v>2001</v>
      </c>
      <c r="J839" s="8">
        <v>4074</v>
      </c>
      <c r="K839">
        <v>5813</v>
      </c>
    </row>
    <row r="840" spans="1:11" x14ac:dyDescent="0.3">
      <c r="A840">
        <v>0</v>
      </c>
      <c r="B840">
        <v>8587696</v>
      </c>
      <c r="C840" s="13">
        <v>40453.55972222222</v>
      </c>
      <c r="D840">
        <v>4639</v>
      </c>
      <c r="E840">
        <v>46.8</v>
      </c>
      <c r="F840" t="s">
        <v>1987</v>
      </c>
      <c r="G840">
        <v>60569</v>
      </c>
      <c r="H840" t="s">
        <v>2017</v>
      </c>
      <c r="I840" t="s">
        <v>2001</v>
      </c>
      <c r="J840" s="8">
        <v>4240</v>
      </c>
      <c r="K840">
        <v>5300</v>
      </c>
    </row>
    <row r="841" spans="1:11" x14ac:dyDescent="0.3">
      <c r="A841">
        <v>0</v>
      </c>
      <c r="B841">
        <v>8597614</v>
      </c>
      <c r="C841" s="13">
        <v>40455.826388888891</v>
      </c>
      <c r="D841">
        <v>4639</v>
      </c>
      <c r="E841">
        <v>7.36</v>
      </c>
      <c r="F841" t="s">
        <v>1987</v>
      </c>
      <c r="G841">
        <v>98648</v>
      </c>
      <c r="H841" t="s">
        <v>2014</v>
      </c>
      <c r="I841" t="s">
        <v>2001</v>
      </c>
      <c r="J841" s="8">
        <v>4074</v>
      </c>
      <c r="K841">
        <v>5814</v>
      </c>
    </row>
    <row r="842" spans="1:11" x14ac:dyDescent="0.3">
      <c r="A842">
        <v>0</v>
      </c>
      <c r="B842">
        <v>8598563</v>
      </c>
      <c r="C842" s="13">
        <v>40456.29791666667</v>
      </c>
      <c r="D842">
        <v>4639</v>
      </c>
      <c r="E842">
        <v>91.89</v>
      </c>
      <c r="F842" t="s">
        <v>1987</v>
      </c>
      <c r="G842">
        <v>28395</v>
      </c>
      <c r="H842" t="s">
        <v>2022</v>
      </c>
      <c r="I842" t="s">
        <v>2001</v>
      </c>
      <c r="J842" s="8">
        <v>4083</v>
      </c>
      <c r="K842">
        <v>5541</v>
      </c>
    </row>
    <row r="843" spans="1:11" x14ac:dyDescent="0.3">
      <c r="A843">
        <v>0</v>
      </c>
      <c r="B843">
        <v>8600449</v>
      </c>
      <c r="C843" s="13">
        <v>40456.559027777781</v>
      </c>
      <c r="D843">
        <v>4639</v>
      </c>
      <c r="E843">
        <v>54.33</v>
      </c>
      <c r="F843" t="s">
        <v>1987</v>
      </c>
      <c r="G843">
        <v>11468</v>
      </c>
      <c r="H843" t="s">
        <v>1996</v>
      </c>
      <c r="I843" t="s">
        <v>2001</v>
      </c>
      <c r="J843" s="8">
        <v>4938</v>
      </c>
      <c r="K843">
        <v>5970</v>
      </c>
    </row>
    <row r="844" spans="1:11" x14ac:dyDescent="0.3">
      <c r="A844">
        <v>0</v>
      </c>
      <c r="B844">
        <v>8602161</v>
      </c>
      <c r="C844" s="13">
        <v>40456.936805555553</v>
      </c>
      <c r="D844">
        <v>4639</v>
      </c>
      <c r="E844">
        <v>54.67</v>
      </c>
      <c r="F844" t="s">
        <v>1987</v>
      </c>
      <c r="G844">
        <v>32164</v>
      </c>
      <c r="H844" t="s">
        <v>2014</v>
      </c>
      <c r="I844" t="s">
        <v>2001</v>
      </c>
      <c r="J844" s="8">
        <v>4074</v>
      </c>
      <c r="K844">
        <v>5813</v>
      </c>
    </row>
    <row r="845" spans="1:11" x14ac:dyDescent="0.3">
      <c r="A845">
        <v>0</v>
      </c>
      <c r="B845">
        <v>8604092</v>
      </c>
      <c r="C845" s="13">
        <v>40457.480555555558</v>
      </c>
      <c r="D845">
        <v>4639</v>
      </c>
      <c r="E845">
        <v>83.35</v>
      </c>
      <c r="F845" t="s">
        <v>1987</v>
      </c>
      <c r="G845">
        <v>57053</v>
      </c>
      <c r="H845" t="s">
        <v>2014</v>
      </c>
      <c r="I845" t="s">
        <v>2001</v>
      </c>
      <c r="J845" s="8">
        <v>4074</v>
      </c>
      <c r="K845">
        <v>7538</v>
      </c>
    </row>
    <row r="846" spans="1:11" x14ac:dyDescent="0.3">
      <c r="A846">
        <v>0</v>
      </c>
      <c r="B846">
        <v>8604921</v>
      </c>
      <c r="C846" s="13">
        <v>40457.599999999999</v>
      </c>
      <c r="D846">
        <v>4639</v>
      </c>
      <c r="E846">
        <v>21.62</v>
      </c>
      <c r="F846" t="s">
        <v>1987</v>
      </c>
      <c r="G846">
        <v>20519</v>
      </c>
      <c r="H846" t="s">
        <v>2002</v>
      </c>
      <c r="I846" t="s">
        <v>2001</v>
      </c>
      <c r="J846" s="8">
        <v>4101</v>
      </c>
      <c r="K846">
        <v>5942</v>
      </c>
    </row>
    <row r="847" spans="1:11" x14ac:dyDescent="0.3">
      <c r="A847">
        <v>0</v>
      </c>
      <c r="B847">
        <v>8608558</v>
      </c>
      <c r="C847" s="13">
        <v>40458.496527777781</v>
      </c>
      <c r="D847">
        <v>4639</v>
      </c>
      <c r="E847">
        <v>107.48</v>
      </c>
      <c r="F847" t="s">
        <v>1987</v>
      </c>
      <c r="G847">
        <v>24823</v>
      </c>
      <c r="H847" t="s">
        <v>2014</v>
      </c>
      <c r="I847" t="s">
        <v>2001</v>
      </c>
      <c r="J847" s="8">
        <v>4074</v>
      </c>
      <c r="K847">
        <v>7538</v>
      </c>
    </row>
    <row r="848" spans="1:11" x14ac:dyDescent="0.3">
      <c r="A848">
        <v>0</v>
      </c>
      <c r="B848">
        <v>8608664</v>
      </c>
      <c r="C848" s="13">
        <v>40458.508333333331</v>
      </c>
      <c r="D848">
        <v>4639</v>
      </c>
      <c r="E848">
        <v>49.59</v>
      </c>
      <c r="F848" t="s">
        <v>1987</v>
      </c>
      <c r="G848">
        <v>11468</v>
      </c>
      <c r="H848" t="s">
        <v>1996</v>
      </c>
      <c r="I848" t="s">
        <v>2001</v>
      </c>
      <c r="J848" s="8">
        <v>4938</v>
      </c>
      <c r="K848">
        <v>5970</v>
      </c>
    </row>
    <row r="849" spans="1:11" x14ac:dyDescent="0.3">
      <c r="A849">
        <v>0</v>
      </c>
      <c r="B849">
        <v>8610536</v>
      </c>
      <c r="C849" s="13">
        <v>40458.840277777781</v>
      </c>
      <c r="D849">
        <v>4639</v>
      </c>
      <c r="E849">
        <v>9.4499999999999993</v>
      </c>
      <c r="F849" t="s">
        <v>1987</v>
      </c>
      <c r="G849">
        <v>98648</v>
      </c>
      <c r="H849" t="s">
        <v>2014</v>
      </c>
      <c r="I849" t="s">
        <v>2001</v>
      </c>
      <c r="J849" s="8">
        <v>4074</v>
      </c>
      <c r="K849">
        <v>5814</v>
      </c>
    </row>
    <row r="850" spans="1:11" x14ac:dyDescent="0.3">
      <c r="A850">
        <v>0</v>
      </c>
      <c r="B850">
        <v>8613126</v>
      </c>
      <c r="C850" s="13">
        <v>40459.599305555559</v>
      </c>
      <c r="D850">
        <v>4639</v>
      </c>
      <c r="E850">
        <v>43.13</v>
      </c>
      <c r="F850" t="s">
        <v>1987</v>
      </c>
      <c r="G850">
        <v>48919</v>
      </c>
      <c r="H850" t="s">
        <v>2022</v>
      </c>
      <c r="I850" t="s">
        <v>2001</v>
      </c>
      <c r="J850" s="8">
        <v>4083</v>
      </c>
      <c r="K850">
        <v>5311</v>
      </c>
    </row>
    <row r="851" spans="1:11" x14ac:dyDescent="0.3">
      <c r="A851">
        <v>0</v>
      </c>
      <c r="B851">
        <v>8614169</v>
      </c>
      <c r="C851" s="13">
        <v>40459.8125</v>
      </c>
      <c r="D851">
        <v>4639</v>
      </c>
      <c r="E851">
        <v>4.84</v>
      </c>
      <c r="F851" t="s">
        <v>1987</v>
      </c>
      <c r="G851">
        <v>55060</v>
      </c>
      <c r="H851" t="s">
        <v>2014</v>
      </c>
      <c r="I851" t="s">
        <v>2001</v>
      </c>
      <c r="J851" s="8">
        <v>4074</v>
      </c>
      <c r="K851">
        <v>5812</v>
      </c>
    </row>
    <row r="852" spans="1:11" x14ac:dyDescent="0.3">
      <c r="A852">
        <v>0</v>
      </c>
      <c r="B852">
        <v>8614595</v>
      </c>
      <c r="C852" s="13">
        <v>40459.93472222222</v>
      </c>
      <c r="D852">
        <v>4639</v>
      </c>
      <c r="E852">
        <v>52.22</v>
      </c>
      <c r="F852" t="s">
        <v>1987</v>
      </c>
      <c r="G852">
        <v>32164</v>
      </c>
      <c r="H852" t="s">
        <v>2014</v>
      </c>
      <c r="I852" t="s">
        <v>2001</v>
      </c>
      <c r="J852" s="8">
        <v>4074</v>
      </c>
      <c r="K852">
        <v>5813</v>
      </c>
    </row>
    <row r="853" spans="1:11" x14ac:dyDescent="0.3">
      <c r="A853">
        <v>0</v>
      </c>
      <c r="B853">
        <v>8615225</v>
      </c>
      <c r="C853" s="13">
        <v>40460.306944444441</v>
      </c>
      <c r="D853">
        <v>4639</v>
      </c>
      <c r="E853">
        <v>81.489999999999995</v>
      </c>
      <c r="F853" t="s">
        <v>1987</v>
      </c>
      <c r="G853">
        <v>60510</v>
      </c>
      <c r="H853" t="s">
        <v>2014</v>
      </c>
      <c r="I853" t="s">
        <v>2001</v>
      </c>
      <c r="J853" s="8">
        <v>4074</v>
      </c>
      <c r="K853">
        <v>5912</v>
      </c>
    </row>
    <row r="854" spans="1:11" x14ac:dyDescent="0.3">
      <c r="A854">
        <v>0</v>
      </c>
      <c r="B854">
        <v>8616513</v>
      </c>
      <c r="C854" s="13">
        <v>40460.525694444441</v>
      </c>
      <c r="D854">
        <v>4639</v>
      </c>
      <c r="E854">
        <v>65.17</v>
      </c>
      <c r="F854" t="s">
        <v>1987</v>
      </c>
      <c r="G854">
        <v>28395</v>
      </c>
      <c r="H854" t="s">
        <v>2022</v>
      </c>
      <c r="I854" t="s">
        <v>2001</v>
      </c>
      <c r="J854" s="8">
        <v>4083</v>
      </c>
      <c r="K854">
        <v>5541</v>
      </c>
    </row>
    <row r="855" spans="1:11" x14ac:dyDescent="0.3">
      <c r="A855">
        <v>0</v>
      </c>
      <c r="B855">
        <v>8616524</v>
      </c>
      <c r="C855" s="13">
        <v>40460.526388888888</v>
      </c>
      <c r="D855">
        <v>4639</v>
      </c>
      <c r="E855">
        <v>-61</v>
      </c>
      <c r="F855" t="s">
        <v>1987</v>
      </c>
      <c r="G855">
        <v>28395</v>
      </c>
      <c r="H855" t="s">
        <v>2022</v>
      </c>
      <c r="I855" t="s">
        <v>2001</v>
      </c>
      <c r="J855" s="8">
        <v>4083</v>
      </c>
      <c r="K855">
        <v>5541</v>
      </c>
    </row>
    <row r="856" spans="1:11" x14ac:dyDescent="0.3">
      <c r="A856">
        <v>0</v>
      </c>
      <c r="B856">
        <v>8616616</v>
      </c>
      <c r="C856" s="13">
        <v>40460.539583333331</v>
      </c>
      <c r="D856">
        <v>4639</v>
      </c>
      <c r="E856">
        <v>61</v>
      </c>
      <c r="F856" t="s">
        <v>1987</v>
      </c>
      <c r="G856">
        <v>28395</v>
      </c>
      <c r="H856" t="s">
        <v>2022</v>
      </c>
      <c r="I856" t="s">
        <v>2001</v>
      </c>
      <c r="J856" s="8">
        <v>4083</v>
      </c>
      <c r="K856">
        <v>5541</v>
      </c>
    </row>
    <row r="857" spans="1:11" x14ac:dyDescent="0.3">
      <c r="A857">
        <v>0</v>
      </c>
      <c r="B857">
        <v>8618276</v>
      </c>
      <c r="C857" s="13">
        <v>40460.85</v>
      </c>
      <c r="D857">
        <v>4639</v>
      </c>
      <c r="E857">
        <v>9.06</v>
      </c>
      <c r="F857" t="s">
        <v>1987</v>
      </c>
      <c r="G857">
        <v>55060</v>
      </c>
      <c r="H857" t="s">
        <v>2014</v>
      </c>
      <c r="I857" t="s">
        <v>2001</v>
      </c>
      <c r="J857" s="8">
        <v>4074</v>
      </c>
      <c r="K857">
        <v>5812</v>
      </c>
    </row>
    <row r="858" spans="1:11" x14ac:dyDescent="0.3">
      <c r="A858">
        <v>0</v>
      </c>
      <c r="B858">
        <v>8618597</v>
      </c>
      <c r="C858" s="13">
        <v>40460.947916666664</v>
      </c>
      <c r="D858">
        <v>4639</v>
      </c>
      <c r="E858">
        <v>44.29</v>
      </c>
      <c r="F858" t="s">
        <v>1987</v>
      </c>
      <c r="G858">
        <v>32164</v>
      </c>
      <c r="H858" t="s">
        <v>2014</v>
      </c>
      <c r="I858" t="s">
        <v>2001</v>
      </c>
      <c r="J858" s="8">
        <v>4074</v>
      </c>
      <c r="K858">
        <v>5813</v>
      </c>
    </row>
    <row r="859" spans="1:11" x14ac:dyDescent="0.3">
      <c r="A859">
        <v>0</v>
      </c>
      <c r="B859">
        <v>8622509</v>
      </c>
      <c r="C859" s="13">
        <v>40461.816666666666</v>
      </c>
      <c r="D859">
        <v>4639</v>
      </c>
      <c r="E859">
        <v>7.92</v>
      </c>
      <c r="F859" t="s">
        <v>1987</v>
      </c>
      <c r="G859">
        <v>13153</v>
      </c>
      <c r="H859" t="s">
        <v>2014</v>
      </c>
      <c r="I859" t="s">
        <v>2001</v>
      </c>
      <c r="J859" s="8">
        <v>4074</v>
      </c>
      <c r="K859">
        <v>5812</v>
      </c>
    </row>
    <row r="860" spans="1:11" x14ac:dyDescent="0.3">
      <c r="A860">
        <v>0</v>
      </c>
      <c r="B860">
        <v>8626839</v>
      </c>
      <c r="C860" s="13">
        <v>40462.823611111111</v>
      </c>
      <c r="D860">
        <v>4639</v>
      </c>
      <c r="E860">
        <v>9.5399999999999991</v>
      </c>
      <c r="F860" t="s">
        <v>1987</v>
      </c>
      <c r="G860">
        <v>98648</v>
      </c>
      <c r="H860" t="s">
        <v>2014</v>
      </c>
      <c r="I860" t="s">
        <v>2001</v>
      </c>
      <c r="J860" s="8">
        <v>4074</v>
      </c>
      <c r="K860">
        <v>5814</v>
      </c>
    </row>
    <row r="861" spans="1:11" x14ac:dyDescent="0.3">
      <c r="A861">
        <v>0</v>
      </c>
      <c r="B861">
        <v>8629271</v>
      </c>
      <c r="C861" s="13">
        <v>40463.506944444445</v>
      </c>
      <c r="D861">
        <v>4639</v>
      </c>
      <c r="E861">
        <v>83.3</v>
      </c>
      <c r="F861" t="s">
        <v>1987</v>
      </c>
      <c r="G861">
        <v>43293</v>
      </c>
      <c r="H861" t="s">
        <v>2014</v>
      </c>
      <c r="I861" t="s">
        <v>2001</v>
      </c>
      <c r="J861" s="8">
        <v>4074</v>
      </c>
      <c r="K861">
        <v>5499</v>
      </c>
    </row>
    <row r="862" spans="1:11" x14ac:dyDescent="0.3">
      <c r="A862">
        <v>0</v>
      </c>
      <c r="B862">
        <v>8629281</v>
      </c>
      <c r="C862" s="13">
        <v>40463.508333333331</v>
      </c>
      <c r="D862">
        <v>4639</v>
      </c>
      <c r="E862">
        <v>76</v>
      </c>
      <c r="F862" t="s">
        <v>1987</v>
      </c>
      <c r="G862">
        <v>43293</v>
      </c>
      <c r="H862" t="s">
        <v>2014</v>
      </c>
      <c r="I862" t="s">
        <v>2001</v>
      </c>
      <c r="J862" s="8">
        <v>4074</v>
      </c>
      <c r="K862">
        <v>5499</v>
      </c>
    </row>
    <row r="863" spans="1:11" x14ac:dyDescent="0.3">
      <c r="A863">
        <v>0</v>
      </c>
      <c r="B863">
        <v>8629284</v>
      </c>
      <c r="C863" s="13">
        <v>40463.509027777778</v>
      </c>
      <c r="D863">
        <v>4639</v>
      </c>
      <c r="E863">
        <v>-76</v>
      </c>
      <c r="F863" t="s">
        <v>1987</v>
      </c>
      <c r="G863">
        <v>43293</v>
      </c>
      <c r="H863" t="s">
        <v>2014</v>
      </c>
      <c r="I863" t="s">
        <v>2001</v>
      </c>
      <c r="J863" s="8">
        <v>4074</v>
      </c>
      <c r="K863">
        <v>5499</v>
      </c>
    </row>
    <row r="864" spans="1:11" x14ac:dyDescent="0.3">
      <c r="A864">
        <v>0</v>
      </c>
      <c r="B864">
        <v>8629934</v>
      </c>
      <c r="C864" s="13">
        <v>40463.602777777778</v>
      </c>
      <c r="D864">
        <v>4639</v>
      </c>
      <c r="E864">
        <v>29.27</v>
      </c>
      <c r="F864" t="s">
        <v>1987</v>
      </c>
      <c r="G864">
        <v>24206</v>
      </c>
      <c r="H864" t="s">
        <v>2014</v>
      </c>
      <c r="I864" t="s">
        <v>2001</v>
      </c>
      <c r="J864" s="8">
        <v>4074</v>
      </c>
      <c r="K864">
        <v>4121</v>
      </c>
    </row>
    <row r="865" spans="1:11" x14ac:dyDescent="0.3">
      <c r="A865">
        <v>0</v>
      </c>
      <c r="B865">
        <v>8632073</v>
      </c>
      <c r="C865" s="13">
        <v>40464.310416666667</v>
      </c>
      <c r="D865">
        <v>4639</v>
      </c>
      <c r="E865">
        <v>105.36</v>
      </c>
      <c r="F865" t="s">
        <v>1987</v>
      </c>
      <c r="G865">
        <v>43925</v>
      </c>
      <c r="H865" t="s">
        <v>2014</v>
      </c>
      <c r="I865" t="s">
        <v>2001</v>
      </c>
      <c r="J865" s="8">
        <v>4074</v>
      </c>
      <c r="K865">
        <v>5411</v>
      </c>
    </row>
    <row r="866" spans="1:11" x14ac:dyDescent="0.3">
      <c r="A866">
        <v>0</v>
      </c>
      <c r="B866">
        <v>8636189</v>
      </c>
      <c r="C866" s="13">
        <v>40465.281944444447</v>
      </c>
      <c r="D866">
        <v>4639</v>
      </c>
      <c r="E866">
        <v>97.5</v>
      </c>
      <c r="F866" t="s">
        <v>1987</v>
      </c>
      <c r="G866">
        <v>60569</v>
      </c>
      <c r="H866" t="s">
        <v>2017</v>
      </c>
      <c r="I866" t="s">
        <v>2001</v>
      </c>
      <c r="J866" s="8">
        <v>4240</v>
      </c>
      <c r="K866">
        <v>5300</v>
      </c>
    </row>
    <row r="867" spans="1:11" x14ac:dyDescent="0.3">
      <c r="A867">
        <v>0</v>
      </c>
      <c r="B867">
        <v>8638154</v>
      </c>
      <c r="C867" s="13">
        <v>40465.556250000001</v>
      </c>
      <c r="D867">
        <v>4639</v>
      </c>
      <c r="E867">
        <v>15.43</v>
      </c>
      <c r="F867" t="s">
        <v>1987</v>
      </c>
      <c r="G867">
        <v>60510</v>
      </c>
      <c r="H867" t="s">
        <v>2014</v>
      </c>
      <c r="I867" t="s">
        <v>2001</v>
      </c>
      <c r="J867" s="8">
        <v>4074</v>
      </c>
      <c r="K867">
        <v>5912</v>
      </c>
    </row>
    <row r="868" spans="1:11" x14ac:dyDescent="0.3">
      <c r="A868">
        <v>0</v>
      </c>
      <c r="B868">
        <v>8643318</v>
      </c>
      <c r="C868" s="13">
        <v>40466.811111111114</v>
      </c>
      <c r="D868">
        <v>4639</v>
      </c>
      <c r="E868">
        <v>140</v>
      </c>
      <c r="F868" t="s">
        <v>1987</v>
      </c>
      <c r="G868">
        <v>27092</v>
      </c>
      <c r="H868" t="s">
        <v>2002</v>
      </c>
      <c r="I868" t="s">
        <v>2001</v>
      </c>
      <c r="J868" s="8">
        <v>4102</v>
      </c>
      <c r="K868">
        <v>4829</v>
      </c>
    </row>
    <row r="869" spans="1:11" x14ac:dyDescent="0.3">
      <c r="A869">
        <v>0</v>
      </c>
      <c r="B869">
        <v>8643690</v>
      </c>
      <c r="C869" s="13">
        <v>40466.922222222223</v>
      </c>
      <c r="D869">
        <v>4639</v>
      </c>
      <c r="E869">
        <v>48.36</v>
      </c>
      <c r="F869" t="s">
        <v>1987</v>
      </c>
      <c r="G869">
        <v>32164</v>
      </c>
      <c r="H869" t="s">
        <v>2014</v>
      </c>
      <c r="I869" t="s">
        <v>2001</v>
      </c>
      <c r="J869" s="8">
        <v>4074</v>
      </c>
      <c r="K869">
        <v>5813</v>
      </c>
    </row>
    <row r="870" spans="1:11" x14ac:dyDescent="0.3">
      <c r="A870">
        <v>0</v>
      </c>
      <c r="B870">
        <v>8645327</v>
      </c>
      <c r="C870" s="13">
        <v>40467.475694444445</v>
      </c>
      <c r="D870">
        <v>4639</v>
      </c>
      <c r="E870">
        <v>23.79</v>
      </c>
      <c r="F870" t="s">
        <v>1987</v>
      </c>
      <c r="G870">
        <v>83271</v>
      </c>
      <c r="H870" t="s">
        <v>2002</v>
      </c>
      <c r="I870" t="s">
        <v>2001</v>
      </c>
      <c r="J870" s="8">
        <v>4103</v>
      </c>
      <c r="K870">
        <v>4214</v>
      </c>
    </row>
    <row r="871" spans="1:11" x14ac:dyDescent="0.3">
      <c r="A871">
        <v>0</v>
      </c>
      <c r="B871">
        <v>8647264</v>
      </c>
      <c r="C871" s="13">
        <v>40467.824305555558</v>
      </c>
      <c r="D871">
        <v>4639</v>
      </c>
      <c r="E871">
        <v>5.86</v>
      </c>
      <c r="F871" t="s">
        <v>1987</v>
      </c>
      <c r="G871">
        <v>55060</v>
      </c>
      <c r="H871" t="s">
        <v>2014</v>
      </c>
      <c r="I871" t="s">
        <v>2001</v>
      </c>
      <c r="J871" s="8">
        <v>4074</v>
      </c>
      <c r="K871">
        <v>5812</v>
      </c>
    </row>
    <row r="872" spans="1:11" x14ac:dyDescent="0.3">
      <c r="A872">
        <v>0</v>
      </c>
      <c r="B872">
        <v>8650196</v>
      </c>
      <c r="C872" s="13">
        <v>40468.5625</v>
      </c>
      <c r="D872">
        <v>4639</v>
      </c>
      <c r="E872">
        <v>2.02</v>
      </c>
      <c r="F872" t="s">
        <v>1987</v>
      </c>
      <c r="G872">
        <v>60510</v>
      </c>
      <c r="H872" t="s">
        <v>2014</v>
      </c>
      <c r="I872" t="s">
        <v>2001</v>
      </c>
      <c r="J872" s="8">
        <v>4074</v>
      </c>
      <c r="K872">
        <v>5912</v>
      </c>
    </row>
    <row r="873" spans="1:11" x14ac:dyDescent="0.3">
      <c r="A873">
        <v>0</v>
      </c>
      <c r="B873">
        <v>8651464</v>
      </c>
      <c r="C873" s="13">
        <v>40468.81527777778</v>
      </c>
      <c r="D873">
        <v>4639</v>
      </c>
      <c r="E873">
        <v>7.35</v>
      </c>
      <c r="F873" t="s">
        <v>1987</v>
      </c>
      <c r="G873">
        <v>13153</v>
      </c>
      <c r="H873" t="s">
        <v>2014</v>
      </c>
      <c r="I873" t="s">
        <v>2001</v>
      </c>
      <c r="J873" s="8">
        <v>4074</v>
      </c>
      <c r="K873">
        <v>5812</v>
      </c>
    </row>
    <row r="874" spans="1:11" x14ac:dyDescent="0.3">
      <c r="A874">
        <v>0</v>
      </c>
      <c r="B874">
        <v>8651574</v>
      </c>
      <c r="C874" s="13">
        <v>40468.84652777778</v>
      </c>
      <c r="D874">
        <v>4639</v>
      </c>
      <c r="E874">
        <v>6.72</v>
      </c>
      <c r="F874" t="s">
        <v>1987</v>
      </c>
      <c r="G874">
        <v>55060</v>
      </c>
      <c r="H874" t="s">
        <v>2014</v>
      </c>
      <c r="I874" t="s">
        <v>2001</v>
      </c>
      <c r="J874" s="8">
        <v>4074</v>
      </c>
      <c r="K874">
        <v>5812</v>
      </c>
    </row>
    <row r="875" spans="1:11" x14ac:dyDescent="0.3">
      <c r="A875">
        <v>0</v>
      </c>
      <c r="B875">
        <v>8652487</v>
      </c>
      <c r="C875" s="13">
        <v>40469.299305555556</v>
      </c>
      <c r="D875">
        <v>4639</v>
      </c>
      <c r="E875">
        <v>95.11</v>
      </c>
      <c r="F875" t="s">
        <v>1987</v>
      </c>
      <c r="G875">
        <v>43925</v>
      </c>
      <c r="H875" t="s">
        <v>2014</v>
      </c>
      <c r="I875" t="s">
        <v>2001</v>
      </c>
      <c r="J875" s="8">
        <v>4074</v>
      </c>
      <c r="K875">
        <v>5411</v>
      </c>
    </row>
    <row r="876" spans="1:11" x14ac:dyDescent="0.3">
      <c r="A876">
        <v>0</v>
      </c>
      <c r="B876">
        <v>8658271</v>
      </c>
      <c r="C876" s="13">
        <v>40470.503472222219</v>
      </c>
      <c r="D876">
        <v>4639</v>
      </c>
      <c r="E876">
        <v>79</v>
      </c>
      <c r="F876" t="s">
        <v>1987</v>
      </c>
      <c r="G876">
        <v>28395</v>
      </c>
      <c r="H876" t="s">
        <v>2022</v>
      </c>
      <c r="I876" t="s">
        <v>2001</v>
      </c>
      <c r="J876" s="8">
        <v>4083</v>
      </c>
      <c r="K876">
        <v>5541</v>
      </c>
    </row>
    <row r="877" spans="1:11" x14ac:dyDescent="0.3">
      <c r="A877">
        <v>0</v>
      </c>
      <c r="B877">
        <v>8658290</v>
      </c>
      <c r="C877" s="13">
        <v>40470.506249999999</v>
      </c>
      <c r="D877">
        <v>4639</v>
      </c>
      <c r="E877">
        <v>-79</v>
      </c>
      <c r="F877" t="s">
        <v>1987</v>
      </c>
      <c r="G877">
        <v>28395</v>
      </c>
      <c r="H877" t="s">
        <v>2022</v>
      </c>
      <c r="I877" t="s">
        <v>2001</v>
      </c>
      <c r="J877" s="8">
        <v>4083</v>
      </c>
      <c r="K877">
        <v>5541</v>
      </c>
    </row>
    <row r="878" spans="1:11" x14ac:dyDescent="0.3">
      <c r="A878">
        <v>0</v>
      </c>
      <c r="B878">
        <v>8658375</v>
      </c>
      <c r="C878" s="13">
        <v>40470.51666666667</v>
      </c>
      <c r="D878">
        <v>4639</v>
      </c>
      <c r="E878">
        <v>62.03</v>
      </c>
      <c r="F878" t="s">
        <v>1987</v>
      </c>
      <c r="G878">
        <v>28395</v>
      </c>
      <c r="H878" t="s">
        <v>2022</v>
      </c>
      <c r="I878" t="s">
        <v>2001</v>
      </c>
      <c r="J878" s="8">
        <v>4083</v>
      </c>
      <c r="K878">
        <v>5541</v>
      </c>
    </row>
    <row r="879" spans="1:11" x14ac:dyDescent="0.3">
      <c r="A879">
        <v>0</v>
      </c>
      <c r="B879">
        <v>8658637</v>
      </c>
      <c r="C879" s="13">
        <v>40470.552777777775</v>
      </c>
      <c r="D879">
        <v>4639</v>
      </c>
      <c r="E879">
        <v>53.51</v>
      </c>
      <c r="F879" t="s">
        <v>1987</v>
      </c>
      <c r="G879">
        <v>69956</v>
      </c>
      <c r="H879" t="s">
        <v>2022</v>
      </c>
      <c r="I879" t="s">
        <v>2001</v>
      </c>
      <c r="J879" s="8">
        <v>4083</v>
      </c>
      <c r="K879">
        <v>5310</v>
      </c>
    </row>
    <row r="880" spans="1:11" x14ac:dyDescent="0.3">
      <c r="A880">
        <v>0</v>
      </c>
      <c r="B880">
        <v>8658754</v>
      </c>
      <c r="C880" s="13">
        <v>40470.569444444445</v>
      </c>
      <c r="D880">
        <v>4639</v>
      </c>
      <c r="E880">
        <v>2.99</v>
      </c>
      <c r="F880" t="s">
        <v>1987</v>
      </c>
      <c r="G880">
        <v>20561</v>
      </c>
      <c r="H880" t="s">
        <v>2014</v>
      </c>
      <c r="I880" t="s">
        <v>2001</v>
      </c>
      <c r="J880" s="8">
        <v>4074</v>
      </c>
      <c r="K880">
        <v>5912</v>
      </c>
    </row>
    <row r="881" spans="1:12" x14ac:dyDescent="0.3">
      <c r="A881">
        <v>0</v>
      </c>
      <c r="B881">
        <v>8660001</v>
      </c>
      <c r="C881" s="13">
        <v>40470.8125</v>
      </c>
      <c r="D881">
        <v>4639</v>
      </c>
      <c r="E881">
        <v>4.7</v>
      </c>
      <c r="F881" t="s">
        <v>1987</v>
      </c>
      <c r="G881">
        <v>55060</v>
      </c>
      <c r="H881" t="s">
        <v>2014</v>
      </c>
      <c r="I881" t="s">
        <v>2001</v>
      </c>
      <c r="J881" s="8">
        <v>4074</v>
      </c>
      <c r="K881">
        <v>5812</v>
      </c>
    </row>
    <row r="882" spans="1:12" x14ac:dyDescent="0.3">
      <c r="A882">
        <v>0</v>
      </c>
      <c r="B882">
        <v>8660394</v>
      </c>
      <c r="C882" s="13">
        <v>40470.936111111114</v>
      </c>
      <c r="D882">
        <v>4639</v>
      </c>
      <c r="E882">
        <v>66.739999999999995</v>
      </c>
      <c r="F882" t="s">
        <v>1987</v>
      </c>
      <c r="G882">
        <v>32164</v>
      </c>
      <c r="H882" t="s">
        <v>2014</v>
      </c>
      <c r="I882" t="s">
        <v>2001</v>
      </c>
      <c r="J882" s="8">
        <v>4074</v>
      </c>
      <c r="K882">
        <v>5813</v>
      </c>
    </row>
    <row r="883" spans="1:12" x14ac:dyDescent="0.3">
      <c r="A883">
        <v>0</v>
      </c>
      <c r="B883">
        <v>8666643</v>
      </c>
      <c r="C883" s="13">
        <v>40472.499305555553</v>
      </c>
      <c r="D883">
        <v>4639</v>
      </c>
      <c r="E883">
        <v>46.9</v>
      </c>
      <c r="F883" t="s">
        <v>1987</v>
      </c>
      <c r="G883">
        <v>32175</v>
      </c>
      <c r="H883" t="s">
        <v>2002</v>
      </c>
      <c r="I883" t="s">
        <v>2001</v>
      </c>
      <c r="J883" s="8">
        <v>4103</v>
      </c>
      <c r="K883">
        <v>7538</v>
      </c>
    </row>
    <row r="884" spans="1:12" x14ac:dyDescent="0.3">
      <c r="A884">
        <v>0</v>
      </c>
      <c r="B884">
        <v>8667103</v>
      </c>
      <c r="C884" s="13">
        <v>40472.561111111114</v>
      </c>
      <c r="D884">
        <v>4639</v>
      </c>
      <c r="E884">
        <v>44.87</v>
      </c>
      <c r="F884" t="s">
        <v>1987</v>
      </c>
      <c r="G884">
        <v>90865</v>
      </c>
      <c r="H884" t="s">
        <v>2025</v>
      </c>
      <c r="I884" t="s">
        <v>2001</v>
      </c>
      <c r="J884" s="8">
        <v>4254</v>
      </c>
      <c r="K884">
        <v>5311</v>
      </c>
    </row>
    <row r="885" spans="1:12" x14ac:dyDescent="0.3">
      <c r="A885">
        <v>0</v>
      </c>
      <c r="B885">
        <v>8668796</v>
      </c>
      <c r="C885" s="13">
        <v>40472.943055555559</v>
      </c>
      <c r="D885">
        <v>4639</v>
      </c>
      <c r="E885">
        <v>181.12</v>
      </c>
      <c r="F885" t="s">
        <v>1987</v>
      </c>
      <c r="G885">
        <v>29219</v>
      </c>
      <c r="H885" t="s">
        <v>2014</v>
      </c>
      <c r="I885" t="s">
        <v>2001</v>
      </c>
      <c r="J885" s="8">
        <v>4074</v>
      </c>
      <c r="K885">
        <v>4900</v>
      </c>
    </row>
    <row r="886" spans="1:12" x14ac:dyDescent="0.3">
      <c r="A886">
        <v>0</v>
      </c>
      <c r="B886">
        <v>8669330</v>
      </c>
      <c r="C886" s="13">
        <v>40473.293749999997</v>
      </c>
      <c r="D886">
        <v>4639</v>
      </c>
      <c r="E886">
        <v>123.33</v>
      </c>
      <c r="F886" t="s">
        <v>1987</v>
      </c>
      <c r="G886">
        <v>28395</v>
      </c>
      <c r="H886" t="s">
        <v>2022</v>
      </c>
      <c r="I886" t="s">
        <v>2001</v>
      </c>
      <c r="J886" s="8">
        <v>4083</v>
      </c>
      <c r="K886">
        <v>5541</v>
      </c>
      <c r="L886" t="s">
        <v>1988</v>
      </c>
    </row>
    <row r="887" spans="1:12" x14ac:dyDescent="0.3">
      <c r="A887">
        <v>0</v>
      </c>
      <c r="B887">
        <v>8669419</v>
      </c>
      <c r="C887" s="13">
        <v>40473.308333333334</v>
      </c>
      <c r="D887">
        <v>4639</v>
      </c>
      <c r="E887">
        <v>100.76</v>
      </c>
      <c r="F887" t="s">
        <v>1987</v>
      </c>
      <c r="G887">
        <v>28395</v>
      </c>
      <c r="H887" t="s">
        <v>2022</v>
      </c>
      <c r="I887" t="s">
        <v>2001</v>
      </c>
      <c r="J887" s="8">
        <v>4083</v>
      </c>
      <c r="K887">
        <v>5541</v>
      </c>
    </row>
    <row r="888" spans="1:12" x14ac:dyDescent="0.3">
      <c r="A888">
        <v>0</v>
      </c>
      <c r="B888">
        <v>8670824</v>
      </c>
      <c r="C888" s="13">
        <v>40473.543749999997</v>
      </c>
      <c r="D888">
        <v>4639</v>
      </c>
      <c r="E888">
        <v>46.13</v>
      </c>
      <c r="F888" t="s">
        <v>1987</v>
      </c>
      <c r="G888">
        <v>26909</v>
      </c>
      <c r="H888" t="s">
        <v>2026</v>
      </c>
      <c r="I888" t="s">
        <v>2001</v>
      </c>
      <c r="J888" s="8">
        <v>4084</v>
      </c>
      <c r="K888">
        <v>5211</v>
      </c>
    </row>
    <row r="889" spans="1:12" x14ac:dyDescent="0.3">
      <c r="A889">
        <v>0</v>
      </c>
      <c r="B889">
        <v>8672727</v>
      </c>
      <c r="C889" s="13">
        <v>40473.936111111114</v>
      </c>
      <c r="D889">
        <v>4639</v>
      </c>
      <c r="E889">
        <v>51.86</v>
      </c>
      <c r="F889" t="s">
        <v>1987</v>
      </c>
      <c r="G889">
        <v>32164</v>
      </c>
      <c r="H889" t="s">
        <v>2014</v>
      </c>
      <c r="I889" t="s">
        <v>2001</v>
      </c>
      <c r="J889" s="8">
        <v>4074</v>
      </c>
      <c r="K889">
        <v>5813</v>
      </c>
    </row>
    <row r="890" spans="1:12" x14ac:dyDescent="0.3">
      <c r="A890">
        <v>0</v>
      </c>
      <c r="B890">
        <v>8673284</v>
      </c>
      <c r="C890" s="13">
        <v>40474.303472222222</v>
      </c>
      <c r="D890">
        <v>4639</v>
      </c>
      <c r="E890">
        <v>140.09</v>
      </c>
      <c r="F890" t="s">
        <v>1987</v>
      </c>
      <c r="G890">
        <v>43925</v>
      </c>
      <c r="H890" t="s">
        <v>2014</v>
      </c>
      <c r="I890" t="s">
        <v>2001</v>
      </c>
      <c r="J890" s="8">
        <v>4074</v>
      </c>
      <c r="K890">
        <v>5411</v>
      </c>
    </row>
    <row r="891" spans="1:12" x14ac:dyDescent="0.3">
      <c r="A891">
        <v>0</v>
      </c>
      <c r="B891">
        <v>8674468</v>
      </c>
      <c r="C891" s="13">
        <v>40474.504861111112</v>
      </c>
      <c r="D891">
        <v>4639</v>
      </c>
      <c r="E891">
        <v>-99</v>
      </c>
      <c r="F891" t="s">
        <v>1987</v>
      </c>
      <c r="G891">
        <v>28395</v>
      </c>
      <c r="H891" t="s">
        <v>2022</v>
      </c>
      <c r="I891" t="s">
        <v>2001</v>
      </c>
      <c r="J891" s="8">
        <v>4083</v>
      </c>
      <c r="K891">
        <v>5541</v>
      </c>
    </row>
    <row r="892" spans="1:12" x14ac:dyDescent="0.3">
      <c r="A892">
        <v>0</v>
      </c>
      <c r="B892">
        <v>8674491</v>
      </c>
      <c r="C892" s="13">
        <v>40474.508333333331</v>
      </c>
      <c r="D892">
        <v>4639</v>
      </c>
      <c r="E892">
        <v>61.46</v>
      </c>
      <c r="F892" t="s">
        <v>1987</v>
      </c>
      <c r="G892">
        <v>28395</v>
      </c>
      <c r="H892" t="s">
        <v>2022</v>
      </c>
      <c r="I892" t="s">
        <v>2001</v>
      </c>
      <c r="J892" s="8">
        <v>4083</v>
      </c>
      <c r="K892">
        <v>5541</v>
      </c>
    </row>
    <row r="893" spans="1:12" x14ac:dyDescent="0.3">
      <c r="A893">
        <v>0</v>
      </c>
      <c r="B893">
        <v>8674567</v>
      </c>
      <c r="C893" s="13">
        <v>40474.518750000003</v>
      </c>
      <c r="D893">
        <v>4639</v>
      </c>
      <c r="E893">
        <v>99</v>
      </c>
      <c r="F893" t="s">
        <v>1987</v>
      </c>
      <c r="G893">
        <v>28395</v>
      </c>
      <c r="H893" t="s">
        <v>2022</v>
      </c>
      <c r="I893" t="s">
        <v>2001</v>
      </c>
      <c r="J893" s="8">
        <v>4083</v>
      </c>
      <c r="K893">
        <v>5541</v>
      </c>
    </row>
    <row r="894" spans="1:12" x14ac:dyDescent="0.3">
      <c r="A894">
        <v>0</v>
      </c>
      <c r="B894">
        <v>8676609</v>
      </c>
      <c r="C894" s="13">
        <v>40474.931250000001</v>
      </c>
      <c r="D894">
        <v>4639</v>
      </c>
      <c r="E894">
        <v>55.16</v>
      </c>
      <c r="F894" t="s">
        <v>1987</v>
      </c>
      <c r="G894">
        <v>32164</v>
      </c>
      <c r="H894" t="s">
        <v>2014</v>
      </c>
      <c r="I894" t="s">
        <v>2001</v>
      </c>
      <c r="J894" s="8">
        <v>4074</v>
      </c>
      <c r="K894">
        <v>5813</v>
      </c>
    </row>
    <row r="895" spans="1:12" x14ac:dyDescent="0.3">
      <c r="A895">
        <v>0</v>
      </c>
      <c r="B895">
        <v>8679158</v>
      </c>
      <c r="C895" s="13">
        <v>40475.559027777781</v>
      </c>
      <c r="D895">
        <v>4639</v>
      </c>
      <c r="E895">
        <v>44.86</v>
      </c>
      <c r="F895" t="s">
        <v>1987</v>
      </c>
      <c r="G895">
        <v>32858</v>
      </c>
      <c r="H895" t="s">
        <v>2012</v>
      </c>
      <c r="I895" t="s">
        <v>2000</v>
      </c>
      <c r="J895" s="8">
        <v>5401</v>
      </c>
      <c r="K895">
        <v>5311</v>
      </c>
    </row>
    <row r="896" spans="1:12" x14ac:dyDescent="0.3">
      <c r="A896">
        <v>0</v>
      </c>
      <c r="B896">
        <v>8683290</v>
      </c>
      <c r="C896" s="13">
        <v>40476.550694444442</v>
      </c>
      <c r="D896">
        <v>4639</v>
      </c>
      <c r="E896">
        <v>396.83</v>
      </c>
      <c r="F896" t="s">
        <v>1987</v>
      </c>
      <c r="G896">
        <v>76639</v>
      </c>
      <c r="H896" t="s">
        <v>2006</v>
      </c>
      <c r="I896" t="s">
        <v>1990</v>
      </c>
      <c r="J896" s="8">
        <v>6010</v>
      </c>
      <c r="K896">
        <v>5732</v>
      </c>
    </row>
    <row r="897" spans="1:12" x14ac:dyDescent="0.3">
      <c r="A897">
        <v>0</v>
      </c>
      <c r="B897">
        <v>8683569</v>
      </c>
      <c r="C897" s="13">
        <v>40476.586805555555</v>
      </c>
      <c r="D897">
        <v>4639</v>
      </c>
      <c r="E897">
        <v>22.54</v>
      </c>
      <c r="F897" t="s">
        <v>1987</v>
      </c>
      <c r="G897">
        <v>24206</v>
      </c>
      <c r="H897" t="s">
        <v>2014</v>
      </c>
      <c r="I897" t="s">
        <v>2001</v>
      </c>
      <c r="J897" s="8">
        <v>4074</v>
      </c>
      <c r="K897">
        <v>4121</v>
      </c>
    </row>
    <row r="898" spans="1:12" x14ac:dyDescent="0.3">
      <c r="A898">
        <v>0</v>
      </c>
      <c r="B898">
        <v>8684143</v>
      </c>
      <c r="C898" s="13">
        <v>40476.677777777775</v>
      </c>
      <c r="D898">
        <v>4639</v>
      </c>
      <c r="E898">
        <v>57.21</v>
      </c>
      <c r="F898" t="s">
        <v>1987</v>
      </c>
      <c r="G898">
        <v>32635</v>
      </c>
      <c r="H898" t="s">
        <v>2014</v>
      </c>
      <c r="I898" t="s">
        <v>2001</v>
      </c>
      <c r="J898" s="8">
        <v>4074</v>
      </c>
      <c r="K898">
        <v>7230</v>
      </c>
    </row>
    <row r="899" spans="1:12" x14ac:dyDescent="0.3">
      <c r="A899">
        <v>0</v>
      </c>
      <c r="B899">
        <v>8685046</v>
      </c>
      <c r="C899" s="13">
        <v>40476.928472222222</v>
      </c>
      <c r="D899">
        <v>4639</v>
      </c>
      <c r="E899">
        <v>55.75</v>
      </c>
      <c r="F899" t="s">
        <v>1987</v>
      </c>
      <c r="G899">
        <v>32164</v>
      </c>
      <c r="H899" t="s">
        <v>2014</v>
      </c>
      <c r="I899" t="s">
        <v>2001</v>
      </c>
      <c r="J899" s="8">
        <v>4074</v>
      </c>
      <c r="K899">
        <v>5813</v>
      </c>
    </row>
    <row r="900" spans="1:12" x14ac:dyDescent="0.3">
      <c r="A900">
        <v>0</v>
      </c>
      <c r="B900">
        <v>8687259</v>
      </c>
      <c r="C900" s="13">
        <v>40477.522222222222</v>
      </c>
      <c r="D900">
        <v>4639</v>
      </c>
      <c r="E900">
        <v>-76</v>
      </c>
      <c r="F900" t="s">
        <v>1987</v>
      </c>
      <c r="G900">
        <v>43293</v>
      </c>
      <c r="H900" t="s">
        <v>2014</v>
      </c>
      <c r="I900" t="s">
        <v>2001</v>
      </c>
      <c r="J900" s="8">
        <v>4074</v>
      </c>
      <c r="K900">
        <v>5499</v>
      </c>
    </row>
    <row r="901" spans="1:12" x14ac:dyDescent="0.3">
      <c r="A901">
        <v>0</v>
      </c>
      <c r="B901">
        <v>8687299</v>
      </c>
      <c r="C901" s="13">
        <v>40477.526388888888</v>
      </c>
      <c r="D901">
        <v>4639</v>
      </c>
      <c r="E901">
        <v>76</v>
      </c>
      <c r="F901" t="s">
        <v>1987</v>
      </c>
      <c r="G901">
        <v>43293</v>
      </c>
      <c r="H901" t="s">
        <v>2014</v>
      </c>
      <c r="I901" t="s">
        <v>2001</v>
      </c>
      <c r="J901" s="8">
        <v>4074</v>
      </c>
      <c r="K901">
        <v>5499</v>
      </c>
    </row>
    <row r="902" spans="1:12" x14ac:dyDescent="0.3">
      <c r="A902">
        <v>0</v>
      </c>
      <c r="B902">
        <v>8687419</v>
      </c>
      <c r="C902" s="13">
        <v>40477.540277777778</v>
      </c>
      <c r="D902">
        <v>4639</v>
      </c>
      <c r="E902">
        <v>87.52</v>
      </c>
      <c r="F902" t="s">
        <v>1987</v>
      </c>
      <c r="G902">
        <v>43293</v>
      </c>
      <c r="H902" t="s">
        <v>2014</v>
      </c>
      <c r="I902" t="s">
        <v>2001</v>
      </c>
      <c r="J902" s="8">
        <v>4074</v>
      </c>
      <c r="K902">
        <v>5499</v>
      </c>
    </row>
    <row r="903" spans="1:12" x14ac:dyDescent="0.3">
      <c r="A903">
        <v>0</v>
      </c>
      <c r="B903">
        <v>8687519</v>
      </c>
      <c r="C903" s="13">
        <v>40477.553472222222</v>
      </c>
      <c r="D903">
        <v>4639</v>
      </c>
      <c r="E903">
        <v>39.07</v>
      </c>
      <c r="F903" t="s">
        <v>1987</v>
      </c>
      <c r="G903">
        <v>90865</v>
      </c>
      <c r="H903" t="s">
        <v>2025</v>
      </c>
      <c r="I903" t="s">
        <v>2001</v>
      </c>
      <c r="J903" s="8">
        <v>4254</v>
      </c>
      <c r="K903">
        <v>5311</v>
      </c>
      <c r="L903" t="s">
        <v>1988</v>
      </c>
    </row>
    <row r="904" spans="1:12" x14ac:dyDescent="0.3">
      <c r="A904">
        <v>0</v>
      </c>
      <c r="B904">
        <v>8687557</v>
      </c>
      <c r="C904" s="13">
        <v>40477.559027777781</v>
      </c>
      <c r="D904">
        <v>4639</v>
      </c>
      <c r="E904">
        <v>51.22</v>
      </c>
      <c r="F904" t="s">
        <v>1987</v>
      </c>
      <c r="G904">
        <v>90865</v>
      </c>
      <c r="H904" t="s">
        <v>2025</v>
      </c>
      <c r="I904" t="s">
        <v>2001</v>
      </c>
      <c r="J904" s="8">
        <v>4254</v>
      </c>
      <c r="K904">
        <v>5311</v>
      </c>
    </row>
    <row r="905" spans="1:12" x14ac:dyDescent="0.3">
      <c r="A905">
        <v>0</v>
      </c>
      <c r="B905">
        <v>8688910</v>
      </c>
      <c r="C905" s="13">
        <v>40477.822222222225</v>
      </c>
      <c r="D905">
        <v>4639</v>
      </c>
      <c r="E905">
        <v>7.08</v>
      </c>
      <c r="F905" t="s">
        <v>1987</v>
      </c>
      <c r="G905">
        <v>98648</v>
      </c>
      <c r="H905" t="s">
        <v>2014</v>
      </c>
      <c r="I905" t="s">
        <v>2001</v>
      </c>
      <c r="J905" s="8">
        <v>4074</v>
      </c>
      <c r="K905">
        <v>5814</v>
      </c>
    </row>
    <row r="906" spans="1:12" x14ac:dyDescent="0.3">
      <c r="A906">
        <v>0</v>
      </c>
      <c r="B906">
        <v>8693513</v>
      </c>
      <c r="C906" s="13">
        <v>40478.956250000003</v>
      </c>
      <c r="D906">
        <v>4639</v>
      </c>
      <c r="E906">
        <v>111.52</v>
      </c>
      <c r="F906" t="s">
        <v>1994</v>
      </c>
      <c r="G906">
        <v>51397</v>
      </c>
      <c r="H906" t="s">
        <v>1993</v>
      </c>
      <c r="I906" t="s">
        <v>3719</v>
      </c>
      <c r="J906" s="8" t="s">
        <v>3719</v>
      </c>
      <c r="K906">
        <v>5651</v>
      </c>
    </row>
    <row r="907" spans="1:12" x14ac:dyDescent="0.3">
      <c r="A907">
        <v>0</v>
      </c>
      <c r="B907">
        <v>8693709</v>
      </c>
      <c r="C907" s="13">
        <v>40479.140277777777</v>
      </c>
      <c r="D907">
        <v>4639</v>
      </c>
      <c r="E907">
        <v>42.55</v>
      </c>
      <c r="F907" t="s">
        <v>1994</v>
      </c>
      <c r="G907">
        <v>81759</v>
      </c>
      <c r="H907" t="s">
        <v>1993</v>
      </c>
      <c r="I907" t="s">
        <v>3719</v>
      </c>
      <c r="J907" s="8" t="s">
        <v>3719</v>
      </c>
      <c r="K907">
        <v>7349</v>
      </c>
    </row>
    <row r="908" spans="1:12" x14ac:dyDescent="0.3">
      <c r="A908">
        <v>0</v>
      </c>
      <c r="B908">
        <v>8693718</v>
      </c>
      <c r="C908" s="13">
        <v>40479.161805555559</v>
      </c>
      <c r="D908">
        <v>4639</v>
      </c>
      <c r="E908">
        <v>50.48</v>
      </c>
      <c r="F908" t="s">
        <v>1987</v>
      </c>
      <c r="G908">
        <v>68591</v>
      </c>
      <c r="H908" t="s">
        <v>2014</v>
      </c>
      <c r="I908" t="s">
        <v>2001</v>
      </c>
      <c r="J908" s="8">
        <v>4074</v>
      </c>
      <c r="K908">
        <v>7349</v>
      </c>
    </row>
    <row r="909" spans="1:12" x14ac:dyDescent="0.3">
      <c r="A909">
        <v>0</v>
      </c>
      <c r="B909">
        <v>8695680</v>
      </c>
      <c r="C909" s="13">
        <v>40479.506944444445</v>
      </c>
      <c r="D909">
        <v>4639</v>
      </c>
      <c r="E909">
        <v>95.57</v>
      </c>
      <c r="F909" t="s">
        <v>1987</v>
      </c>
      <c r="G909">
        <v>57053</v>
      </c>
      <c r="H909" t="s">
        <v>2014</v>
      </c>
      <c r="I909" t="s">
        <v>2001</v>
      </c>
      <c r="J909" s="8">
        <v>4074</v>
      </c>
      <c r="K909">
        <v>7538</v>
      </c>
    </row>
    <row r="910" spans="1:12" x14ac:dyDescent="0.3">
      <c r="A910">
        <v>0</v>
      </c>
      <c r="B910">
        <v>8696330</v>
      </c>
      <c r="C910" s="13">
        <v>40479.597222222219</v>
      </c>
      <c r="D910">
        <v>4639</v>
      </c>
      <c r="E910">
        <v>25.15</v>
      </c>
      <c r="F910" t="s">
        <v>1994</v>
      </c>
      <c r="G910">
        <v>16798</v>
      </c>
      <c r="H910" t="s">
        <v>1993</v>
      </c>
      <c r="I910" t="s">
        <v>3719</v>
      </c>
      <c r="J910" s="8" t="s">
        <v>3719</v>
      </c>
      <c r="K910">
        <v>4121</v>
      </c>
    </row>
    <row r="911" spans="1:12" x14ac:dyDescent="0.3">
      <c r="A911">
        <v>0</v>
      </c>
      <c r="B911">
        <v>8697541</v>
      </c>
      <c r="C911" s="13">
        <v>40479.832638888889</v>
      </c>
      <c r="D911">
        <v>4639</v>
      </c>
      <c r="E911">
        <v>8.93</v>
      </c>
      <c r="F911" t="s">
        <v>1987</v>
      </c>
      <c r="G911">
        <v>13153</v>
      </c>
      <c r="H911" t="s">
        <v>2014</v>
      </c>
      <c r="I911" t="s">
        <v>2001</v>
      </c>
      <c r="J911" s="8">
        <v>4074</v>
      </c>
      <c r="K911">
        <v>5812</v>
      </c>
    </row>
    <row r="912" spans="1:12" x14ac:dyDescent="0.3">
      <c r="A912">
        <v>0</v>
      </c>
      <c r="B912">
        <v>8698501</v>
      </c>
      <c r="C912" s="13">
        <v>40480.311805555553</v>
      </c>
      <c r="D912">
        <v>4639</v>
      </c>
      <c r="E912">
        <v>49.1</v>
      </c>
      <c r="F912" t="s">
        <v>1994</v>
      </c>
      <c r="G912">
        <v>88459</v>
      </c>
      <c r="H912" t="s">
        <v>1993</v>
      </c>
      <c r="I912" t="s">
        <v>3719</v>
      </c>
      <c r="J912" s="8" t="s">
        <v>3719</v>
      </c>
      <c r="K912">
        <v>5311</v>
      </c>
    </row>
    <row r="913" spans="1:11" x14ac:dyDescent="0.3">
      <c r="A913">
        <v>0</v>
      </c>
      <c r="B913">
        <v>8702232</v>
      </c>
      <c r="C913" s="13">
        <v>40481.291666666664</v>
      </c>
      <c r="D913">
        <v>4639</v>
      </c>
      <c r="E913">
        <v>105.38</v>
      </c>
      <c r="F913" t="s">
        <v>1987</v>
      </c>
      <c r="G913">
        <v>43925</v>
      </c>
      <c r="H913" t="s">
        <v>2014</v>
      </c>
      <c r="I913" t="s">
        <v>2001</v>
      </c>
      <c r="J913" s="8">
        <v>4074</v>
      </c>
      <c r="K913">
        <v>5411</v>
      </c>
    </row>
    <row r="914" spans="1:11" x14ac:dyDescent="0.3">
      <c r="A914">
        <v>0</v>
      </c>
      <c r="B914">
        <v>8703822</v>
      </c>
      <c r="C914" s="13">
        <v>40481.556250000001</v>
      </c>
      <c r="D914">
        <v>4639</v>
      </c>
      <c r="E914">
        <v>26.92</v>
      </c>
      <c r="F914" t="s">
        <v>1987</v>
      </c>
      <c r="G914">
        <v>16256</v>
      </c>
      <c r="H914" t="s">
        <v>2014</v>
      </c>
      <c r="I914" t="s">
        <v>2001</v>
      </c>
      <c r="J914" s="8">
        <v>4074</v>
      </c>
      <c r="K914">
        <v>5211</v>
      </c>
    </row>
    <row r="915" spans="1:11" x14ac:dyDescent="0.3">
      <c r="A915">
        <v>0</v>
      </c>
      <c r="B915">
        <v>8705281</v>
      </c>
      <c r="C915" s="13">
        <v>40481.826388888891</v>
      </c>
      <c r="D915">
        <v>4639</v>
      </c>
      <c r="E915">
        <v>9.16</v>
      </c>
      <c r="F915" t="s">
        <v>1987</v>
      </c>
      <c r="G915">
        <v>98648</v>
      </c>
      <c r="H915" t="s">
        <v>2014</v>
      </c>
      <c r="I915" t="s">
        <v>2001</v>
      </c>
      <c r="J915" s="8">
        <v>4074</v>
      </c>
      <c r="K915">
        <v>5814</v>
      </c>
    </row>
    <row r="916" spans="1:11" x14ac:dyDescent="0.3">
      <c r="A916">
        <v>0</v>
      </c>
      <c r="B916">
        <v>8705674</v>
      </c>
      <c r="C916" s="13">
        <v>40481.936805555553</v>
      </c>
      <c r="D916">
        <v>4639</v>
      </c>
      <c r="E916">
        <v>41.6</v>
      </c>
      <c r="F916" t="s">
        <v>1987</v>
      </c>
      <c r="G916">
        <v>32164</v>
      </c>
      <c r="H916" t="s">
        <v>2014</v>
      </c>
      <c r="I916" t="s">
        <v>2001</v>
      </c>
      <c r="J916" s="8">
        <v>4074</v>
      </c>
      <c r="K916">
        <v>5813</v>
      </c>
    </row>
    <row r="917" spans="1:11" x14ac:dyDescent="0.3">
      <c r="A917">
        <v>0</v>
      </c>
      <c r="B917">
        <v>8708603</v>
      </c>
      <c r="C917" s="13">
        <v>40482.618055555555</v>
      </c>
      <c r="D917">
        <v>4639</v>
      </c>
      <c r="E917">
        <v>14.99</v>
      </c>
      <c r="F917" t="s">
        <v>1987</v>
      </c>
      <c r="G917">
        <v>50783</v>
      </c>
      <c r="H917" t="s">
        <v>2023</v>
      </c>
      <c r="I917" t="s">
        <v>2001</v>
      </c>
      <c r="J917" s="8">
        <v>4085</v>
      </c>
      <c r="K917">
        <v>5411</v>
      </c>
    </row>
    <row r="918" spans="1:11" x14ac:dyDescent="0.3">
      <c r="A918">
        <v>0</v>
      </c>
      <c r="B918">
        <v>8709872</v>
      </c>
      <c r="C918" s="13">
        <v>40482.901388888888</v>
      </c>
      <c r="D918">
        <v>4639</v>
      </c>
      <c r="E918">
        <v>54.41</v>
      </c>
      <c r="F918" t="s">
        <v>1987</v>
      </c>
      <c r="G918">
        <v>32164</v>
      </c>
      <c r="H918" t="s">
        <v>2014</v>
      </c>
      <c r="I918" t="s">
        <v>2001</v>
      </c>
      <c r="J918" s="8">
        <v>4074</v>
      </c>
      <c r="K918">
        <v>5813</v>
      </c>
    </row>
    <row r="919" spans="1:11" x14ac:dyDescent="0.3">
      <c r="A919">
        <v>0</v>
      </c>
      <c r="B919">
        <v>8713852</v>
      </c>
      <c r="C919" s="13">
        <v>40483.81527777778</v>
      </c>
      <c r="D919">
        <v>4639</v>
      </c>
      <c r="E919">
        <v>6.97</v>
      </c>
      <c r="F919" t="s">
        <v>1987</v>
      </c>
      <c r="G919">
        <v>55060</v>
      </c>
      <c r="H919" t="s">
        <v>2014</v>
      </c>
      <c r="I919" t="s">
        <v>2001</v>
      </c>
      <c r="J919" s="8">
        <v>4074</v>
      </c>
      <c r="K919">
        <v>5812</v>
      </c>
    </row>
    <row r="920" spans="1:11" x14ac:dyDescent="0.3">
      <c r="A920">
        <v>0</v>
      </c>
      <c r="B920">
        <v>8714913</v>
      </c>
      <c r="C920" s="13">
        <v>40484.30972222222</v>
      </c>
      <c r="D920">
        <v>4639</v>
      </c>
      <c r="E920">
        <v>92.21</v>
      </c>
      <c r="F920" t="s">
        <v>1987</v>
      </c>
      <c r="G920">
        <v>28395</v>
      </c>
      <c r="H920" t="s">
        <v>2022</v>
      </c>
      <c r="I920" t="s">
        <v>2001</v>
      </c>
      <c r="J920" s="8">
        <v>4083</v>
      </c>
      <c r="K920">
        <v>5541</v>
      </c>
    </row>
    <row r="921" spans="1:11" x14ac:dyDescent="0.3">
      <c r="A921">
        <v>0</v>
      </c>
      <c r="B921">
        <v>8716607</v>
      </c>
      <c r="C921" s="13">
        <v>40484.545138888891</v>
      </c>
      <c r="D921">
        <v>4639</v>
      </c>
      <c r="E921">
        <v>22.28</v>
      </c>
      <c r="F921" t="s">
        <v>1994</v>
      </c>
      <c r="G921">
        <v>9932</v>
      </c>
      <c r="H921" t="s">
        <v>1993</v>
      </c>
      <c r="I921" t="s">
        <v>3719</v>
      </c>
      <c r="J921" s="8" t="s">
        <v>3719</v>
      </c>
      <c r="K921">
        <v>5311</v>
      </c>
    </row>
    <row r="922" spans="1:11" x14ac:dyDescent="0.3">
      <c r="A922">
        <v>0</v>
      </c>
      <c r="B922">
        <v>8716830</v>
      </c>
      <c r="C922" s="13">
        <v>40484.575694444444</v>
      </c>
      <c r="D922">
        <v>4639</v>
      </c>
      <c r="E922">
        <v>46.19</v>
      </c>
      <c r="F922" t="s">
        <v>1987</v>
      </c>
      <c r="G922">
        <v>26593</v>
      </c>
      <c r="H922" t="s">
        <v>2014</v>
      </c>
      <c r="I922" t="s">
        <v>2001</v>
      </c>
      <c r="J922" s="8">
        <v>4074</v>
      </c>
      <c r="K922">
        <v>5300</v>
      </c>
    </row>
    <row r="923" spans="1:11" x14ac:dyDescent="0.3">
      <c r="A923">
        <v>0</v>
      </c>
      <c r="B923">
        <v>8720629</v>
      </c>
      <c r="C923" s="13">
        <v>40485.511805555558</v>
      </c>
      <c r="D923">
        <v>4639</v>
      </c>
      <c r="E923">
        <v>79.489999999999995</v>
      </c>
      <c r="F923" t="s">
        <v>1987</v>
      </c>
      <c r="G923">
        <v>32175</v>
      </c>
      <c r="H923" t="s">
        <v>2002</v>
      </c>
      <c r="I923" t="s">
        <v>2001</v>
      </c>
      <c r="J923" s="8">
        <v>4103</v>
      </c>
      <c r="K923">
        <v>7538</v>
      </c>
    </row>
    <row r="924" spans="1:11" x14ac:dyDescent="0.3">
      <c r="A924">
        <v>0</v>
      </c>
      <c r="B924">
        <v>8720877</v>
      </c>
      <c r="C924" s="13">
        <v>40485.546527777777</v>
      </c>
      <c r="D924">
        <v>4639</v>
      </c>
      <c r="E924">
        <v>32.56</v>
      </c>
      <c r="F924" t="s">
        <v>1987</v>
      </c>
      <c r="G924">
        <v>32858</v>
      </c>
      <c r="H924" t="s">
        <v>2012</v>
      </c>
      <c r="I924" t="s">
        <v>2000</v>
      </c>
      <c r="J924" s="8">
        <v>5401</v>
      </c>
      <c r="K924">
        <v>5311</v>
      </c>
    </row>
    <row r="925" spans="1:11" x14ac:dyDescent="0.3">
      <c r="A925">
        <v>0</v>
      </c>
      <c r="B925">
        <v>8721241</v>
      </c>
      <c r="C925" s="13">
        <v>40485.599305555559</v>
      </c>
      <c r="D925">
        <v>4639</v>
      </c>
      <c r="E925">
        <v>23.82</v>
      </c>
      <c r="F925" t="s">
        <v>1994</v>
      </c>
      <c r="G925">
        <v>18563</v>
      </c>
      <c r="H925" t="s">
        <v>1993</v>
      </c>
      <c r="I925" t="s">
        <v>3719</v>
      </c>
      <c r="J925" s="8" t="s">
        <v>3719</v>
      </c>
      <c r="K925">
        <v>4121</v>
      </c>
    </row>
    <row r="926" spans="1:11" x14ac:dyDescent="0.3">
      <c r="A926">
        <v>0</v>
      </c>
      <c r="B926">
        <v>8722139</v>
      </c>
      <c r="C926" s="13">
        <v>40485.750694444447</v>
      </c>
      <c r="D926">
        <v>4639</v>
      </c>
      <c r="E926">
        <v>171.38</v>
      </c>
      <c r="F926" t="s">
        <v>1987</v>
      </c>
      <c r="G926">
        <v>11809</v>
      </c>
      <c r="H926" t="s">
        <v>2014</v>
      </c>
      <c r="I926" t="s">
        <v>2001</v>
      </c>
      <c r="J926" s="8">
        <v>4074</v>
      </c>
      <c r="K926">
        <v>8011</v>
      </c>
    </row>
    <row r="927" spans="1:11" x14ac:dyDescent="0.3">
      <c r="A927">
        <v>0</v>
      </c>
      <c r="B927">
        <v>8722733</v>
      </c>
      <c r="C927" s="13">
        <v>40485.934027777781</v>
      </c>
      <c r="D927">
        <v>4639</v>
      </c>
      <c r="E927">
        <v>60.89</v>
      </c>
      <c r="F927" t="s">
        <v>1987</v>
      </c>
      <c r="G927">
        <v>32164</v>
      </c>
      <c r="H927" t="s">
        <v>2014</v>
      </c>
      <c r="I927" t="s">
        <v>2001</v>
      </c>
      <c r="J927" s="8">
        <v>4074</v>
      </c>
      <c r="K927">
        <v>5813</v>
      </c>
    </row>
    <row r="928" spans="1:11" x14ac:dyDescent="0.3">
      <c r="A928">
        <v>0</v>
      </c>
      <c r="B928">
        <v>8726625</v>
      </c>
      <c r="C928" s="13">
        <v>40486.794444444444</v>
      </c>
      <c r="D928">
        <v>4639</v>
      </c>
      <c r="E928">
        <v>8.01</v>
      </c>
      <c r="F928" t="s">
        <v>1987</v>
      </c>
      <c r="G928">
        <v>98648</v>
      </c>
      <c r="H928" t="s">
        <v>2014</v>
      </c>
      <c r="I928" t="s">
        <v>2001</v>
      </c>
      <c r="J928" s="8">
        <v>4074</v>
      </c>
      <c r="K928">
        <v>5814</v>
      </c>
    </row>
    <row r="929" spans="1:11" x14ac:dyDescent="0.3">
      <c r="A929">
        <v>0</v>
      </c>
      <c r="B929">
        <v>8726777</v>
      </c>
      <c r="C929" s="13">
        <v>40486.836805555555</v>
      </c>
      <c r="D929">
        <v>4639</v>
      </c>
      <c r="E929">
        <v>6.83</v>
      </c>
      <c r="F929" t="s">
        <v>1987</v>
      </c>
      <c r="G929">
        <v>55060</v>
      </c>
      <c r="H929" t="s">
        <v>2014</v>
      </c>
      <c r="I929" t="s">
        <v>2001</v>
      </c>
      <c r="J929" s="8">
        <v>4074</v>
      </c>
      <c r="K929">
        <v>5812</v>
      </c>
    </row>
    <row r="930" spans="1:11" x14ac:dyDescent="0.3">
      <c r="A930">
        <v>0</v>
      </c>
      <c r="B930">
        <v>8728731</v>
      </c>
      <c r="C930" s="13">
        <v>40487.474305555559</v>
      </c>
      <c r="D930">
        <v>4639</v>
      </c>
      <c r="E930">
        <v>25.42</v>
      </c>
      <c r="F930" t="s">
        <v>1987</v>
      </c>
      <c r="G930">
        <v>83271</v>
      </c>
      <c r="H930" t="s">
        <v>2002</v>
      </c>
      <c r="I930" t="s">
        <v>2001</v>
      </c>
      <c r="J930" s="8">
        <v>4103</v>
      </c>
      <c r="K930">
        <v>4214</v>
      </c>
    </row>
    <row r="931" spans="1:11" x14ac:dyDescent="0.3">
      <c r="A931">
        <v>0</v>
      </c>
      <c r="B931">
        <v>8729945</v>
      </c>
      <c r="C931" s="13">
        <v>40487.665277777778</v>
      </c>
      <c r="D931">
        <v>4639</v>
      </c>
      <c r="E931">
        <v>62.68</v>
      </c>
      <c r="F931" t="s">
        <v>1987</v>
      </c>
      <c r="G931">
        <v>32635</v>
      </c>
      <c r="H931" t="s">
        <v>2014</v>
      </c>
      <c r="I931" t="s">
        <v>2001</v>
      </c>
      <c r="J931" s="8">
        <v>4074</v>
      </c>
      <c r="K931">
        <v>7230</v>
      </c>
    </row>
    <row r="932" spans="1:11" x14ac:dyDescent="0.3">
      <c r="A932">
        <v>1</v>
      </c>
      <c r="B932">
        <v>7477094</v>
      </c>
      <c r="C932" s="13">
        <v>40179.498611111114</v>
      </c>
      <c r="D932">
        <v>4652</v>
      </c>
      <c r="E932">
        <v>15.09</v>
      </c>
      <c r="F932" t="s">
        <v>1987</v>
      </c>
      <c r="G932">
        <v>17708</v>
      </c>
      <c r="H932" t="s">
        <v>2013</v>
      </c>
      <c r="I932" t="s">
        <v>1995</v>
      </c>
      <c r="J932" s="8">
        <v>32504</v>
      </c>
      <c r="K932">
        <v>4121</v>
      </c>
    </row>
    <row r="933" spans="1:11" x14ac:dyDescent="0.3">
      <c r="A933">
        <v>1</v>
      </c>
      <c r="B933">
        <v>7477168</v>
      </c>
      <c r="C933" s="13">
        <v>40179.507638888892</v>
      </c>
      <c r="D933">
        <v>3682</v>
      </c>
      <c r="E933">
        <v>6.01</v>
      </c>
      <c r="F933" t="s">
        <v>1987</v>
      </c>
      <c r="G933">
        <v>72812</v>
      </c>
      <c r="H933" t="s">
        <v>2013</v>
      </c>
      <c r="I933" t="s">
        <v>1995</v>
      </c>
      <c r="J933" s="8">
        <v>32504</v>
      </c>
      <c r="K933">
        <v>5813</v>
      </c>
    </row>
    <row r="934" spans="1:11" x14ac:dyDescent="0.3">
      <c r="A934">
        <v>1</v>
      </c>
      <c r="B934">
        <v>7477216</v>
      </c>
      <c r="C934" s="13">
        <v>40179.512499999997</v>
      </c>
      <c r="D934">
        <v>3682</v>
      </c>
      <c r="E934">
        <v>14.58</v>
      </c>
      <c r="F934" t="s">
        <v>1994</v>
      </c>
      <c r="G934">
        <v>18563</v>
      </c>
      <c r="H934" t="s">
        <v>1993</v>
      </c>
      <c r="I934" t="s">
        <v>3719</v>
      </c>
      <c r="J934" s="8" t="s">
        <v>3719</v>
      </c>
      <c r="K934">
        <v>4121</v>
      </c>
    </row>
    <row r="935" spans="1:11" x14ac:dyDescent="0.3">
      <c r="A935">
        <v>1</v>
      </c>
      <c r="B935">
        <v>7477978</v>
      </c>
      <c r="C935" s="13">
        <v>40179.631249999999</v>
      </c>
      <c r="D935">
        <v>4652</v>
      </c>
      <c r="E935">
        <v>14.66</v>
      </c>
      <c r="F935" t="s">
        <v>1994</v>
      </c>
      <c r="G935">
        <v>18563</v>
      </c>
      <c r="H935" t="s">
        <v>1993</v>
      </c>
      <c r="I935" t="s">
        <v>3719</v>
      </c>
      <c r="J935" s="8" t="s">
        <v>3719</v>
      </c>
      <c r="K935">
        <v>4121</v>
      </c>
    </row>
    <row r="936" spans="1:11" x14ac:dyDescent="0.3">
      <c r="A936">
        <v>1</v>
      </c>
      <c r="B936">
        <v>7478279</v>
      </c>
      <c r="C936" s="13">
        <v>40179.68472222222</v>
      </c>
      <c r="D936">
        <v>4652</v>
      </c>
      <c r="E936">
        <v>22.77</v>
      </c>
      <c r="F936" t="s">
        <v>1987</v>
      </c>
      <c r="G936">
        <v>17708</v>
      </c>
      <c r="H936" t="s">
        <v>2013</v>
      </c>
      <c r="I936" t="s">
        <v>1995</v>
      </c>
      <c r="J936" s="8">
        <v>32504</v>
      </c>
      <c r="K936">
        <v>4121</v>
      </c>
    </row>
    <row r="937" spans="1:11" x14ac:dyDescent="0.3">
      <c r="A937">
        <v>1</v>
      </c>
      <c r="B937">
        <v>7479209</v>
      </c>
      <c r="C937" s="13">
        <v>40179.90902777778</v>
      </c>
      <c r="D937">
        <v>4652</v>
      </c>
      <c r="E937">
        <v>64.67</v>
      </c>
      <c r="F937" t="s">
        <v>1987</v>
      </c>
      <c r="G937">
        <v>73706</v>
      </c>
      <c r="H937" t="s">
        <v>2013</v>
      </c>
      <c r="I937" t="s">
        <v>1995</v>
      </c>
      <c r="J937" s="8">
        <v>32504</v>
      </c>
      <c r="K937">
        <v>5812</v>
      </c>
    </row>
    <row r="938" spans="1:11" x14ac:dyDescent="0.3">
      <c r="A938">
        <v>1</v>
      </c>
      <c r="B938">
        <v>7480924</v>
      </c>
      <c r="C938" s="13">
        <v>40180.495138888888</v>
      </c>
      <c r="D938">
        <v>4652</v>
      </c>
      <c r="E938">
        <v>16.489999999999998</v>
      </c>
      <c r="F938" t="s">
        <v>1994</v>
      </c>
      <c r="G938">
        <v>18563</v>
      </c>
      <c r="H938" t="s">
        <v>1993</v>
      </c>
      <c r="I938" t="s">
        <v>3719</v>
      </c>
      <c r="J938" s="8" t="s">
        <v>3719</v>
      </c>
      <c r="K938">
        <v>4121</v>
      </c>
    </row>
    <row r="939" spans="1:11" x14ac:dyDescent="0.3">
      <c r="A939">
        <v>1</v>
      </c>
      <c r="B939">
        <v>7482057</v>
      </c>
      <c r="C939" s="13">
        <v>40180.685416666667</v>
      </c>
      <c r="D939">
        <v>3682</v>
      </c>
      <c r="E939">
        <v>14.36</v>
      </c>
      <c r="F939" t="s">
        <v>1994</v>
      </c>
      <c r="G939">
        <v>18563</v>
      </c>
      <c r="H939" t="s">
        <v>1993</v>
      </c>
      <c r="I939" t="s">
        <v>3719</v>
      </c>
      <c r="J939" s="8" t="s">
        <v>3719</v>
      </c>
      <c r="K939">
        <v>4121</v>
      </c>
    </row>
    <row r="940" spans="1:11" x14ac:dyDescent="0.3">
      <c r="A940">
        <v>1</v>
      </c>
      <c r="B940">
        <v>7485953</v>
      </c>
      <c r="C940" s="13">
        <v>40181.670138888891</v>
      </c>
      <c r="D940">
        <v>4652</v>
      </c>
      <c r="E940">
        <v>13.95</v>
      </c>
      <c r="F940" t="s">
        <v>1994</v>
      </c>
      <c r="G940">
        <v>16798</v>
      </c>
      <c r="H940" t="s">
        <v>1993</v>
      </c>
      <c r="I940" t="s">
        <v>3719</v>
      </c>
      <c r="J940" s="8" t="s">
        <v>3719</v>
      </c>
      <c r="K940">
        <v>4121</v>
      </c>
    </row>
    <row r="941" spans="1:11" x14ac:dyDescent="0.3">
      <c r="A941">
        <v>1</v>
      </c>
      <c r="B941">
        <v>7488721</v>
      </c>
      <c r="C941" s="13">
        <v>40182.481944444444</v>
      </c>
      <c r="D941">
        <v>3682</v>
      </c>
      <c r="E941">
        <v>15.5</v>
      </c>
      <c r="F941" t="s">
        <v>1987</v>
      </c>
      <c r="G941">
        <v>17708</v>
      </c>
      <c r="H941" t="s">
        <v>2013</v>
      </c>
      <c r="I941" t="s">
        <v>1995</v>
      </c>
      <c r="J941" s="8">
        <v>32504</v>
      </c>
      <c r="K941">
        <v>4121</v>
      </c>
    </row>
    <row r="942" spans="1:11" x14ac:dyDescent="0.3">
      <c r="A942">
        <v>1</v>
      </c>
      <c r="B942">
        <v>7488884</v>
      </c>
      <c r="C942" s="13">
        <v>40182.504861111112</v>
      </c>
      <c r="D942">
        <v>4652</v>
      </c>
      <c r="E942">
        <v>5.34</v>
      </c>
      <c r="F942" t="s">
        <v>1987</v>
      </c>
      <c r="G942">
        <v>72812</v>
      </c>
      <c r="H942" t="s">
        <v>2013</v>
      </c>
      <c r="I942" t="s">
        <v>1995</v>
      </c>
      <c r="J942" s="8">
        <v>32504</v>
      </c>
      <c r="K942">
        <v>5813</v>
      </c>
    </row>
    <row r="943" spans="1:11" x14ac:dyDescent="0.3">
      <c r="A943">
        <v>1</v>
      </c>
      <c r="B943">
        <v>7490041</v>
      </c>
      <c r="C943" s="13">
        <v>40182.686111111114</v>
      </c>
      <c r="D943">
        <v>3682</v>
      </c>
      <c r="E943">
        <v>15.33</v>
      </c>
      <c r="F943" t="s">
        <v>1987</v>
      </c>
      <c r="G943">
        <v>17708</v>
      </c>
      <c r="H943" t="s">
        <v>2013</v>
      </c>
      <c r="I943" t="s">
        <v>1995</v>
      </c>
      <c r="J943" s="8">
        <v>32504</v>
      </c>
      <c r="K943">
        <v>4121</v>
      </c>
    </row>
    <row r="944" spans="1:11" x14ac:dyDescent="0.3">
      <c r="A944">
        <v>1</v>
      </c>
      <c r="B944">
        <v>7492473</v>
      </c>
      <c r="C944" s="13">
        <v>40183.459027777775</v>
      </c>
      <c r="D944">
        <v>3682</v>
      </c>
      <c r="E944">
        <v>9.49</v>
      </c>
      <c r="F944" t="s">
        <v>1987</v>
      </c>
      <c r="G944">
        <v>75781</v>
      </c>
      <c r="H944" t="s">
        <v>2013</v>
      </c>
      <c r="I944" t="s">
        <v>1995</v>
      </c>
      <c r="J944" s="8">
        <v>32504</v>
      </c>
      <c r="K944">
        <v>5411</v>
      </c>
    </row>
    <row r="945" spans="1:11" x14ac:dyDescent="0.3">
      <c r="A945">
        <v>1</v>
      </c>
      <c r="B945">
        <v>7492630</v>
      </c>
      <c r="C945" s="13">
        <v>40183.481944444444</v>
      </c>
      <c r="D945">
        <v>4652</v>
      </c>
      <c r="E945">
        <v>13.94</v>
      </c>
      <c r="F945" t="s">
        <v>1994</v>
      </c>
      <c r="G945">
        <v>16798</v>
      </c>
      <c r="H945" t="s">
        <v>1993</v>
      </c>
      <c r="I945" t="s">
        <v>3719</v>
      </c>
      <c r="J945" s="8" t="s">
        <v>3719</v>
      </c>
      <c r="K945">
        <v>4121</v>
      </c>
    </row>
    <row r="946" spans="1:11" x14ac:dyDescent="0.3">
      <c r="A946">
        <v>1</v>
      </c>
      <c r="B946">
        <v>7493942</v>
      </c>
      <c r="C946" s="13">
        <v>40183.681250000001</v>
      </c>
      <c r="D946">
        <v>4652</v>
      </c>
      <c r="E946">
        <v>17.29</v>
      </c>
      <c r="F946" t="s">
        <v>1994</v>
      </c>
      <c r="G946">
        <v>16798</v>
      </c>
      <c r="H946" t="s">
        <v>1993</v>
      </c>
      <c r="I946" t="s">
        <v>3719</v>
      </c>
      <c r="J946" s="8" t="s">
        <v>3719</v>
      </c>
      <c r="K946">
        <v>4121</v>
      </c>
    </row>
    <row r="947" spans="1:11" x14ac:dyDescent="0.3">
      <c r="A947">
        <v>1</v>
      </c>
      <c r="B947">
        <v>7497811</v>
      </c>
      <c r="C947" s="13">
        <v>40184.65347222222</v>
      </c>
      <c r="D947">
        <v>4652</v>
      </c>
      <c r="E947">
        <v>15.99</v>
      </c>
      <c r="F947" t="s">
        <v>1987</v>
      </c>
      <c r="G947">
        <v>17708</v>
      </c>
      <c r="H947" t="s">
        <v>2013</v>
      </c>
      <c r="I947" t="s">
        <v>1995</v>
      </c>
      <c r="J947" s="8">
        <v>32504</v>
      </c>
      <c r="K947">
        <v>4121</v>
      </c>
    </row>
    <row r="948" spans="1:11" x14ac:dyDescent="0.3">
      <c r="A948">
        <v>1</v>
      </c>
      <c r="B948">
        <v>7500634</v>
      </c>
      <c r="C948" s="13">
        <v>40185.481249999997</v>
      </c>
      <c r="D948">
        <v>3682</v>
      </c>
      <c r="E948">
        <v>14.79</v>
      </c>
      <c r="F948" t="s">
        <v>1994</v>
      </c>
      <c r="G948">
        <v>18563</v>
      </c>
      <c r="H948" t="s">
        <v>1993</v>
      </c>
      <c r="I948" t="s">
        <v>3719</v>
      </c>
      <c r="J948" s="8" t="s">
        <v>3719</v>
      </c>
      <c r="K948">
        <v>4121</v>
      </c>
    </row>
    <row r="949" spans="1:11" x14ac:dyDescent="0.3">
      <c r="A949">
        <v>1</v>
      </c>
      <c r="B949">
        <v>7502148</v>
      </c>
      <c r="C949" s="13">
        <v>40185.720138888886</v>
      </c>
      <c r="D949">
        <v>3682</v>
      </c>
      <c r="E949">
        <v>8.94</v>
      </c>
      <c r="F949" t="s">
        <v>1994</v>
      </c>
      <c r="G949">
        <v>16798</v>
      </c>
      <c r="H949" t="s">
        <v>1993</v>
      </c>
      <c r="I949" t="s">
        <v>3719</v>
      </c>
      <c r="J949" s="8" t="s">
        <v>3719</v>
      </c>
      <c r="K949">
        <v>4121</v>
      </c>
    </row>
    <row r="950" spans="1:11" x14ac:dyDescent="0.3">
      <c r="A950">
        <v>1</v>
      </c>
      <c r="B950">
        <v>7502303</v>
      </c>
      <c r="C950" s="13">
        <v>40185.765972222223</v>
      </c>
      <c r="D950">
        <v>3682</v>
      </c>
      <c r="E950">
        <v>53.69</v>
      </c>
      <c r="F950" t="s">
        <v>1987</v>
      </c>
      <c r="G950">
        <v>60569</v>
      </c>
      <c r="H950" t="s">
        <v>2013</v>
      </c>
      <c r="I950" t="s">
        <v>1995</v>
      </c>
      <c r="J950" s="8">
        <v>32534</v>
      </c>
      <c r="K950">
        <v>5300</v>
      </c>
    </row>
    <row r="951" spans="1:11" x14ac:dyDescent="0.3">
      <c r="A951">
        <v>1</v>
      </c>
      <c r="B951">
        <v>7504336</v>
      </c>
      <c r="C951" s="13">
        <v>40186.48541666667</v>
      </c>
      <c r="D951">
        <v>4652</v>
      </c>
      <c r="E951">
        <v>13.16</v>
      </c>
      <c r="F951" t="s">
        <v>1987</v>
      </c>
      <c r="G951">
        <v>17708</v>
      </c>
      <c r="H951" t="s">
        <v>2013</v>
      </c>
      <c r="I951" t="s">
        <v>1995</v>
      </c>
      <c r="J951" s="8">
        <v>32504</v>
      </c>
      <c r="K951">
        <v>4121</v>
      </c>
    </row>
    <row r="952" spans="1:11" x14ac:dyDescent="0.3">
      <c r="A952">
        <v>1</v>
      </c>
      <c r="B952">
        <v>7505408</v>
      </c>
      <c r="C952" s="13">
        <v>40186.667361111111</v>
      </c>
      <c r="D952">
        <v>3682</v>
      </c>
      <c r="E952">
        <v>16.09</v>
      </c>
      <c r="F952" t="s">
        <v>1987</v>
      </c>
      <c r="G952">
        <v>17708</v>
      </c>
      <c r="H952" t="s">
        <v>2013</v>
      </c>
      <c r="I952" t="s">
        <v>1995</v>
      </c>
      <c r="J952" s="8">
        <v>32504</v>
      </c>
      <c r="K952">
        <v>4121</v>
      </c>
    </row>
    <row r="953" spans="1:11" x14ac:dyDescent="0.3">
      <c r="A953">
        <v>1</v>
      </c>
      <c r="B953">
        <v>7506117</v>
      </c>
      <c r="C953" s="13">
        <v>40186.834722222222</v>
      </c>
      <c r="D953">
        <v>3682</v>
      </c>
      <c r="E953">
        <v>488</v>
      </c>
      <c r="F953" t="s">
        <v>1994</v>
      </c>
      <c r="G953">
        <v>13348</v>
      </c>
      <c r="H953" t="s">
        <v>1993</v>
      </c>
      <c r="I953" t="s">
        <v>3719</v>
      </c>
      <c r="J953" s="8" t="s">
        <v>3719</v>
      </c>
      <c r="K953">
        <v>4722</v>
      </c>
    </row>
    <row r="954" spans="1:11" x14ac:dyDescent="0.3">
      <c r="A954">
        <v>1</v>
      </c>
      <c r="B954">
        <v>7507964</v>
      </c>
      <c r="C954" s="13">
        <v>40187.466666666667</v>
      </c>
      <c r="D954">
        <v>3682</v>
      </c>
      <c r="E954">
        <v>15.77</v>
      </c>
      <c r="F954" t="s">
        <v>1994</v>
      </c>
      <c r="G954">
        <v>16798</v>
      </c>
      <c r="H954" t="s">
        <v>1993</v>
      </c>
      <c r="I954" t="s">
        <v>3719</v>
      </c>
      <c r="J954" s="8" t="s">
        <v>3719</v>
      </c>
      <c r="K954">
        <v>4121</v>
      </c>
    </row>
    <row r="955" spans="1:11" x14ac:dyDescent="0.3">
      <c r="A955">
        <v>1</v>
      </c>
      <c r="B955">
        <v>7509153</v>
      </c>
      <c r="C955" s="13">
        <v>40187.667361111111</v>
      </c>
      <c r="D955">
        <v>3682</v>
      </c>
      <c r="E955">
        <v>19.91</v>
      </c>
      <c r="F955" t="s">
        <v>1987</v>
      </c>
      <c r="G955">
        <v>73802</v>
      </c>
      <c r="H955" t="s">
        <v>2007</v>
      </c>
      <c r="I955" t="s">
        <v>1991</v>
      </c>
      <c r="J955" s="8">
        <v>14224</v>
      </c>
      <c r="K955">
        <v>4121</v>
      </c>
    </row>
    <row r="956" spans="1:11" x14ac:dyDescent="0.3">
      <c r="A956">
        <v>1</v>
      </c>
      <c r="B956">
        <v>7511944</v>
      </c>
      <c r="C956" s="13">
        <v>40188.472222222219</v>
      </c>
      <c r="D956">
        <v>3682</v>
      </c>
      <c r="E956">
        <v>8.93</v>
      </c>
      <c r="F956" t="s">
        <v>1987</v>
      </c>
      <c r="G956">
        <v>59397</v>
      </c>
      <c r="H956" t="s">
        <v>2007</v>
      </c>
      <c r="I956" t="s">
        <v>1991</v>
      </c>
      <c r="J956" s="8">
        <v>14224</v>
      </c>
      <c r="K956">
        <v>5812</v>
      </c>
    </row>
    <row r="957" spans="1:11" x14ac:dyDescent="0.3">
      <c r="A957">
        <v>1</v>
      </c>
      <c r="B957">
        <v>7511951</v>
      </c>
      <c r="C957" s="13">
        <v>40188.473611111112</v>
      </c>
      <c r="D957">
        <v>4652</v>
      </c>
      <c r="E957">
        <v>15.24</v>
      </c>
      <c r="F957" t="s">
        <v>1994</v>
      </c>
      <c r="G957">
        <v>18563</v>
      </c>
      <c r="H957" t="s">
        <v>1993</v>
      </c>
      <c r="I957" t="s">
        <v>3719</v>
      </c>
      <c r="J957" s="8" t="s">
        <v>3719</v>
      </c>
      <c r="K957">
        <v>4121</v>
      </c>
    </row>
    <row r="958" spans="1:11" x14ac:dyDescent="0.3">
      <c r="A958">
        <v>1</v>
      </c>
      <c r="B958">
        <v>7512023</v>
      </c>
      <c r="C958" s="13">
        <v>40188.484027777777</v>
      </c>
      <c r="D958">
        <v>4652</v>
      </c>
      <c r="E958">
        <v>16.57</v>
      </c>
      <c r="F958" t="s">
        <v>1987</v>
      </c>
      <c r="G958">
        <v>73802</v>
      </c>
      <c r="H958" t="s">
        <v>2007</v>
      </c>
      <c r="I958" t="s">
        <v>1991</v>
      </c>
      <c r="J958" s="8">
        <v>14224</v>
      </c>
      <c r="K958">
        <v>4121</v>
      </c>
    </row>
    <row r="959" spans="1:11" x14ac:dyDescent="0.3">
      <c r="A959">
        <v>1</v>
      </c>
      <c r="B959">
        <v>7513020</v>
      </c>
      <c r="C959" s="13">
        <v>40188.632638888892</v>
      </c>
      <c r="D959">
        <v>4652</v>
      </c>
      <c r="E959">
        <v>15.79</v>
      </c>
      <c r="F959" t="s">
        <v>1994</v>
      </c>
      <c r="G959">
        <v>18563</v>
      </c>
      <c r="H959" t="s">
        <v>1993</v>
      </c>
      <c r="I959" t="s">
        <v>3719</v>
      </c>
      <c r="J959" s="8" t="s">
        <v>3719</v>
      </c>
      <c r="K959">
        <v>4121</v>
      </c>
    </row>
    <row r="960" spans="1:11" x14ac:dyDescent="0.3">
      <c r="A960">
        <v>1</v>
      </c>
      <c r="B960">
        <v>7513267</v>
      </c>
      <c r="C960" s="13">
        <v>40188.67083333333</v>
      </c>
      <c r="D960">
        <v>3682</v>
      </c>
      <c r="E960">
        <v>9.94</v>
      </c>
      <c r="F960" t="s">
        <v>1987</v>
      </c>
      <c r="G960">
        <v>73802</v>
      </c>
      <c r="H960" t="s">
        <v>2007</v>
      </c>
      <c r="I960" t="s">
        <v>1991</v>
      </c>
      <c r="J960" s="8">
        <v>14224</v>
      </c>
      <c r="K960">
        <v>4121</v>
      </c>
    </row>
    <row r="961" spans="1:11" x14ac:dyDescent="0.3">
      <c r="A961">
        <v>1</v>
      </c>
      <c r="B961">
        <v>7514353</v>
      </c>
      <c r="C961" s="13">
        <v>40189.042361111111</v>
      </c>
      <c r="D961">
        <v>3682</v>
      </c>
      <c r="E961">
        <v>-488</v>
      </c>
      <c r="F961" t="s">
        <v>1994</v>
      </c>
      <c r="G961">
        <v>13348</v>
      </c>
      <c r="H961" t="s">
        <v>1993</v>
      </c>
      <c r="I961" t="s">
        <v>3719</v>
      </c>
      <c r="J961" s="8" t="s">
        <v>3719</v>
      </c>
      <c r="K961">
        <v>4722</v>
      </c>
    </row>
    <row r="962" spans="1:11" x14ac:dyDescent="0.3">
      <c r="A962">
        <v>1</v>
      </c>
      <c r="B962">
        <v>7514364</v>
      </c>
      <c r="C962" s="13">
        <v>40189.052777777775</v>
      </c>
      <c r="D962">
        <v>3682</v>
      </c>
      <c r="E962">
        <v>268.39</v>
      </c>
      <c r="F962" t="s">
        <v>1994</v>
      </c>
      <c r="G962">
        <v>13348</v>
      </c>
      <c r="H962" t="s">
        <v>1993</v>
      </c>
      <c r="I962" t="s">
        <v>3719</v>
      </c>
      <c r="J962" s="8" t="s">
        <v>3719</v>
      </c>
      <c r="K962">
        <v>4722</v>
      </c>
    </row>
    <row r="963" spans="1:11" x14ac:dyDescent="0.3">
      <c r="A963">
        <v>1</v>
      </c>
      <c r="B963">
        <v>7515910</v>
      </c>
      <c r="C963" s="13">
        <v>40189.467361111114</v>
      </c>
      <c r="D963">
        <v>3682</v>
      </c>
      <c r="E963">
        <v>17.579999999999998</v>
      </c>
      <c r="F963" t="s">
        <v>1987</v>
      </c>
      <c r="G963">
        <v>17708</v>
      </c>
      <c r="H963" t="s">
        <v>2013</v>
      </c>
      <c r="I963" t="s">
        <v>1995</v>
      </c>
      <c r="J963" s="8">
        <v>32504</v>
      </c>
      <c r="K963">
        <v>4121</v>
      </c>
    </row>
    <row r="964" spans="1:11" x14ac:dyDescent="0.3">
      <c r="A964">
        <v>1</v>
      </c>
      <c r="B964">
        <v>7516051</v>
      </c>
      <c r="C964" s="13">
        <v>40189.488194444442</v>
      </c>
      <c r="D964">
        <v>4652</v>
      </c>
      <c r="E964">
        <v>167.02</v>
      </c>
      <c r="F964" t="s">
        <v>1994</v>
      </c>
      <c r="G964">
        <v>32480</v>
      </c>
      <c r="H964" t="s">
        <v>1993</v>
      </c>
      <c r="I964" t="s">
        <v>3719</v>
      </c>
      <c r="J964" s="8" t="s">
        <v>3719</v>
      </c>
      <c r="K964">
        <v>4899</v>
      </c>
    </row>
    <row r="965" spans="1:11" x14ac:dyDescent="0.3">
      <c r="A965">
        <v>1</v>
      </c>
      <c r="B965">
        <v>7517207</v>
      </c>
      <c r="C965" s="13">
        <v>40189.663194444445</v>
      </c>
      <c r="D965">
        <v>4652</v>
      </c>
      <c r="E965">
        <v>128.01</v>
      </c>
      <c r="F965" t="s">
        <v>1987</v>
      </c>
      <c r="G965">
        <v>93403</v>
      </c>
      <c r="H965" t="s">
        <v>2013</v>
      </c>
      <c r="I965" t="s">
        <v>1995</v>
      </c>
      <c r="J965" s="8">
        <v>32504</v>
      </c>
      <c r="K965">
        <v>8021</v>
      </c>
    </row>
    <row r="966" spans="1:11" x14ac:dyDescent="0.3">
      <c r="A966">
        <v>1</v>
      </c>
      <c r="B966">
        <v>7517291</v>
      </c>
      <c r="C966" s="13">
        <v>40189.679166666669</v>
      </c>
      <c r="D966">
        <v>3682</v>
      </c>
      <c r="E966">
        <v>16.97</v>
      </c>
      <c r="F966" t="s">
        <v>1987</v>
      </c>
      <c r="G966">
        <v>17708</v>
      </c>
      <c r="H966" t="s">
        <v>2013</v>
      </c>
      <c r="I966" t="s">
        <v>1995</v>
      </c>
      <c r="J966" s="8">
        <v>32504</v>
      </c>
      <c r="K966">
        <v>4121</v>
      </c>
    </row>
    <row r="967" spans="1:11" x14ac:dyDescent="0.3">
      <c r="A967">
        <v>1</v>
      </c>
      <c r="B967">
        <v>7520058</v>
      </c>
      <c r="C967" s="13">
        <v>40190.488194444442</v>
      </c>
      <c r="D967">
        <v>4652</v>
      </c>
      <c r="E967">
        <v>17.579999999999998</v>
      </c>
      <c r="F967" t="s">
        <v>1994</v>
      </c>
      <c r="G967">
        <v>18563</v>
      </c>
      <c r="H967" t="s">
        <v>1993</v>
      </c>
      <c r="I967" t="s">
        <v>3719</v>
      </c>
      <c r="J967" s="8" t="s">
        <v>3719</v>
      </c>
      <c r="K967">
        <v>4121</v>
      </c>
    </row>
    <row r="968" spans="1:11" x14ac:dyDescent="0.3">
      <c r="A968">
        <v>1</v>
      </c>
      <c r="B968">
        <v>7520251</v>
      </c>
      <c r="C968" s="13">
        <v>40190.518750000003</v>
      </c>
      <c r="D968">
        <v>4652</v>
      </c>
      <c r="E968">
        <v>14.84</v>
      </c>
      <c r="F968" t="s">
        <v>1994</v>
      </c>
      <c r="G968">
        <v>16798</v>
      </c>
      <c r="H968" t="s">
        <v>1993</v>
      </c>
      <c r="I968" t="s">
        <v>3719</v>
      </c>
      <c r="J968" s="8" t="s">
        <v>3719</v>
      </c>
      <c r="K968">
        <v>4121</v>
      </c>
    </row>
    <row r="969" spans="1:11" x14ac:dyDescent="0.3">
      <c r="A969">
        <v>1</v>
      </c>
      <c r="B969">
        <v>7521318</v>
      </c>
      <c r="C969" s="13">
        <v>40190.685416666667</v>
      </c>
      <c r="D969">
        <v>4652</v>
      </c>
      <c r="E969">
        <v>17.440000000000001</v>
      </c>
      <c r="F969" t="s">
        <v>1994</v>
      </c>
      <c r="G969">
        <v>16798</v>
      </c>
      <c r="H969" t="s">
        <v>1993</v>
      </c>
      <c r="I969" t="s">
        <v>3719</v>
      </c>
      <c r="J969" s="8" t="s">
        <v>3719</v>
      </c>
      <c r="K969">
        <v>4121</v>
      </c>
    </row>
    <row r="970" spans="1:11" x14ac:dyDescent="0.3">
      <c r="A970">
        <v>1</v>
      </c>
      <c r="B970">
        <v>7524069</v>
      </c>
      <c r="C970" s="13">
        <v>40191.496527777781</v>
      </c>
      <c r="D970">
        <v>3682</v>
      </c>
      <c r="E970">
        <v>14.25</v>
      </c>
      <c r="F970" t="s">
        <v>1994</v>
      </c>
      <c r="G970">
        <v>18563</v>
      </c>
      <c r="H970" t="s">
        <v>1993</v>
      </c>
      <c r="I970" t="s">
        <v>3719</v>
      </c>
      <c r="J970" s="8" t="s">
        <v>3719</v>
      </c>
      <c r="K970">
        <v>4121</v>
      </c>
    </row>
    <row r="971" spans="1:11" x14ac:dyDescent="0.3">
      <c r="A971">
        <v>1</v>
      </c>
      <c r="B971">
        <v>7525290</v>
      </c>
      <c r="C971" s="13">
        <v>40191.680555555555</v>
      </c>
      <c r="D971">
        <v>3682</v>
      </c>
      <c r="E971">
        <v>14.17</v>
      </c>
      <c r="F971" t="s">
        <v>1994</v>
      </c>
      <c r="G971">
        <v>18563</v>
      </c>
      <c r="H971" t="s">
        <v>1993</v>
      </c>
      <c r="I971" t="s">
        <v>3719</v>
      </c>
      <c r="J971" s="8" t="s">
        <v>3719</v>
      </c>
      <c r="K971">
        <v>4121</v>
      </c>
    </row>
    <row r="972" spans="1:11" x14ac:dyDescent="0.3">
      <c r="A972">
        <v>1</v>
      </c>
      <c r="B972">
        <v>7528167</v>
      </c>
      <c r="C972" s="13">
        <v>40192.51666666667</v>
      </c>
      <c r="D972">
        <v>4652</v>
      </c>
      <c r="E972">
        <v>60</v>
      </c>
      <c r="F972" t="s">
        <v>1987</v>
      </c>
      <c r="G972">
        <v>27092</v>
      </c>
      <c r="H972" t="s">
        <v>2013</v>
      </c>
      <c r="I972" t="s">
        <v>1995</v>
      </c>
      <c r="J972" s="8">
        <v>32507</v>
      </c>
      <c r="K972">
        <v>4829</v>
      </c>
    </row>
    <row r="973" spans="1:11" x14ac:dyDescent="0.3">
      <c r="A973">
        <v>1</v>
      </c>
      <c r="B973">
        <v>7529013</v>
      </c>
      <c r="C973" s="13">
        <v>40192.649305555555</v>
      </c>
      <c r="D973">
        <v>4652</v>
      </c>
      <c r="E973">
        <v>11.43</v>
      </c>
      <c r="F973" t="s">
        <v>1994</v>
      </c>
      <c r="G973">
        <v>16798</v>
      </c>
      <c r="H973" t="s">
        <v>1993</v>
      </c>
      <c r="I973" t="s">
        <v>3719</v>
      </c>
      <c r="J973" s="8" t="s">
        <v>3719</v>
      </c>
      <c r="K973">
        <v>4121</v>
      </c>
    </row>
    <row r="974" spans="1:11" x14ac:dyDescent="0.3">
      <c r="A974">
        <v>1</v>
      </c>
      <c r="B974">
        <v>7531553</v>
      </c>
      <c r="C974" s="13">
        <v>40193.479166666664</v>
      </c>
      <c r="D974">
        <v>3682</v>
      </c>
      <c r="E974">
        <v>12.98</v>
      </c>
      <c r="F974" t="s">
        <v>1994</v>
      </c>
      <c r="G974">
        <v>16798</v>
      </c>
      <c r="H974" t="s">
        <v>1993</v>
      </c>
      <c r="I974" t="s">
        <v>3719</v>
      </c>
      <c r="J974" s="8" t="s">
        <v>3719</v>
      </c>
      <c r="K974">
        <v>4121</v>
      </c>
    </row>
    <row r="975" spans="1:11" x14ac:dyDescent="0.3">
      <c r="A975">
        <v>1</v>
      </c>
      <c r="B975">
        <v>7532675</v>
      </c>
      <c r="C975" s="13">
        <v>40193.675694444442</v>
      </c>
      <c r="D975">
        <v>4652</v>
      </c>
      <c r="E975">
        <v>15.26</v>
      </c>
      <c r="F975" t="s">
        <v>1987</v>
      </c>
      <c r="G975">
        <v>17708</v>
      </c>
      <c r="H975" t="s">
        <v>2013</v>
      </c>
      <c r="I975" t="s">
        <v>1995</v>
      </c>
      <c r="J975" s="8">
        <v>32504</v>
      </c>
      <c r="K975">
        <v>4121</v>
      </c>
    </row>
    <row r="976" spans="1:11" x14ac:dyDescent="0.3">
      <c r="A976">
        <v>1</v>
      </c>
      <c r="B976">
        <v>7535153</v>
      </c>
      <c r="C976" s="13">
        <v>40194.477777777778</v>
      </c>
      <c r="D976">
        <v>4652</v>
      </c>
      <c r="E976">
        <v>157.35</v>
      </c>
      <c r="F976" t="s">
        <v>1994</v>
      </c>
      <c r="G976">
        <v>87530</v>
      </c>
      <c r="H976" t="s">
        <v>1993</v>
      </c>
      <c r="I976" t="s">
        <v>3719</v>
      </c>
      <c r="J976" s="8" t="s">
        <v>3719</v>
      </c>
      <c r="K976">
        <v>4900</v>
      </c>
    </row>
    <row r="977" spans="1:12" x14ac:dyDescent="0.3">
      <c r="A977">
        <v>1</v>
      </c>
      <c r="B977">
        <v>7535281</v>
      </c>
      <c r="C977" s="13">
        <v>40194.497916666667</v>
      </c>
      <c r="D977">
        <v>4652</v>
      </c>
      <c r="E977">
        <v>13.99</v>
      </c>
      <c r="F977" t="s">
        <v>1994</v>
      </c>
      <c r="G977">
        <v>18563</v>
      </c>
      <c r="H977" t="s">
        <v>1993</v>
      </c>
      <c r="I977" t="s">
        <v>3719</v>
      </c>
      <c r="J977" s="8" t="s">
        <v>3719</v>
      </c>
      <c r="K977">
        <v>4121</v>
      </c>
    </row>
    <row r="978" spans="1:12" x14ac:dyDescent="0.3">
      <c r="A978">
        <v>1</v>
      </c>
      <c r="B978">
        <v>7536425</v>
      </c>
      <c r="C978" s="13">
        <v>40194.682638888888</v>
      </c>
      <c r="D978">
        <v>3682</v>
      </c>
      <c r="E978">
        <v>10.35</v>
      </c>
      <c r="F978" t="s">
        <v>1987</v>
      </c>
      <c r="G978">
        <v>17708</v>
      </c>
      <c r="H978" t="s">
        <v>2013</v>
      </c>
      <c r="I978" t="s">
        <v>1995</v>
      </c>
      <c r="J978" s="8">
        <v>32504</v>
      </c>
      <c r="K978">
        <v>4121</v>
      </c>
    </row>
    <row r="979" spans="1:12" x14ac:dyDescent="0.3">
      <c r="A979">
        <v>1</v>
      </c>
      <c r="B979">
        <v>7539258</v>
      </c>
      <c r="C979" s="13">
        <v>40195.489583333336</v>
      </c>
      <c r="D979">
        <v>4652</v>
      </c>
      <c r="E979">
        <v>16.510000000000002</v>
      </c>
      <c r="F979" t="s">
        <v>1994</v>
      </c>
      <c r="G979">
        <v>18563</v>
      </c>
      <c r="H979" t="s">
        <v>1993</v>
      </c>
      <c r="I979" t="s">
        <v>3719</v>
      </c>
      <c r="J979" s="8" t="s">
        <v>3719</v>
      </c>
      <c r="K979">
        <v>4121</v>
      </c>
    </row>
    <row r="980" spans="1:12" x14ac:dyDescent="0.3">
      <c r="A980">
        <v>1</v>
      </c>
      <c r="B980">
        <v>7540427</v>
      </c>
      <c r="C980" s="13">
        <v>40195.67083333333</v>
      </c>
      <c r="D980">
        <v>4652</v>
      </c>
      <c r="E980">
        <v>15.36</v>
      </c>
      <c r="F980" t="s">
        <v>1994</v>
      </c>
      <c r="G980">
        <v>16798</v>
      </c>
      <c r="H980" t="s">
        <v>1993</v>
      </c>
      <c r="I980" t="s">
        <v>3719</v>
      </c>
      <c r="J980" s="8" t="s">
        <v>3719</v>
      </c>
      <c r="K980">
        <v>4121</v>
      </c>
    </row>
    <row r="981" spans="1:12" x14ac:dyDescent="0.3">
      <c r="A981">
        <v>1</v>
      </c>
      <c r="B981">
        <v>7543263</v>
      </c>
      <c r="C981" s="13">
        <v>40196.48541666667</v>
      </c>
      <c r="D981">
        <v>3682</v>
      </c>
      <c r="E981">
        <v>13.37</v>
      </c>
      <c r="F981" t="s">
        <v>1987</v>
      </c>
      <c r="G981">
        <v>17708</v>
      </c>
      <c r="H981" t="s">
        <v>2013</v>
      </c>
      <c r="I981" t="s">
        <v>1995</v>
      </c>
      <c r="J981" s="8">
        <v>32504</v>
      </c>
      <c r="K981">
        <v>4121</v>
      </c>
    </row>
    <row r="982" spans="1:12" x14ac:dyDescent="0.3">
      <c r="A982">
        <v>1</v>
      </c>
      <c r="B982">
        <v>7543393</v>
      </c>
      <c r="C982" s="13">
        <v>40196.506249999999</v>
      </c>
      <c r="D982">
        <v>4652</v>
      </c>
      <c r="E982">
        <v>18.79</v>
      </c>
      <c r="F982" t="s">
        <v>1994</v>
      </c>
      <c r="G982">
        <v>16798</v>
      </c>
      <c r="H982" t="s">
        <v>1993</v>
      </c>
      <c r="I982" t="s">
        <v>3719</v>
      </c>
      <c r="J982" s="8" t="s">
        <v>3719</v>
      </c>
      <c r="K982">
        <v>4121</v>
      </c>
    </row>
    <row r="983" spans="1:12" x14ac:dyDescent="0.3">
      <c r="A983">
        <v>1</v>
      </c>
      <c r="B983">
        <v>7544549</v>
      </c>
      <c r="C983" s="13">
        <v>40196.680555555555</v>
      </c>
      <c r="D983">
        <v>4652</v>
      </c>
      <c r="E983">
        <v>14.87</v>
      </c>
      <c r="F983" t="s">
        <v>1987</v>
      </c>
      <c r="G983">
        <v>17708</v>
      </c>
      <c r="H983" t="s">
        <v>2013</v>
      </c>
      <c r="I983" t="s">
        <v>1995</v>
      </c>
      <c r="J983" s="8">
        <v>32504</v>
      </c>
      <c r="K983">
        <v>4121</v>
      </c>
    </row>
    <row r="984" spans="1:12" x14ac:dyDescent="0.3">
      <c r="A984">
        <v>1</v>
      </c>
      <c r="B984">
        <v>7547256</v>
      </c>
      <c r="C984" s="13">
        <v>40197.487500000003</v>
      </c>
      <c r="D984">
        <v>3682</v>
      </c>
      <c r="E984">
        <v>13.38</v>
      </c>
      <c r="F984" t="s">
        <v>1994</v>
      </c>
      <c r="G984">
        <v>18563</v>
      </c>
      <c r="H984" t="s">
        <v>1993</v>
      </c>
      <c r="I984" t="s">
        <v>3719</v>
      </c>
      <c r="J984" s="8" t="s">
        <v>3719</v>
      </c>
      <c r="K984">
        <v>4121</v>
      </c>
    </row>
    <row r="985" spans="1:12" x14ac:dyDescent="0.3">
      <c r="A985">
        <v>1</v>
      </c>
      <c r="B985">
        <v>7548262</v>
      </c>
      <c r="C985" s="13">
        <v>40197.65</v>
      </c>
      <c r="D985">
        <v>4652</v>
      </c>
      <c r="E985">
        <v>13.85</v>
      </c>
      <c r="F985" t="s">
        <v>1994</v>
      </c>
      <c r="G985">
        <v>18563</v>
      </c>
      <c r="H985" t="s">
        <v>1993</v>
      </c>
      <c r="I985" t="s">
        <v>3719</v>
      </c>
      <c r="J985" s="8" t="s">
        <v>3719</v>
      </c>
      <c r="K985">
        <v>4121</v>
      </c>
    </row>
    <row r="986" spans="1:12" x14ac:dyDescent="0.3">
      <c r="A986">
        <v>1</v>
      </c>
      <c r="B986">
        <v>7548576</v>
      </c>
      <c r="C986" s="13">
        <v>40197.699305555558</v>
      </c>
      <c r="D986">
        <v>4652</v>
      </c>
      <c r="E986">
        <v>14.74</v>
      </c>
      <c r="F986" t="s">
        <v>1994</v>
      </c>
      <c r="G986">
        <v>18563</v>
      </c>
      <c r="H986" t="s">
        <v>1993</v>
      </c>
      <c r="I986" t="s">
        <v>3719</v>
      </c>
      <c r="J986" s="8" t="s">
        <v>3719</v>
      </c>
      <c r="K986">
        <v>4121</v>
      </c>
    </row>
    <row r="987" spans="1:12" x14ac:dyDescent="0.3">
      <c r="A987">
        <v>1</v>
      </c>
      <c r="B987">
        <v>7550694</v>
      </c>
      <c r="C987" s="13">
        <v>40198.418055555558</v>
      </c>
      <c r="D987">
        <v>4652</v>
      </c>
      <c r="E987">
        <v>109.52</v>
      </c>
      <c r="F987" t="s">
        <v>1987</v>
      </c>
      <c r="G987">
        <v>30286</v>
      </c>
      <c r="H987" t="s">
        <v>2013</v>
      </c>
      <c r="I987" t="s">
        <v>1995</v>
      </c>
      <c r="J987" s="8">
        <v>32526</v>
      </c>
      <c r="K987">
        <v>4814</v>
      </c>
    </row>
    <row r="988" spans="1:12" x14ac:dyDescent="0.3">
      <c r="A988">
        <v>1</v>
      </c>
      <c r="B988">
        <v>7550716</v>
      </c>
      <c r="C988" s="13">
        <v>40198.42291666667</v>
      </c>
      <c r="D988">
        <v>3682</v>
      </c>
      <c r="E988">
        <v>111.39</v>
      </c>
      <c r="F988" t="s">
        <v>1987</v>
      </c>
      <c r="G988">
        <v>30286</v>
      </c>
      <c r="H988" t="s">
        <v>2013</v>
      </c>
      <c r="I988" t="s">
        <v>1995</v>
      </c>
      <c r="J988" s="8">
        <v>32526</v>
      </c>
      <c r="K988">
        <v>4814</v>
      </c>
      <c r="L988" t="s">
        <v>1988</v>
      </c>
    </row>
    <row r="989" spans="1:12" x14ac:dyDescent="0.3">
      <c r="A989">
        <v>1</v>
      </c>
      <c r="B989">
        <v>7551140</v>
      </c>
      <c r="C989" s="13">
        <v>40198.490972222222</v>
      </c>
      <c r="D989">
        <v>3682</v>
      </c>
      <c r="E989">
        <v>6.91</v>
      </c>
      <c r="F989" t="s">
        <v>1987</v>
      </c>
      <c r="G989">
        <v>75781</v>
      </c>
      <c r="H989" t="s">
        <v>2013</v>
      </c>
      <c r="I989" t="s">
        <v>1995</v>
      </c>
      <c r="J989" s="8">
        <v>32504</v>
      </c>
      <c r="K989">
        <v>5411</v>
      </c>
    </row>
    <row r="990" spans="1:12" x14ac:dyDescent="0.3">
      <c r="A990">
        <v>1</v>
      </c>
      <c r="B990">
        <v>7551141</v>
      </c>
      <c r="C990" s="13">
        <v>40198.490972222222</v>
      </c>
      <c r="D990">
        <v>3682</v>
      </c>
      <c r="E990">
        <v>16.940000000000001</v>
      </c>
      <c r="F990" t="s">
        <v>1994</v>
      </c>
      <c r="G990">
        <v>16798</v>
      </c>
      <c r="H990" t="s">
        <v>1993</v>
      </c>
      <c r="I990" t="s">
        <v>3719</v>
      </c>
      <c r="J990" s="8" t="s">
        <v>3719</v>
      </c>
      <c r="K990">
        <v>4121</v>
      </c>
    </row>
    <row r="991" spans="1:12" x14ac:dyDescent="0.3">
      <c r="A991">
        <v>1</v>
      </c>
      <c r="B991">
        <v>7551626</v>
      </c>
      <c r="C991" s="13">
        <v>40198.556250000001</v>
      </c>
      <c r="D991">
        <v>4652</v>
      </c>
      <c r="E991">
        <v>113.05</v>
      </c>
      <c r="F991" t="s">
        <v>1987</v>
      </c>
      <c r="G991">
        <v>99850</v>
      </c>
      <c r="H991" t="s">
        <v>2013</v>
      </c>
      <c r="I991" t="s">
        <v>1995</v>
      </c>
      <c r="J991" s="8">
        <v>32504</v>
      </c>
      <c r="K991">
        <v>7230</v>
      </c>
    </row>
    <row r="992" spans="1:12" x14ac:dyDescent="0.3">
      <c r="A992">
        <v>1</v>
      </c>
      <c r="B992">
        <v>7552307</v>
      </c>
      <c r="C992" s="13">
        <v>40198.668749999997</v>
      </c>
      <c r="D992">
        <v>4652</v>
      </c>
      <c r="E992">
        <v>6.05</v>
      </c>
      <c r="F992" t="s">
        <v>1987</v>
      </c>
      <c r="G992">
        <v>17708</v>
      </c>
      <c r="H992" t="s">
        <v>2013</v>
      </c>
      <c r="I992" t="s">
        <v>1995</v>
      </c>
      <c r="J992" s="8">
        <v>32504</v>
      </c>
      <c r="K992">
        <v>4121</v>
      </c>
    </row>
    <row r="993" spans="1:11" x14ac:dyDescent="0.3">
      <c r="A993">
        <v>1</v>
      </c>
      <c r="B993">
        <v>7555206</v>
      </c>
      <c r="C993" s="13">
        <v>40199.491666666669</v>
      </c>
      <c r="D993">
        <v>3682</v>
      </c>
      <c r="E993">
        <v>14.3</v>
      </c>
      <c r="F993" t="s">
        <v>1987</v>
      </c>
      <c r="G993">
        <v>17708</v>
      </c>
      <c r="H993" t="s">
        <v>2013</v>
      </c>
      <c r="I993" t="s">
        <v>1995</v>
      </c>
      <c r="J993" s="8">
        <v>32504</v>
      </c>
      <c r="K993">
        <v>4121</v>
      </c>
    </row>
    <row r="994" spans="1:11" x14ac:dyDescent="0.3">
      <c r="A994">
        <v>1</v>
      </c>
      <c r="B994">
        <v>7555258</v>
      </c>
      <c r="C994" s="13">
        <v>40199.5</v>
      </c>
      <c r="D994">
        <v>4652</v>
      </c>
      <c r="E994">
        <v>15.45</v>
      </c>
      <c r="F994" t="s">
        <v>1994</v>
      </c>
      <c r="G994">
        <v>16798</v>
      </c>
      <c r="H994" t="s">
        <v>1993</v>
      </c>
      <c r="I994" t="s">
        <v>3719</v>
      </c>
      <c r="J994" s="8" t="s">
        <v>3719</v>
      </c>
      <c r="K994">
        <v>4121</v>
      </c>
    </row>
    <row r="995" spans="1:11" x14ac:dyDescent="0.3">
      <c r="A995">
        <v>1</v>
      </c>
      <c r="B995">
        <v>7556387</v>
      </c>
      <c r="C995" s="13">
        <v>40199.669444444444</v>
      </c>
      <c r="D995">
        <v>3682</v>
      </c>
      <c r="E995">
        <v>18.16</v>
      </c>
      <c r="F995" t="s">
        <v>1994</v>
      </c>
      <c r="G995">
        <v>18563</v>
      </c>
      <c r="H995" t="s">
        <v>1993</v>
      </c>
      <c r="I995" t="s">
        <v>3719</v>
      </c>
      <c r="J995" s="8" t="s">
        <v>3719</v>
      </c>
      <c r="K995">
        <v>4121</v>
      </c>
    </row>
    <row r="996" spans="1:11" x14ac:dyDescent="0.3">
      <c r="A996">
        <v>1</v>
      </c>
      <c r="B996">
        <v>7559868</v>
      </c>
      <c r="C996" s="13">
        <v>40200.668749999997</v>
      </c>
      <c r="D996">
        <v>3682</v>
      </c>
      <c r="E996">
        <v>12.97</v>
      </c>
      <c r="F996" t="s">
        <v>1994</v>
      </c>
      <c r="G996">
        <v>18563</v>
      </c>
      <c r="H996" t="s">
        <v>1993</v>
      </c>
      <c r="I996" t="s">
        <v>3719</v>
      </c>
      <c r="J996" s="8" t="s">
        <v>3719</v>
      </c>
      <c r="K996">
        <v>4121</v>
      </c>
    </row>
    <row r="997" spans="1:11" x14ac:dyDescent="0.3">
      <c r="A997">
        <v>1</v>
      </c>
      <c r="B997">
        <v>7563523</v>
      </c>
      <c r="C997" s="13">
        <v>40201.681250000001</v>
      </c>
      <c r="D997">
        <v>4652</v>
      </c>
      <c r="E997">
        <v>14.32</v>
      </c>
      <c r="F997" t="s">
        <v>1987</v>
      </c>
      <c r="G997">
        <v>17708</v>
      </c>
      <c r="H997" t="s">
        <v>2013</v>
      </c>
      <c r="I997" t="s">
        <v>1995</v>
      </c>
      <c r="J997" s="8">
        <v>32504</v>
      </c>
      <c r="K997">
        <v>4121</v>
      </c>
    </row>
    <row r="998" spans="1:11" x14ac:dyDescent="0.3">
      <c r="A998">
        <v>1</v>
      </c>
      <c r="B998">
        <v>7566495</v>
      </c>
      <c r="C998" s="13">
        <v>40202.495138888888</v>
      </c>
      <c r="D998">
        <v>4652</v>
      </c>
      <c r="E998">
        <v>14.41</v>
      </c>
      <c r="F998" t="s">
        <v>1994</v>
      </c>
      <c r="G998">
        <v>16798</v>
      </c>
      <c r="H998" t="s">
        <v>1993</v>
      </c>
      <c r="I998" t="s">
        <v>3719</v>
      </c>
      <c r="J998" s="8" t="s">
        <v>3719</v>
      </c>
      <c r="K998">
        <v>4121</v>
      </c>
    </row>
    <row r="999" spans="1:11" x14ac:dyDescent="0.3">
      <c r="A999">
        <v>1</v>
      </c>
      <c r="B999">
        <v>7570429</v>
      </c>
      <c r="C999" s="13">
        <v>40203.481944444444</v>
      </c>
      <c r="D999">
        <v>4652</v>
      </c>
      <c r="E999">
        <v>17.850000000000001</v>
      </c>
      <c r="F999" t="s">
        <v>1987</v>
      </c>
      <c r="G999">
        <v>17708</v>
      </c>
      <c r="H999" t="s">
        <v>2013</v>
      </c>
      <c r="I999" t="s">
        <v>1995</v>
      </c>
      <c r="J999" s="8">
        <v>32504</v>
      </c>
      <c r="K999">
        <v>4121</v>
      </c>
    </row>
    <row r="1000" spans="1:11" x14ac:dyDescent="0.3">
      <c r="A1000">
        <v>1</v>
      </c>
      <c r="B1000">
        <v>7570457</v>
      </c>
      <c r="C1000" s="13">
        <v>40203.487500000003</v>
      </c>
      <c r="D1000">
        <v>3682</v>
      </c>
      <c r="E1000">
        <v>60</v>
      </c>
      <c r="F1000" t="s">
        <v>1987</v>
      </c>
      <c r="G1000">
        <v>27092</v>
      </c>
      <c r="H1000" t="s">
        <v>2013</v>
      </c>
      <c r="I1000" t="s">
        <v>1995</v>
      </c>
      <c r="J1000" s="8">
        <v>32507</v>
      </c>
      <c r="K1000">
        <v>4829</v>
      </c>
    </row>
  </sheetData>
  <autoFilter ref="A1:L1048576" xr:uid="{1A732344-C5E6-4A2F-8AC6-8513535E402D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84BA0-D1D1-4A2A-AB5C-6D5F672E1717}">
  <dimension ref="A1:M6147"/>
  <sheetViews>
    <sheetView tabSelected="1" workbookViewId="0">
      <pane ySplit="1" topLeftCell="A1001" activePane="bottomLeft" state="frozen"/>
      <selection pane="bottomLeft" activeCell="A1001" sqref="A1001"/>
    </sheetView>
  </sheetViews>
  <sheetFormatPr defaultRowHeight="14.4" x14ac:dyDescent="0.3"/>
  <cols>
    <col min="2" max="2" width="10.33203125" bestFit="1" customWidth="1"/>
    <col min="3" max="3" width="10.21875" bestFit="1" customWidth="1"/>
    <col min="4" max="4" width="12.88671875" bestFit="1" customWidth="1"/>
    <col min="5" max="5" width="18.77734375" bestFit="1" customWidth="1"/>
    <col min="6" max="6" width="11.6640625" bestFit="1" customWidth="1"/>
    <col min="7" max="7" width="6.6640625" bestFit="1" customWidth="1"/>
    <col min="8" max="8" width="10.5546875" bestFit="1" customWidth="1"/>
    <col min="9" max="9" width="16" bestFit="1" customWidth="1"/>
    <col min="10" max="10" width="13.109375" bestFit="1" customWidth="1"/>
    <col min="11" max="11" width="16.44140625" bestFit="1" customWidth="1"/>
    <col min="12" max="12" width="22.109375" bestFit="1" customWidth="1"/>
    <col min="13" max="13" width="18.6640625" bestFit="1" customWidth="1"/>
  </cols>
  <sheetData>
    <row r="1" spans="1:13" s="3" customFormat="1" x14ac:dyDescent="0.3">
      <c r="A1" s="3" t="s">
        <v>1998</v>
      </c>
      <c r="B1" s="3" t="s">
        <v>1986</v>
      </c>
      <c r="C1" s="3" t="s">
        <v>3711</v>
      </c>
      <c r="D1" s="3" t="s">
        <v>3712</v>
      </c>
      <c r="E1" s="3" t="s">
        <v>3713</v>
      </c>
      <c r="F1" s="3" t="s">
        <v>3714</v>
      </c>
      <c r="G1" s="3" t="s">
        <v>3715</v>
      </c>
      <c r="H1" s="3" t="s">
        <v>3716</v>
      </c>
      <c r="I1" s="3" t="s">
        <v>3717</v>
      </c>
      <c r="J1" s="3" t="s">
        <v>3718</v>
      </c>
      <c r="K1" s="3" t="s">
        <v>3710</v>
      </c>
      <c r="L1" s="3" t="s">
        <v>3709</v>
      </c>
      <c r="M1" s="3" t="s">
        <v>3708</v>
      </c>
    </row>
    <row r="2" spans="1:13" x14ac:dyDescent="0.3">
      <c r="A2">
        <v>0</v>
      </c>
      <c r="B2">
        <v>1362</v>
      </c>
      <c r="C2" t="s">
        <v>2057</v>
      </c>
      <c r="D2" t="s">
        <v>2048</v>
      </c>
      <c r="E2" s="5">
        <v>393314135668401</v>
      </c>
      <c r="F2" s="1">
        <v>45383</v>
      </c>
      <c r="G2">
        <v>866</v>
      </c>
      <c r="H2" t="s">
        <v>2047</v>
      </c>
      <c r="I2">
        <v>2</v>
      </c>
      <c r="J2" t="s">
        <v>3144</v>
      </c>
      <c r="K2" s="1">
        <v>33239</v>
      </c>
      <c r="L2">
        <v>2014</v>
      </c>
      <c r="M2" t="s">
        <v>2045</v>
      </c>
    </row>
    <row r="3" spans="1:13" x14ac:dyDescent="0.3">
      <c r="A3">
        <v>1</v>
      </c>
      <c r="B3">
        <v>550</v>
      </c>
      <c r="C3" t="s">
        <v>2053</v>
      </c>
      <c r="D3" t="s">
        <v>2048</v>
      </c>
      <c r="E3" s="6" t="s">
        <v>2743</v>
      </c>
      <c r="F3" s="1">
        <v>45444</v>
      </c>
      <c r="G3">
        <v>396</v>
      </c>
      <c r="H3" t="s">
        <v>2047</v>
      </c>
      <c r="I3">
        <v>1</v>
      </c>
      <c r="J3" t="s">
        <v>2173</v>
      </c>
      <c r="K3" s="1">
        <v>34335</v>
      </c>
      <c r="L3">
        <v>2013</v>
      </c>
      <c r="M3" t="s">
        <v>2045</v>
      </c>
    </row>
    <row r="4" spans="1:13" x14ac:dyDescent="0.3">
      <c r="A4">
        <v>2</v>
      </c>
      <c r="B4">
        <v>556</v>
      </c>
      <c r="C4" t="s">
        <v>2053</v>
      </c>
      <c r="D4" t="s">
        <v>2052</v>
      </c>
      <c r="E4" s="6" t="s">
        <v>2881</v>
      </c>
      <c r="F4" s="1">
        <v>44440</v>
      </c>
      <c r="G4">
        <v>422</v>
      </c>
      <c r="H4" t="s">
        <v>2047</v>
      </c>
      <c r="I4">
        <v>1</v>
      </c>
      <c r="J4" t="s">
        <v>2880</v>
      </c>
      <c r="K4" s="1">
        <v>34700</v>
      </c>
      <c r="L4">
        <v>2011</v>
      </c>
      <c r="M4" t="s">
        <v>2045</v>
      </c>
    </row>
    <row r="5" spans="1:13" x14ac:dyDescent="0.3">
      <c r="A5">
        <v>3</v>
      </c>
      <c r="B5">
        <v>1937</v>
      </c>
      <c r="C5" t="s">
        <v>2049</v>
      </c>
      <c r="D5" t="s">
        <v>2048</v>
      </c>
      <c r="E5" s="6" t="s">
        <v>2370</v>
      </c>
      <c r="F5" s="1">
        <v>43922</v>
      </c>
      <c r="G5">
        <v>736</v>
      </c>
      <c r="H5" t="s">
        <v>2047</v>
      </c>
      <c r="I5">
        <v>2</v>
      </c>
      <c r="J5" t="s">
        <v>2094</v>
      </c>
      <c r="K5" s="1">
        <v>34700</v>
      </c>
      <c r="L5">
        <v>2015</v>
      </c>
      <c r="M5" t="s">
        <v>2045</v>
      </c>
    </row>
    <row r="6" spans="1:13" x14ac:dyDescent="0.3">
      <c r="A6">
        <v>4</v>
      </c>
      <c r="B6">
        <v>1981</v>
      </c>
      <c r="C6" t="s">
        <v>2053</v>
      </c>
      <c r="D6" t="s">
        <v>2052</v>
      </c>
      <c r="E6" s="6" t="s">
        <v>3639</v>
      </c>
      <c r="F6" s="1">
        <v>45352</v>
      </c>
      <c r="G6">
        <v>530</v>
      </c>
      <c r="H6" t="s">
        <v>2047</v>
      </c>
      <c r="I6">
        <v>2</v>
      </c>
      <c r="J6" t="s">
        <v>3638</v>
      </c>
      <c r="K6" s="1">
        <v>35431</v>
      </c>
      <c r="L6">
        <v>2007</v>
      </c>
      <c r="M6" t="s">
        <v>2045</v>
      </c>
    </row>
    <row r="7" spans="1:13" x14ac:dyDescent="0.3">
      <c r="A7">
        <v>5</v>
      </c>
      <c r="B7">
        <v>619</v>
      </c>
      <c r="C7" t="s">
        <v>2049</v>
      </c>
      <c r="D7" t="s">
        <v>2052</v>
      </c>
      <c r="E7" s="6" t="s">
        <v>3149</v>
      </c>
      <c r="F7" s="1">
        <v>45383</v>
      </c>
      <c r="G7">
        <v>245</v>
      </c>
      <c r="H7" t="s">
        <v>2047</v>
      </c>
      <c r="I7">
        <v>2</v>
      </c>
      <c r="J7" t="s">
        <v>3148</v>
      </c>
      <c r="K7" s="1">
        <v>35431</v>
      </c>
      <c r="L7">
        <v>2012</v>
      </c>
      <c r="M7" t="s">
        <v>2045</v>
      </c>
    </row>
    <row r="8" spans="1:13" x14ac:dyDescent="0.3">
      <c r="A8">
        <v>6</v>
      </c>
      <c r="B8">
        <v>1046</v>
      </c>
      <c r="C8" t="s">
        <v>2057</v>
      </c>
      <c r="D8" t="s">
        <v>2048</v>
      </c>
      <c r="E8" s="5">
        <v>394584924614148</v>
      </c>
      <c r="F8" s="1">
        <v>36192</v>
      </c>
      <c r="G8">
        <v>302</v>
      </c>
      <c r="H8" t="s">
        <v>2047</v>
      </c>
      <c r="I8">
        <v>2</v>
      </c>
      <c r="J8" t="s">
        <v>2320</v>
      </c>
      <c r="K8" s="1">
        <v>35796</v>
      </c>
      <c r="L8">
        <v>2011</v>
      </c>
      <c r="M8" t="s">
        <v>2045</v>
      </c>
    </row>
    <row r="9" spans="1:13" x14ac:dyDescent="0.3">
      <c r="A9">
        <v>7</v>
      </c>
      <c r="B9">
        <v>511</v>
      </c>
      <c r="C9" t="s">
        <v>2053</v>
      </c>
      <c r="D9" t="s">
        <v>2052</v>
      </c>
      <c r="E9" s="6" t="s">
        <v>3687</v>
      </c>
      <c r="F9" s="1">
        <v>38412</v>
      </c>
      <c r="G9">
        <v>749</v>
      </c>
      <c r="H9" t="s">
        <v>2047</v>
      </c>
      <c r="I9">
        <v>1</v>
      </c>
      <c r="J9" t="s">
        <v>3686</v>
      </c>
      <c r="K9" s="1">
        <v>35796</v>
      </c>
      <c r="L9">
        <v>2011</v>
      </c>
      <c r="M9" t="s">
        <v>2045</v>
      </c>
    </row>
    <row r="10" spans="1:13" x14ac:dyDescent="0.3">
      <c r="A10">
        <v>8</v>
      </c>
      <c r="B10">
        <v>1107</v>
      </c>
      <c r="C10" t="s">
        <v>2053</v>
      </c>
      <c r="D10" t="s">
        <v>2048</v>
      </c>
      <c r="E10" s="6" t="s">
        <v>2299</v>
      </c>
      <c r="F10" s="1">
        <v>44440</v>
      </c>
      <c r="G10">
        <v>665</v>
      </c>
      <c r="H10" t="s">
        <v>2055</v>
      </c>
      <c r="I10">
        <v>2</v>
      </c>
      <c r="J10" t="s">
        <v>2214</v>
      </c>
      <c r="K10" s="1">
        <v>35796</v>
      </c>
      <c r="L10">
        <v>2006</v>
      </c>
      <c r="M10" t="s">
        <v>2045</v>
      </c>
    </row>
    <row r="11" spans="1:13" x14ac:dyDescent="0.3">
      <c r="A11">
        <v>9</v>
      </c>
      <c r="B11">
        <v>1046</v>
      </c>
      <c r="C11" t="s">
        <v>2057</v>
      </c>
      <c r="D11" t="s">
        <v>2048</v>
      </c>
      <c r="E11" s="5">
        <v>357982644067712</v>
      </c>
      <c r="F11" s="1">
        <v>44075</v>
      </c>
      <c r="G11">
        <v>72</v>
      </c>
      <c r="H11" t="s">
        <v>2047</v>
      </c>
      <c r="I11">
        <v>1</v>
      </c>
      <c r="J11" t="s">
        <v>2278</v>
      </c>
      <c r="K11" s="1">
        <v>36161</v>
      </c>
      <c r="L11">
        <v>2005</v>
      </c>
      <c r="M11" t="s">
        <v>2045</v>
      </c>
    </row>
    <row r="12" spans="1:13" x14ac:dyDescent="0.3">
      <c r="A12">
        <v>10</v>
      </c>
      <c r="B12">
        <v>1783</v>
      </c>
      <c r="C12" t="s">
        <v>2053</v>
      </c>
      <c r="D12" t="s">
        <v>2052</v>
      </c>
      <c r="E12" s="6" t="s">
        <v>3641</v>
      </c>
      <c r="F12" s="1">
        <v>45261</v>
      </c>
      <c r="G12">
        <v>789</v>
      </c>
      <c r="H12" t="s">
        <v>2047</v>
      </c>
      <c r="I12">
        <v>1</v>
      </c>
      <c r="J12" t="s">
        <v>3640</v>
      </c>
      <c r="K12" s="1">
        <v>36161</v>
      </c>
      <c r="L12">
        <v>2009</v>
      </c>
      <c r="M12" t="s">
        <v>2045</v>
      </c>
    </row>
    <row r="13" spans="1:13" x14ac:dyDescent="0.3">
      <c r="A13">
        <v>11</v>
      </c>
      <c r="B13">
        <v>1579</v>
      </c>
      <c r="C13" t="s">
        <v>2053</v>
      </c>
      <c r="D13" t="s">
        <v>2052</v>
      </c>
      <c r="E13" s="6" t="s">
        <v>2477</v>
      </c>
      <c r="F13" s="1">
        <v>45231</v>
      </c>
      <c r="G13">
        <v>964</v>
      </c>
      <c r="H13" t="s">
        <v>2047</v>
      </c>
      <c r="I13">
        <v>2</v>
      </c>
      <c r="J13" t="s">
        <v>2476</v>
      </c>
      <c r="K13" s="1">
        <v>36161</v>
      </c>
      <c r="L13">
        <v>2013</v>
      </c>
      <c r="M13" t="s">
        <v>2045</v>
      </c>
    </row>
    <row r="14" spans="1:13" x14ac:dyDescent="0.3">
      <c r="A14">
        <v>12</v>
      </c>
      <c r="B14">
        <v>1156</v>
      </c>
      <c r="C14" t="s">
        <v>2049</v>
      </c>
      <c r="D14" t="s">
        <v>2048</v>
      </c>
      <c r="E14" s="6" t="s">
        <v>3346</v>
      </c>
      <c r="F14" s="1">
        <v>44958</v>
      </c>
      <c r="G14">
        <v>124</v>
      </c>
      <c r="H14" t="s">
        <v>2055</v>
      </c>
      <c r="I14">
        <v>1</v>
      </c>
      <c r="J14" t="s">
        <v>3345</v>
      </c>
      <c r="K14" s="1">
        <v>36161</v>
      </c>
      <c r="L14">
        <v>2011</v>
      </c>
      <c r="M14" t="s">
        <v>2045</v>
      </c>
    </row>
    <row r="15" spans="1:13" x14ac:dyDescent="0.3">
      <c r="A15">
        <v>13</v>
      </c>
      <c r="B15">
        <v>858</v>
      </c>
      <c r="C15" t="s">
        <v>2053</v>
      </c>
      <c r="D15" t="s">
        <v>2048</v>
      </c>
      <c r="E15" s="6" t="s">
        <v>3628</v>
      </c>
      <c r="F15" s="1">
        <v>44256</v>
      </c>
      <c r="G15">
        <v>686</v>
      </c>
      <c r="H15" t="s">
        <v>2047</v>
      </c>
      <c r="I15">
        <v>1</v>
      </c>
      <c r="J15" t="s">
        <v>2353</v>
      </c>
      <c r="K15" s="1">
        <v>36526</v>
      </c>
      <c r="L15">
        <v>2012</v>
      </c>
      <c r="M15" t="s">
        <v>2045</v>
      </c>
    </row>
    <row r="16" spans="1:13" x14ac:dyDescent="0.3">
      <c r="A16">
        <v>14</v>
      </c>
      <c r="B16">
        <v>641</v>
      </c>
      <c r="C16" t="s">
        <v>2053</v>
      </c>
      <c r="D16" t="s">
        <v>2052</v>
      </c>
      <c r="E16" s="6" t="s">
        <v>3117</v>
      </c>
      <c r="F16" s="1">
        <v>44378</v>
      </c>
      <c r="G16">
        <v>19</v>
      </c>
      <c r="H16" t="s">
        <v>2047</v>
      </c>
      <c r="I16">
        <v>1</v>
      </c>
      <c r="J16" t="s">
        <v>3116</v>
      </c>
      <c r="K16" s="1">
        <v>36526</v>
      </c>
      <c r="L16">
        <v>2011</v>
      </c>
      <c r="M16" t="s">
        <v>2045</v>
      </c>
    </row>
    <row r="17" spans="1:13" x14ac:dyDescent="0.3">
      <c r="A17">
        <v>15</v>
      </c>
      <c r="B17">
        <v>1228</v>
      </c>
      <c r="C17" t="s">
        <v>2053</v>
      </c>
      <c r="D17" t="s">
        <v>2052</v>
      </c>
      <c r="E17" s="6" t="s">
        <v>2599</v>
      </c>
      <c r="F17" s="1">
        <v>45536</v>
      </c>
      <c r="G17">
        <v>300</v>
      </c>
      <c r="H17" t="s">
        <v>2047</v>
      </c>
      <c r="I17">
        <v>1</v>
      </c>
      <c r="J17" t="s">
        <v>2598</v>
      </c>
      <c r="K17" s="1">
        <v>36526</v>
      </c>
      <c r="L17">
        <v>2020</v>
      </c>
      <c r="M17" t="s">
        <v>2045</v>
      </c>
    </row>
    <row r="18" spans="1:13" x14ac:dyDescent="0.3">
      <c r="A18">
        <v>16</v>
      </c>
      <c r="B18">
        <v>1201</v>
      </c>
      <c r="C18" t="s">
        <v>2049</v>
      </c>
      <c r="D18" t="s">
        <v>2052</v>
      </c>
      <c r="E18" s="6" t="s">
        <v>3425</v>
      </c>
      <c r="F18" s="1">
        <v>45200</v>
      </c>
      <c r="G18">
        <v>706</v>
      </c>
      <c r="H18" t="s">
        <v>2047</v>
      </c>
      <c r="I18">
        <v>2</v>
      </c>
      <c r="J18" t="s">
        <v>3424</v>
      </c>
      <c r="K18" s="1">
        <v>36526</v>
      </c>
      <c r="L18">
        <v>2006</v>
      </c>
      <c r="M18" t="s">
        <v>2045</v>
      </c>
    </row>
    <row r="19" spans="1:13" x14ac:dyDescent="0.3">
      <c r="A19">
        <v>17</v>
      </c>
      <c r="B19">
        <v>804</v>
      </c>
      <c r="C19" t="s">
        <v>2049</v>
      </c>
      <c r="D19" t="s">
        <v>2052</v>
      </c>
      <c r="E19" s="6" t="s">
        <v>2773</v>
      </c>
      <c r="F19" s="1">
        <v>44743</v>
      </c>
      <c r="G19">
        <v>799</v>
      </c>
      <c r="H19" t="s">
        <v>2047</v>
      </c>
      <c r="I19">
        <v>2</v>
      </c>
      <c r="J19" t="s">
        <v>2772</v>
      </c>
      <c r="K19" s="1">
        <v>36526</v>
      </c>
      <c r="L19">
        <v>2010</v>
      </c>
      <c r="M19" t="s">
        <v>2045</v>
      </c>
    </row>
    <row r="20" spans="1:13" x14ac:dyDescent="0.3">
      <c r="A20">
        <v>18</v>
      </c>
      <c r="B20">
        <v>11</v>
      </c>
      <c r="C20" t="s">
        <v>2053</v>
      </c>
      <c r="D20" t="s">
        <v>2048</v>
      </c>
      <c r="E20" s="6" t="s">
        <v>3599</v>
      </c>
      <c r="F20" s="1">
        <v>38292</v>
      </c>
      <c r="G20">
        <v>604</v>
      </c>
      <c r="H20" t="s">
        <v>2047</v>
      </c>
      <c r="I20">
        <v>2</v>
      </c>
      <c r="J20" t="s">
        <v>2060</v>
      </c>
      <c r="K20" s="1">
        <v>36892</v>
      </c>
      <c r="L20">
        <v>2011</v>
      </c>
      <c r="M20" t="s">
        <v>2045</v>
      </c>
    </row>
    <row r="21" spans="1:13" x14ac:dyDescent="0.3">
      <c r="A21">
        <v>19</v>
      </c>
      <c r="B21">
        <v>115</v>
      </c>
      <c r="C21" t="s">
        <v>2053</v>
      </c>
      <c r="D21" t="s">
        <v>2052</v>
      </c>
      <c r="E21" s="6" t="s">
        <v>3126</v>
      </c>
      <c r="F21" s="1">
        <v>44927</v>
      </c>
      <c r="G21">
        <v>310</v>
      </c>
      <c r="H21" t="s">
        <v>2047</v>
      </c>
      <c r="I21">
        <v>2</v>
      </c>
      <c r="J21" t="s">
        <v>3125</v>
      </c>
      <c r="K21" s="1">
        <v>36892</v>
      </c>
      <c r="L21">
        <v>2014</v>
      </c>
      <c r="M21" t="s">
        <v>2045</v>
      </c>
    </row>
    <row r="22" spans="1:13" x14ac:dyDescent="0.3">
      <c r="A22">
        <v>20</v>
      </c>
      <c r="B22">
        <v>1728</v>
      </c>
      <c r="C22" t="s">
        <v>2049</v>
      </c>
      <c r="D22" t="s">
        <v>2048</v>
      </c>
      <c r="E22" s="6" t="s">
        <v>3567</v>
      </c>
      <c r="F22" s="1">
        <v>44348</v>
      </c>
      <c r="G22">
        <v>412</v>
      </c>
      <c r="H22" t="s">
        <v>2047</v>
      </c>
      <c r="I22">
        <v>1</v>
      </c>
      <c r="J22" t="s">
        <v>2101</v>
      </c>
      <c r="K22" s="1">
        <v>36892</v>
      </c>
      <c r="L22">
        <v>2003</v>
      </c>
      <c r="M22" t="s">
        <v>2045</v>
      </c>
    </row>
    <row r="23" spans="1:13" x14ac:dyDescent="0.3">
      <c r="A23">
        <v>21</v>
      </c>
      <c r="B23">
        <v>1596</v>
      </c>
      <c r="C23" t="s">
        <v>2049</v>
      </c>
      <c r="D23" t="s">
        <v>2048</v>
      </c>
      <c r="E23" s="6" t="s">
        <v>3490</v>
      </c>
      <c r="F23" s="1">
        <v>41061</v>
      </c>
      <c r="G23">
        <v>826</v>
      </c>
      <c r="H23" t="s">
        <v>2047</v>
      </c>
      <c r="I23">
        <v>1</v>
      </c>
      <c r="J23" t="s">
        <v>2306</v>
      </c>
      <c r="K23" s="1">
        <v>36892</v>
      </c>
      <c r="L23">
        <v>2010</v>
      </c>
      <c r="M23" t="s">
        <v>2045</v>
      </c>
    </row>
    <row r="24" spans="1:13" x14ac:dyDescent="0.3">
      <c r="A24">
        <v>22</v>
      </c>
      <c r="B24">
        <v>1234</v>
      </c>
      <c r="C24" t="s">
        <v>2049</v>
      </c>
      <c r="D24" t="s">
        <v>2070</v>
      </c>
      <c r="E24" s="6" t="s">
        <v>3353</v>
      </c>
      <c r="F24" s="1">
        <v>44927</v>
      </c>
      <c r="G24">
        <v>50</v>
      </c>
      <c r="H24" t="s">
        <v>2055</v>
      </c>
      <c r="I24">
        <v>1</v>
      </c>
      <c r="J24" t="s">
        <v>2137</v>
      </c>
      <c r="K24" s="1">
        <v>36892</v>
      </c>
      <c r="L24">
        <v>2007</v>
      </c>
      <c r="M24" t="s">
        <v>2045</v>
      </c>
    </row>
    <row r="25" spans="1:13" x14ac:dyDescent="0.3">
      <c r="A25">
        <v>23</v>
      </c>
      <c r="B25">
        <v>318</v>
      </c>
      <c r="C25" t="s">
        <v>2049</v>
      </c>
      <c r="D25" t="s">
        <v>2048</v>
      </c>
      <c r="E25" s="6" t="s">
        <v>3107</v>
      </c>
      <c r="F25" s="1">
        <v>39630</v>
      </c>
      <c r="G25">
        <v>678</v>
      </c>
      <c r="H25" t="s">
        <v>2047</v>
      </c>
      <c r="I25">
        <v>1</v>
      </c>
      <c r="J25" t="s">
        <v>2293</v>
      </c>
      <c r="K25" s="1">
        <v>36892</v>
      </c>
      <c r="L25">
        <v>2017</v>
      </c>
      <c r="M25" t="s">
        <v>2045</v>
      </c>
    </row>
    <row r="26" spans="1:13" x14ac:dyDescent="0.3">
      <c r="A26">
        <v>24</v>
      </c>
      <c r="B26">
        <v>1274</v>
      </c>
      <c r="C26" t="s">
        <v>2049</v>
      </c>
      <c r="D26" t="s">
        <v>2052</v>
      </c>
      <c r="E26" s="6" t="s">
        <v>2564</v>
      </c>
      <c r="F26" s="1">
        <v>44287</v>
      </c>
      <c r="G26">
        <v>2</v>
      </c>
      <c r="H26" t="s">
        <v>2055</v>
      </c>
      <c r="I26">
        <v>2</v>
      </c>
      <c r="J26" t="s">
        <v>2563</v>
      </c>
      <c r="K26" s="1">
        <v>36892</v>
      </c>
      <c r="L26">
        <v>2007</v>
      </c>
      <c r="M26" t="s">
        <v>2045</v>
      </c>
    </row>
    <row r="27" spans="1:13" x14ac:dyDescent="0.3">
      <c r="A27">
        <v>25</v>
      </c>
      <c r="B27">
        <v>528</v>
      </c>
      <c r="C27" t="s">
        <v>2049</v>
      </c>
      <c r="D27" t="s">
        <v>2052</v>
      </c>
      <c r="E27" s="6" t="s">
        <v>2339</v>
      </c>
      <c r="F27" s="1">
        <v>37712</v>
      </c>
      <c r="G27">
        <v>482</v>
      </c>
      <c r="H27" t="s">
        <v>2047</v>
      </c>
      <c r="I27">
        <v>1</v>
      </c>
      <c r="J27" t="s">
        <v>2338</v>
      </c>
      <c r="K27" s="1">
        <v>36892</v>
      </c>
      <c r="L27">
        <v>2011</v>
      </c>
      <c r="M27" t="s">
        <v>2045</v>
      </c>
    </row>
    <row r="28" spans="1:13" x14ac:dyDescent="0.3">
      <c r="A28">
        <v>26</v>
      </c>
      <c r="B28">
        <v>1195</v>
      </c>
      <c r="C28" t="s">
        <v>2053</v>
      </c>
      <c r="D28" t="s">
        <v>2048</v>
      </c>
      <c r="E28" s="6" t="s">
        <v>3045</v>
      </c>
      <c r="F28" s="1">
        <v>44105</v>
      </c>
      <c r="G28">
        <v>747</v>
      </c>
      <c r="H28" t="s">
        <v>2047</v>
      </c>
      <c r="I28">
        <v>2</v>
      </c>
      <c r="J28" t="s">
        <v>2209</v>
      </c>
      <c r="K28" s="1">
        <v>37257</v>
      </c>
      <c r="L28">
        <v>2011</v>
      </c>
      <c r="M28" t="s">
        <v>2045</v>
      </c>
    </row>
    <row r="29" spans="1:13" x14ac:dyDescent="0.3">
      <c r="A29">
        <v>27</v>
      </c>
      <c r="B29">
        <v>68</v>
      </c>
      <c r="C29" t="s">
        <v>2049</v>
      </c>
      <c r="D29" t="s">
        <v>2048</v>
      </c>
      <c r="E29" s="6" t="s">
        <v>3704</v>
      </c>
      <c r="F29" s="1">
        <v>44440</v>
      </c>
      <c r="G29">
        <v>74</v>
      </c>
      <c r="H29" t="s">
        <v>2047</v>
      </c>
      <c r="I29">
        <v>2</v>
      </c>
      <c r="J29" t="s">
        <v>2229</v>
      </c>
      <c r="K29" s="1">
        <v>37257</v>
      </c>
      <c r="L29">
        <v>2019</v>
      </c>
      <c r="M29" t="s">
        <v>2045</v>
      </c>
    </row>
    <row r="30" spans="1:13" x14ac:dyDescent="0.3">
      <c r="A30">
        <v>28</v>
      </c>
      <c r="B30">
        <v>1852</v>
      </c>
      <c r="C30" t="s">
        <v>2049</v>
      </c>
      <c r="D30" t="s">
        <v>2052</v>
      </c>
      <c r="E30" s="6" t="s">
        <v>3672</v>
      </c>
      <c r="F30" s="1">
        <v>45200</v>
      </c>
      <c r="G30">
        <v>543</v>
      </c>
      <c r="H30" t="s">
        <v>2047</v>
      </c>
      <c r="I30">
        <v>2</v>
      </c>
      <c r="J30" t="s">
        <v>3671</v>
      </c>
      <c r="K30" s="1">
        <v>37257</v>
      </c>
      <c r="L30">
        <v>2004</v>
      </c>
      <c r="M30" t="s">
        <v>2045</v>
      </c>
    </row>
    <row r="31" spans="1:13" x14ac:dyDescent="0.3">
      <c r="A31">
        <v>29</v>
      </c>
      <c r="B31">
        <v>316</v>
      </c>
      <c r="C31" t="s">
        <v>2049</v>
      </c>
      <c r="D31" t="s">
        <v>2048</v>
      </c>
      <c r="E31" s="6" t="s">
        <v>3266</v>
      </c>
      <c r="F31" s="1">
        <v>44287</v>
      </c>
      <c r="G31">
        <v>547</v>
      </c>
      <c r="H31" t="s">
        <v>2047</v>
      </c>
      <c r="I31">
        <v>3</v>
      </c>
      <c r="J31" t="s">
        <v>2222</v>
      </c>
      <c r="K31" s="1">
        <v>37257</v>
      </c>
      <c r="L31">
        <v>2011</v>
      </c>
      <c r="M31" t="s">
        <v>2045</v>
      </c>
    </row>
    <row r="32" spans="1:13" x14ac:dyDescent="0.3">
      <c r="A32">
        <v>30</v>
      </c>
      <c r="B32">
        <v>261</v>
      </c>
      <c r="C32" t="s">
        <v>2049</v>
      </c>
      <c r="D32" t="s">
        <v>2048</v>
      </c>
      <c r="E32" s="6" t="s">
        <v>3165</v>
      </c>
      <c r="F32" s="1">
        <v>44652</v>
      </c>
      <c r="G32">
        <v>795</v>
      </c>
      <c r="H32" t="s">
        <v>2047</v>
      </c>
      <c r="I32">
        <v>2</v>
      </c>
      <c r="J32" t="s">
        <v>882</v>
      </c>
      <c r="K32" s="1">
        <v>37257</v>
      </c>
      <c r="L32">
        <v>2006</v>
      </c>
      <c r="M32" t="s">
        <v>2045</v>
      </c>
    </row>
    <row r="33" spans="1:13" x14ac:dyDescent="0.3">
      <c r="A33">
        <v>31</v>
      </c>
      <c r="B33">
        <v>892</v>
      </c>
      <c r="C33" t="s">
        <v>2049</v>
      </c>
      <c r="D33" t="s">
        <v>2052</v>
      </c>
      <c r="E33" s="6" t="s">
        <v>2440</v>
      </c>
      <c r="F33" s="1">
        <v>44501</v>
      </c>
      <c r="G33">
        <v>628</v>
      </c>
      <c r="H33" t="s">
        <v>2047</v>
      </c>
      <c r="I33">
        <v>2</v>
      </c>
      <c r="J33" t="s">
        <v>2439</v>
      </c>
      <c r="K33" s="1">
        <v>37257</v>
      </c>
      <c r="L33">
        <v>2009</v>
      </c>
      <c r="M33" t="s">
        <v>2045</v>
      </c>
    </row>
    <row r="34" spans="1:13" x14ac:dyDescent="0.3">
      <c r="A34">
        <v>32</v>
      </c>
      <c r="B34">
        <v>598</v>
      </c>
      <c r="C34" t="s">
        <v>2049</v>
      </c>
      <c r="D34" t="s">
        <v>2070</v>
      </c>
      <c r="E34" s="6" t="s">
        <v>2323</v>
      </c>
      <c r="F34" s="1">
        <v>45566</v>
      </c>
      <c r="G34">
        <v>340</v>
      </c>
      <c r="H34" t="s">
        <v>2047</v>
      </c>
      <c r="I34">
        <v>2</v>
      </c>
      <c r="J34" t="s">
        <v>2322</v>
      </c>
      <c r="K34" s="1">
        <v>37257</v>
      </c>
      <c r="L34">
        <v>2009</v>
      </c>
      <c r="M34" t="s">
        <v>2045</v>
      </c>
    </row>
    <row r="35" spans="1:13" x14ac:dyDescent="0.3">
      <c r="A35">
        <v>33</v>
      </c>
      <c r="B35">
        <v>1944</v>
      </c>
      <c r="C35" t="s">
        <v>2049</v>
      </c>
      <c r="D35" t="s">
        <v>2048</v>
      </c>
      <c r="E35" s="6" t="s">
        <v>2059</v>
      </c>
      <c r="F35" s="1">
        <v>44440</v>
      </c>
      <c r="G35">
        <v>383</v>
      </c>
      <c r="H35" t="s">
        <v>2047</v>
      </c>
      <c r="I35">
        <v>1</v>
      </c>
      <c r="J35" t="s">
        <v>2058</v>
      </c>
      <c r="K35" s="1">
        <v>37257</v>
      </c>
      <c r="L35">
        <v>2009</v>
      </c>
      <c r="M35" t="s">
        <v>2045</v>
      </c>
    </row>
    <row r="36" spans="1:13" x14ac:dyDescent="0.3">
      <c r="A36">
        <v>34</v>
      </c>
      <c r="B36">
        <v>1731</v>
      </c>
      <c r="C36" t="s">
        <v>2057</v>
      </c>
      <c r="D36" t="s">
        <v>2048</v>
      </c>
      <c r="E36" s="5">
        <v>375953550153829</v>
      </c>
      <c r="F36" s="1">
        <v>44896</v>
      </c>
      <c r="G36">
        <v>888</v>
      </c>
      <c r="H36" t="s">
        <v>2047</v>
      </c>
      <c r="I36">
        <v>1</v>
      </c>
      <c r="J36" t="s">
        <v>2131</v>
      </c>
      <c r="K36" s="1">
        <v>37622</v>
      </c>
      <c r="L36">
        <v>2017</v>
      </c>
      <c r="M36" t="s">
        <v>2045</v>
      </c>
    </row>
    <row r="37" spans="1:13" x14ac:dyDescent="0.3">
      <c r="A37">
        <v>35</v>
      </c>
      <c r="B37">
        <v>321</v>
      </c>
      <c r="C37" t="s">
        <v>2061</v>
      </c>
      <c r="D37" t="s">
        <v>2048</v>
      </c>
      <c r="E37" s="6" t="s">
        <v>2879</v>
      </c>
      <c r="F37" s="1">
        <v>40664</v>
      </c>
      <c r="G37">
        <v>449</v>
      </c>
      <c r="H37" t="s">
        <v>2047</v>
      </c>
      <c r="I37">
        <v>2</v>
      </c>
      <c r="J37" t="s">
        <v>2058</v>
      </c>
      <c r="K37" s="1">
        <v>37622</v>
      </c>
      <c r="L37">
        <v>2004</v>
      </c>
      <c r="M37" t="s">
        <v>2045</v>
      </c>
    </row>
    <row r="38" spans="1:13" x14ac:dyDescent="0.3">
      <c r="A38">
        <v>36</v>
      </c>
      <c r="B38">
        <v>1391</v>
      </c>
      <c r="C38" t="s">
        <v>2053</v>
      </c>
      <c r="D38" t="s">
        <v>2052</v>
      </c>
      <c r="E38" s="6" t="s">
        <v>3665</v>
      </c>
      <c r="F38" s="1">
        <v>41183</v>
      </c>
      <c r="G38">
        <v>436</v>
      </c>
      <c r="H38" t="s">
        <v>2047</v>
      </c>
      <c r="I38">
        <v>2</v>
      </c>
      <c r="J38" t="s">
        <v>3664</v>
      </c>
      <c r="K38" s="1">
        <v>37622</v>
      </c>
      <c r="L38">
        <v>2010</v>
      </c>
      <c r="M38" t="s">
        <v>2045</v>
      </c>
    </row>
    <row r="39" spans="1:13" x14ac:dyDescent="0.3">
      <c r="A39">
        <v>37</v>
      </c>
      <c r="B39">
        <v>840</v>
      </c>
      <c r="C39" t="s">
        <v>2053</v>
      </c>
      <c r="D39" t="s">
        <v>2052</v>
      </c>
      <c r="E39" s="6" t="s">
        <v>3472</v>
      </c>
      <c r="F39" s="1">
        <v>45200</v>
      </c>
      <c r="G39">
        <v>258</v>
      </c>
      <c r="H39" t="s">
        <v>2047</v>
      </c>
      <c r="I39">
        <v>2</v>
      </c>
      <c r="J39" t="s">
        <v>3471</v>
      </c>
      <c r="K39" s="1">
        <v>37622</v>
      </c>
      <c r="L39">
        <v>2016</v>
      </c>
      <c r="M39" t="s">
        <v>2045</v>
      </c>
    </row>
    <row r="40" spans="1:13" x14ac:dyDescent="0.3">
      <c r="A40">
        <v>38</v>
      </c>
      <c r="B40">
        <v>115</v>
      </c>
      <c r="C40" t="s">
        <v>2053</v>
      </c>
      <c r="D40" t="s">
        <v>2048</v>
      </c>
      <c r="E40" s="6" t="s">
        <v>3128</v>
      </c>
      <c r="F40" s="1">
        <v>45597</v>
      </c>
      <c r="G40">
        <v>290</v>
      </c>
      <c r="H40" t="s">
        <v>2055</v>
      </c>
      <c r="I40">
        <v>1</v>
      </c>
      <c r="J40" t="s">
        <v>3127</v>
      </c>
      <c r="K40" s="1">
        <v>37622</v>
      </c>
      <c r="L40">
        <v>2015</v>
      </c>
      <c r="M40" t="s">
        <v>2045</v>
      </c>
    </row>
    <row r="41" spans="1:13" x14ac:dyDescent="0.3">
      <c r="A41">
        <v>39</v>
      </c>
      <c r="B41">
        <v>696</v>
      </c>
      <c r="C41" t="s">
        <v>2053</v>
      </c>
      <c r="D41" t="s">
        <v>2052</v>
      </c>
      <c r="E41" s="6" t="s">
        <v>2981</v>
      </c>
      <c r="F41" s="1">
        <v>45566</v>
      </c>
      <c r="G41">
        <v>267</v>
      </c>
      <c r="H41" t="s">
        <v>2047</v>
      </c>
      <c r="I41">
        <v>2</v>
      </c>
      <c r="J41" t="s">
        <v>2980</v>
      </c>
      <c r="K41" s="1">
        <v>37622</v>
      </c>
      <c r="L41">
        <v>2012</v>
      </c>
      <c r="M41" t="s">
        <v>2045</v>
      </c>
    </row>
    <row r="42" spans="1:13" x14ac:dyDescent="0.3">
      <c r="A42">
        <v>40</v>
      </c>
      <c r="B42">
        <v>1635</v>
      </c>
      <c r="C42" t="s">
        <v>2053</v>
      </c>
      <c r="D42" t="s">
        <v>2052</v>
      </c>
      <c r="E42" s="6" t="s">
        <v>2876</v>
      </c>
      <c r="F42" s="1">
        <v>39722</v>
      </c>
      <c r="G42">
        <v>697</v>
      </c>
      <c r="H42" t="s">
        <v>2047</v>
      </c>
      <c r="I42">
        <v>2</v>
      </c>
      <c r="J42" t="s">
        <v>2875</v>
      </c>
      <c r="K42" s="1">
        <v>37622</v>
      </c>
      <c r="L42">
        <v>2009</v>
      </c>
      <c r="M42" t="s">
        <v>2045</v>
      </c>
    </row>
    <row r="43" spans="1:13" x14ac:dyDescent="0.3">
      <c r="A43">
        <v>41</v>
      </c>
      <c r="B43">
        <v>1140</v>
      </c>
      <c r="C43" t="s">
        <v>2053</v>
      </c>
      <c r="D43" t="s">
        <v>2048</v>
      </c>
      <c r="E43" s="6" t="s">
        <v>2635</v>
      </c>
      <c r="F43" s="1">
        <v>44743</v>
      </c>
      <c r="G43">
        <v>232</v>
      </c>
      <c r="H43" t="s">
        <v>2047</v>
      </c>
      <c r="I43">
        <v>2</v>
      </c>
      <c r="J43" t="s">
        <v>2634</v>
      </c>
      <c r="K43" s="1">
        <v>37622</v>
      </c>
      <c r="L43">
        <v>2009</v>
      </c>
      <c r="M43" t="s">
        <v>2045</v>
      </c>
    </row>
    <row r="44" spans="1:13" x14ac:dyDescent="0.3">
      <c r="A44">
        <v>42</v>
      </c>
      <c r="B44">
        <v>825</v>
      </c>
      <c r="C44" t="s">
        <v>2049</v>
      </c>
      <c r="D44" t="s">
        <v>2048</v>
      </c>
      <c r="E44" s="6" t="s">
        <v>3707</v>
      </c>
      <c r="F44" s="1">
        <v>45505</v>
      </c>
      <c r="G44">
        <v>693</v>
      </c>
      <c r="H44" t="s">
        <v>2055</v>
      </c>
      <c r="I44">
        <v>1</v>
      </c>
      <c r="J44" t="s">
        <v>2174</v>
      </c>
      <c r="K44" s="1">
        <v>37622</v>
      </c>
      <c r="L44">
        <v>2012</v>
      </c>
      <c r="M44" t="s">
        <v>2045</v>
      </c>
    </row>
    <row r="45" spans="1:13" x14ac:dyDescent="0.3">
      <c r="A45">
        <v>43</v>
      </c>
      <c r="B45">
        <v>1769</v>
      </c>
      <c r="C45" t="s">
        <v>2049</v>
      </c>
      <c r="D45" t="s">
        <v>2048</v>
      </c>
      <c r="E45" s="6" t="s">
        <v>3585</v>
      </c>
      <c r="F45" s="1">
        <v>45444</v>
      </c>
      <c r="G45">
        <v>140</v>
      </c>
      <c r="H45" t="s">
        <v>2047</v>
      </c>
      <c r="I45">
        <v>1</v>
      </c>
      <c r="J45" t="s">
        <v>2366</v>
      </c>
      <c r="K45" s="1">
        <v>37622</v>
      </c>
      <c r="L45">
        <v>2020</v>
      </c>
      <c r="M45" t="s">
        <v>2045</v>
      </c>
    </row>
    <row r="46" spans="1:13" x14ac:dyDescent="0.3">
      <c r="A46">
        <v>44</v>
      </c>
      <c r="B46">
        <v>1267</v>
      </c>
      <c r="C46" t="s">
        <v>2049</v>
      </c>
      <c r="D46" t="s">
        <v>2052</v>
      </c>
      <c r="E46" s="6" t="s">
        <v>3510</v>
      </c>
      <c r="F46" s="1">
        <v>45505</v>
      </c>
      <c r="G46">
        <v>282</v>
      </c>
      <c r="H46" t="s">
        <v>2047</v>
      </c>
      <c r="I46">
        <v>2</v>
      </c>
      <c r="J46" t="s">
        <v>3509</v>
      </c>
      <c r="K46" s="1">
        <v>37622</v>
      </c>
      <c r="L46">
        <v>2008</v>
      </c>
      <c r="M46" t="s">
        <v>2045</v>
      </c>
    </row>
    <row r="47" spans="1:13" x14ac:dyDescent="0.3">
      <c r="A47">
        <v>45</v>
      </c>
      <c r="B47">
        <v>1571</v>
      </c>
      <c r="C47" t="s">
        <v>2049</v>
      </c>
      <c r="D47" t="s">
        <v>2052</v>
      </c>
      <c r="E47" s="6" t="s">
        <v>3008</v>
      </c>
      <c r="F47" s="1">
        <v>45017</v>
      </c>
      <c r="G47">
        <v>861</v>
      </c>
      <c r="H47" t="s">
        <v>2047</v>
      </c>
      <c r="I47">
        <v>2</v>
      </c>
      <c r="J47" t="s">
        <v>3007</v>
      </c>
      <c r="K47" s="1">
        <v>37622</v>
      </c>
      <c r="L47">
        <v>2007</v>
      </c>
      <c r="M47" t="s">
        <v>2045</v>
      </c>
    </row>
    <row r="48" spans="1:13" x14ac:dyDescent="0.3">
      <c r="A48">
        <v>46</v>
      </c>
      <c r="B48">
        <v>732</v>
      </c>
      <c r="C48" t="s">
        <v>2049</v>
      </c>
      <c r="D48" t="s">
        <v>2070</v>
      </c>
      <c r="E48" s="6" t="s">
        <v>2806</v>
      </c>
      <c r="F48" s="1">
        <v>44866</v>
      </c>
      <c r="G48">
        <v>662</v>
      </c>
      <c r="H48" t="s">
        <v>2047</v>
      </c>
      <c r="I48">
        <v>2</v>
      </c>
      <c r="J48" t="s">
        <v>2529</v>
      </c>
      <c r="K48" s="1">
        <v>37622</v>
      </c>
      <c r="L48">
        <v>2010</v>
      </c>
      <c r="M48" t="s">
        <v>2045</v>
      </c>
    </row>
    <row r="49" spans="1:13" x14ac:dyDescent="0.3">
      <c r="A49">
        <v>47</v>
      </c>
      <c r="B49">
        <v>674</v>
      </c>
      <c r="C49" t="s">
        <v>2049</v>
      </c>
      <c r="D49" t="s">
        <v>2048</v>
      </c>
      <c r="E49" s="6" t="s">
        <v>2550</v>
      </c>
      <c r="F49" s="1">
        <v>37712</v>
      </c>
      <c r="G49">
        <v>869</v>
      </c>
      <c r="H49" t="s">
        <v>2047</v>
      </c>
      <c r="I49">
        <v>1</v>
      </c>
      <c r="J49" t="s">
        <v>2273</v>
      </c>
      <c r="K49" s="1">
        <v>37622</v>
      </c>
      <c r="L49">
        <v>2008</v>
      </c>
      <c r="M49" t="s">
        <v>2045</v>
      </c>
    </row>
    <row r="50" spans="1:13" x14ac:dyDescent="0.3">
      <c r="A50">
        <v>48</v>
      </c>
      <c r="B50">
        <v>1695</v>
      </c>
      <c r="C50" t="s">
        <v>2057</v>
      </c>
      <c r="D50" t="s">
        <v>2048</v>
      </c>
      <c r="E50" s="5">
        <v>334769960118945</v>
      </c>
      <c r="F50" s="1">
        <v>43983</v>
      </c>
      <c r="G50">
        <v>735</v>
      </c>
      <c r="H50" t="s">
        <v>2047</v>
      </c>
      <c r="I50">
        <v>2</v>
      </c>
      <c r="J50" t="s">
        <v>2605</v>
      </c>
      <c r="K50" s="1">
        <v>37987</v>
      </c>
      <c r="L50">
        <v>2004</v>
      </c>
      <c r="M50" t="s">
        <v>2045</v>
      </c>
    </row>
    <row r="51" spans="1:13" x14ac:dyDescent="0.3">
      <c r="A51">
        <v>49</v>
      </c>
      <c r="B51">
        <v>16</v>
      </c>
      <c r="C51" t="s">
        <v>2053</v>
      </c>
      <c r="D51" t="s">
        <v>2052</v>
      </c>
      <c r="E51" s="6" t="s">
        <v>3637</v>
      </c>
      <c r="F51" s="1">
        <v>42217</v>
      </c>
      <c r="G51">
        <v>59</v>
      </c>
      <c r="H51" t="s">
        <v>2047</v>
      </c>
      <c r="I51">
        <v>2</v>
      </c>
      <c r="J51" t="s">
        <v>3636</v>
      </c>
      <c r="K51" s="1">
        <v>37987</v>
      </c>
      <c r="L51">
        <v>2005</v>
      </c>
      <c r="M51" t="s">
        <v>2045</v>
      </c>
    </row>
    <row r="52" spans="1:13" x14ac:dyDescent="0.3">
      <c r="A52">
        <v>50</v>
      </c>
      <c r="B52">
        <v>994</v>
      </c>
      <c r="C52" t="s">
        <v>2053</v>
      </c>
      <c r="D52" t="s">
        <v>2048</v>
      </c>
      <c r="E52" s="6" t="s">
        <v>3245</v>
      </c>
      <c r="F52" s="1">
        <v>39295</v>
      </c>
      <c r="G52">
        <v>767</v>
      </c>
      <c r="H52" t="s">
        <v>2047</v>
      </c>
      <c r="I52">
        <v>2</v>
      </c>
      <c r="J52" t="s">
        <v>2364</v>
      </c>
      <c r="K52" s="1">
        <v>37987</v>
      </c>
      <c r="L52">
        <v>2010</v>
      </c>
      <c r="M52" t="s">
        <v>2045</v>
      </c>
    </row>
    <row r="53" spans="1:13" x14ac:dyDescent="0.3">
      <c r="A53">
        <v>51</v>
      </c>
      <c r="B53">
        <v>584</v>
      </c>
      <c r="C53" t="s">
        <v>2053</v>
      </c>
      <c r="D53" t="s">
        <v>2052</v>
      </c>
      <c r="E53" s="6" t="s">
        <v>3098</v>
      </c>
      <c r="F53" s="1">
        <v>45261</v>
      </c>
      <c r="G53">
        <v>331</v>
      </c>
      <c r="H53" t="s">
        <v>2055</v>
      </c>
      <c r="I53">
        <v>2</v>
      </c>
      <c r="J53" t="s">
        <v>3097</v>
      </c>
      <c r="K53" s="1">
        <v>37987</v>
      </c>
      <c r="L53">
        <v>2010</v>
      </c>
      <c r="M53" t="s">
        <v>2045</v>
      </c>
    </row>
    <row r="54" spans="1:13" x14ac:dyDescent="0.3">
      <c r="A54">
        <v>52</v>
      </c>
      <c r="B54">
        <v>1530</v>
      </c>
      <c r="C54" t="s">
        <v>2053</v>
      </c>
      <c r="D54" t="s">
        <v>2048</v>
      </c>
      <c r="E54" s="6" t="s">
        <v>2942</v>
      </c>
      <c r="F54" s="1">
        <v>44197</v>
      </c>
      <c r="G54">
        <v>978</v>
      </c>
      <c r="H54" t="s">
        <v>2047</v>
      </c>
      <c r="I54">
        <v>2</v>
      </c>
      <c r="J54" t="s">
        <v>2514</v>
      </c>
      <c r="K54" s="1">
        <v>37987</v>
      </c>
      <c r="L54">
        <v>2008</v>
      </c>
      <c r="M54" t="s">
        <v>2045</v>
      </c>
    </row>
    <row r="55" spans="1:13" x14ac:dyDescent="0.3">
      <c r="A55">
        <v>53</v>
      </c>
      <c r="B55">
        <v>905</v>
      </c>
      <c r="C55" t="s">
        <v>2053</v>
      </c>
      <c r="D55" t="s">
        <v>2052</v>
      </c>
      <c r="E55" s="6" t="s">
        <v>2793</v>
      </c>
      <c r="F55" s="1">
        <v>45261</v>
      </c>
      <c r="G55">
        <v>898</v>
      </c>
      <c r="H55" t="s">
        <v>2055</v>
      </c>
      <c r="I55">
        <v>2</v>
      </c>
      <c r="J55" t="s">
        <v>2792</v>
      </c>
      <c r="K55" s="1">
        <v>37987</v>
      </c>
      <c r="L55">
        <v>2007</v>
      </c>
      <c r="M55" t="s">
        <v>2045</v>
      </c>
    </row>
    <row r="56" spans="1:13" x14ac:dyDescent="0.3">
      <c r="A56">
        <v>54</v>
      </c>
      <c r="B56">
        <v>1364</v>
      </c>
      <c r="C56" t="s">
        <v>2053</v>
      </c>
      <c r="D56" t="s">
        <v>2052</v>
      </c>
      <c r="E56" s="6" t="s">
        <v>2763</v>
      </c>
      <c r="F56" s="1">
        <v>42552</v>
      </c>
      <c r="G56">
        <v>821</v>
      </c>
      <c r="H56" t="s">
        <v>2047</v>
      </c>
      <c r="I56">
        <v>2</v>
      </c>
      <c r="J56" t="s">
        <v>22</v>
      </c>
      <c r="K56" s="1">
        <v>37987</v>
      </c>
      <c r="L56">
        <v>2008</v>
      </c>
      <c r="M56" t="s">
        <v>2045</v>
      </c>
    </row>
    <row r="57" spans="1:13" x14ac:dyDescent="0.3">
      <c r="A57">
        <v>55</v>
      </c>
      <c r="B57">
        <v>62</v>
      </c>
      <c r="C57" t="s">
        <v>2053</v>
      </c>
      <c r="D57" t="s">
        <v>2052</v>
      </c>
      <c r="E57" s="6" t="s">
        <v>2708</v>
      </c>
      <c r="F57" s="1">
        <v>45536</v>
      </c>
      <c r="G57">
        <v>577</v>
      </c>
      <c r="H57" t="s">
        <v>2047</v>
      </c>
      <c r="I57">
        <v>1</v>
      </c>
      <c r="J57" t="s">
        <v>2707</v>
      </c>
      <c r="K57" s="1">
        <v>37987</v>
      </c>
      <c r="L57">
        <v>2015</v>
      </c>
      <c r="M57" t="s">
        <v>2045</v>
      </c>
    </row>
    <row r="58" spans="1:13" x14ac:dyDescent="0.3">
      <c r="A58">
        <v>56</v>
      </c>
      <c r="B58">
        <v>1772</v>
      </c>
      <c r="C58" t="s">
        <v>2053</v>
      </c>
      <c r="D58" t="s">
        <v>2070</v>
      </c>
      <c r="E58" s="6" t="s">
        <v>2355</v>
      </c>
      <c r="F58" s="1">
        <v>43891</v>
      </c>
      <c r="G58">
        <v>94</v>
      </c>
      <c r="H58" t="s">
        <v>2047</v>
      </c>
      <c r="I58">
        <v>2</v>
      </c>
      <c r="J58" t="s">
        <v>2354</v>
      </c>
      <c r="K58" s="1">
        <v>37987</v>
      </c>
      <c r="L58">
        <v>2011</v>
      </c>
      <c r="M58" t="s">
        <v>2045</v>
      </c>
    </row>
    <row r="59" spans="1:13" x14ac:dyDescent="0.3">
      <c r="A59">
        <v>57</v>
      </c>
      <c r="B59">
        <v>1092</v>
      </c>
      <c r="C59" t="s">
        <v>2053</v>
      </c>
      <c r="D59" t="s">
        <v>2052</v>
      </c>
      <c r="E59" s="6" t="s">
        <v>2341</v>
      </c>
      <c r="F59" s="1">
        <v>42370</v>
      </c>
      <c r="G59">
        <v>88</v>
      </c>
      <c r="H59" t="s">
        <v>2047</v>
      </c>
      <c r="I59">
        <v>2</v>
      </c>
      <c r="J59" t="s">
        <v>2340</v>
      </c>
      <c r="K59" s="1">
        <v>37987</v>
      </c>
      <c r="L59">
        <v>2010</v>
      </c>
      <c r="M59" t="s">
        <v>2045</v>
      </c>
    </row>
    <row r="60" spans="1:13" x14ac:dyDescent="0.3">
      <c r="A60">
        <v>58</v>
      </c>
      <c r="B60">
        <v>241</v>
      </c>
      <c r="C60" t="s">
        <v>2053</v>
      </c>
      <c r="D60" t="s">
        <v>2052</v>
      </c>
      <c r="E60" s="6" t="s">
        <v>2170</v>
      </c>
      <c r="F60" s="1">
        <v>43556</v>
      </c>
      <c r="G60">
        <v>672</v>
      </c>
      <c r="H60" t="s">
        <v>2047</v>
      </c>
      <c r="I60">
        <v>2</v>
      </c>
      <c r="J60" t="s">
        <v>2169</v>
      </c>
      <c r="K60" s="1">
        <v>37987</v>
      </c>
      <c r="L60">
        <v>2008</v>
      </c>
      <c r="M60" t="s">
        <v>2045</v>
      </c>
    </row>
    <row r="61" spans="1:13" x14ac:dyDescent="0.3">
      <c r="A61">
        <v>59</v>
      </c>
      <c r="B61">
        <v>1352</v>
      </c>
      <c r="C61" t="s">
        <v>2049</v>
      </c>
      <c r="D61" t="s">
        <v>2052</v>
      </c>
      <c r="E61" s="6" t="s">
        <v>3436</v>
      </c>
      <c r="F61" s="1">
        <v>43770</v>
      </c>
      <c r="G61">
        <v>728</v>
      </c>
      <c r="H61" t="s">
        <v>2047</v>
      </c>
      <c r="I61">
        <v>2</v>
      </c>
      <c r="J61" t="s">
        <v>3435</v>
      </c>
      <c r="K61" s="1">
        <v>37987</v>
      </c>
      <c r="L61">
        <v>2012</v>
      </c>
      <c r="M61" t="s">
        <v>2045</v>
      </c>
    </row>
    <row r="62" spans="1:13" x14ac:dyDescent="0.3">
      <c r="A62">
        <v>60</v>
      </c>
      <c r="B62">
        <v>63</v>
      </c>
      <c r="C62" t="s">
        <v>2049</v>
      </c>
      <c r="D62" t="s">
        <v>2052</v>
      </c>
      <c r="E62" s="6" t="s">
        <v>3288</v>
      </c>
      <c r="F62" s="1">
        <v>44866</v>
      </c>
      <c r="G62">
        <v>357</v>
      </c>
      <c r="H62" t="s">
        <v>2047</v>
      </c>
      <c r="I62">
        <v>2</v>
      </c>
      <c r="J62" t="s">
        <v>3287</v>
      </c>
      <c r="K62" s="1">
        <v>37987</v>
      </c>
      <c r="L62">
        <v>2011</v>
      </c>
      <c r="M62" t="s">
        <v>2045</v>
      </c>
    </row>
    <row r="63" spans="1:13" x14ac:dyDescent="0.3">
      <c r="A63">
        <v>61</v>
      </c>
      <c r="B63">
        <v>1186</v>
      </c>
      <c r="C63" t="s">
        <v>2049</v>
      </c>
      <c r="D63" t="s">
        <v>2070</v>
      </c>
      <c r="E63" s="6" t="s">
        <v>3217</v>
      </c>
      <c r="F63" s="1">
        <v>44805</v>
      </c>
      <c r="G63">
        <v>621</v>
      </c>
      <c r="H63" t="s">
        <v>2047</v>
      </c>
      <c r="I63">
        <v>1</v>
      </c>
      <c r="J63" t="s">
        <v>2705</v>
      </c>
      <c r="K63" s="1">
        <v>37987</v>
      </c>
      <c r="L63">
        <v>2013</v>
      </c>
      <c r="M63" t="s">
        <v>2045</v>
      </c>
    </row>
    <row r="64" spans="1:13" x14ac:dyDescent="0.3">
      <c r="A64">
        <v>62</v>
      </c>
      <c r="B64">
        <v>234</v>
      </c>
      <c r="C64" t="s">
        <v>2049</v>
      </c>
      <c r="D64" t="s">
        <v>2048</v>
      </c>
      <c r="E64" s="6" t="s">
        <v>2855</v>
      </c>
      <c r="F64" s="1">
        <v>45323</v>
      </c>
      <c r="G64">
        <v>460</v>
      </c>
      <c r="H64" t="s">
        <v>2047</v>
      </c>
      <c r="I64">
        <v>1</v>
      </c>
      <c r="J64" t="s">
        <v>2251</v>
      </c>
      <c r="K64" s="1">
        <v>37987</v>
      </c>
      <c r="L64">
        <v>2011</v>
      </c>
      <c r="M64" t="s">
        <v>2045</v>
      </c>
    </row>
    <row r="65" spans="1:13" x14ac:dyDescent="0.3">
      <c r="A65">
        <v>63</v>
      </c>
      <c r="B65">
        <v>275</v>
      </c>
      <c r="C65" t="s">
        <v>2049</v>
      </c>
      <c r="D65" t="s">
        <v>2052</v>
      </c>
      <c r="E65" s="6" t="s">
        <v>2849</v>
      </c>
      <c r="F65" s="1">
        <v>45017</v>
      </c>
      <c r="G65">
        <v>125</v>
      </c>
      <c r="H65" t="s">
        <v>2047</v>
      </c>
      <c r="I65">
        <v>1</v>
      </c>
      <c r="J65" t="s">
        <v>2848</v>
      </c>
      <c r="K65" s="1">
        <v>37987</v>
      </c>
      <c r="L65">
        <v>2011</v>
      </c>
      <c r="M65" t="s">
        <v>2045</v>
      </c>
    </row>
    <row r="66" spans="1:13" x14ac:dyDescent="0.3">
      <c r="A66">
        <v>64</v>
      </c>
      <c r="B66">
        <v>929</v>
      </c>
      <c r="C66" t="s">
        <v>2057</v>
      </c>
      <c r="D66" t="s">
        <v>2048</v>
      </c>
      <c r="E66" s="5">
        <v>375292277672255</v>
      </c>
      <c r="F66" s="1">
        <v>44256</v>
      </c>
      <c r="G66">
        <v>667</v>
      </c>
      <c r="H66" t="s">
        <v>2047</v>
      </c>
      <c r="I66">
        <v>2</v>
      </c>
      <c r="J66" t="s">
        <v>2683</v>
      </c>
      <c r="K66" s="1">
        <v>38353</v>
      </c>
      <c r="L66">
        <v>2007</v>
      </c>
      <c r="M66" t="s">
        <v>2045</v>
      </c>
    </row>
    <row r="67" spans="1:13" x14ac:dyDescent="0.3">
      <c r="A67">
        <v>65</v>
      </c>
      <c r="B67">
        <v>1357</v>
      </c>
      <c r="C67" t="s">
        <v>2057</v>
      </c>
      <c r="D67" t="s">
        <v>2048</v>
      </c>
      <c r="E67" s="5">
        <v>302737588175602</v>
      </c>
      <c r="F67" s="1">
        <v>43922</v>
      </c>
      <c r="G67">
        <v>900</v>
      </c>
      <c r="H67" t="s">
        <v>2047</v>
      </c>
      <c r="I67">
        <v>2</v>
      </c>
      <c r="J67" t="s">
        <v>2353</v>
      </c>
      <c r="K67" s="1">
        <v>38353</v>
      </c>
      <c r="L67">
        <v>2014</v>
      </c>
      <c r="M67" t="s">
        <v>2045</v>
      </c>
    </row>
    <row r="68" spans="1:13" x14ac:dyDescent="0.3">
      <c r="A68">
        <v>66</v>
      </c>
      <c r="B68">
        <v>1430</v>
      </c>
      <c r="C68" t="s">
        <v>2061</v>
      </c>
      <c r="D68" t="s">
        <v>2048</v>
      </c>
      <c r="E68" s="6" t="s">
        <v>2933</v>
      </c>
      <c r="F68" s="1">
        <v>43891</v>
      </c>
      <c r="G68">
        <v>792</v>
      </c>
      <c r="H68" t="s">
        <v>2047</v>
      </c>
      <c r="I68">
        <v>1</v>
      </c>
      <c r="J68" t="s">
        <v>2271</v>
      </c>
      <c r="K68" s="1">
        <v>38353</v>
      </c>
      <c r="L68">
        <v>2013</v>
      </c>
      <c r="M68" t="s">
        <v>2045</v>
      </c>
    </row>
    <row r="69" spans="1:13" x14ac:dyDescent="0.3">
      <c r="A69">
        <v>67</v>
      </c>
      <c r="B69">
        <v>1296</v>
      </c>
      <c r="C69" t="s">
        <v>2053</v>
      </c>
      <c r="D69" t="s">
        <v>2048</v>
      </c>
      <c r="E69" s="6" t="s">
        <v>3670</v>
      </c>
      <c r="F69" s="1">
        <v>45597</v>
      </c>
      <c r="G69">
        <v>820</v>
      </c>
      <c r="H69" t="s">
        <v>2047</v>
      </c>
      <c r="I69">
        <v>2</v>
      </c>
      <c r="J69" t="s">
        <v>2242</v>
      </c>
      <c r="K69" s="1">
        <v>38353</v>
      </c>
      <c r="L69">
        <v>2014</v>
      </c>
      <c r="M69" t="s">
        <v>2045</v>
      </c>
    </row>
    <row r="70" spans="1:13" x14ac:dyDescent="0.3">
      <c r="A70">
        <v>68</v>
      </c>
      <c r="B70">
        <v>645</v>
      </c>
      <c r="C70" t="s">
        <v>2053</v>
      </c>
      <c r="D70" t="s">
        <v>2052</v>
      </c>
      <c r="E70" s="6" t="s">
        <v>3583</v>
      </c>
      <c r="F70" s="1">
        <v>44287</v>
      </c>
      <c r="G70">
        <v>316</v>
      </c>
      <c r="H70" t="s">
        <v>2047</v>
      </c>
      <c r="I70">
        <v>2</v>
      </c>
      <c r="J70" t="s">
        <v>3582</v>
      </c>
      <c r="K70" s="1">
        <v>38353</v>
      </c>
      <c r="L70">
        <v>2012</v>
      </c>
      <c r="M70" t="s">
        <v>2045</v>
      </c>
    </row>
    <row r="71" spans="1:13" x14ac:dyDescent="0.3">
      <c r="A71">
        <v>69</v>
      </c>
      <c r="B71">
        <v>826</v>
      </c>
      <c r="C71" t="s">
        <v>2053</v>
      </c>
      <c r="D71" t="s">
        <v>2048</v>
      </c>
      <c r="E71" s="6" t="s">
        <v>3367</v>
      </c>
      <c r="F71" s="1">
        <v>45413</v>
      </c>
      <c r="G71">
        <v>508</v>
      </c>
      <c r="H71" t="s">
        <v>2047</v>
      </c>
      <c r="I71">
        <v>1</v>
      </c>
      <c r="J71" t="s">
        <v>2188</v>
      </c>
      <c r="K71" s="1">
        <v>38353</v>
      </c>
      <c r="L71">
        <v>2012</v>
      </c>
      <c r="M71" t="s">
        <v>2045</v>
      </c>
    </row>
    <row r="72" spans="1:13" x14ac:dyDescent="0.3">
      <c r="A72">
        <v>70</v>
      </c>
      <c r="B72">
        <v>1993</v>
      </c>
      <c r="C72" t="s">
        <v>2053</v>
      </c>
      <c r="D72" t="s">
        <v>2048</v>
      </c>
      <c r="E72" s="6" t="s">
        <v>3106</v>
      </c>
      <c r="F72" s="1">
        <v>41153</v>
      </c>
      <c r="G72">
        <v>789</v>
      </c>
      <c r="H72" t="s">
        <v>2047</v>
      </c>
      <c r="I72">
        <v>2</v>
      </c>
      <c r="J72" t="s">
        <v>3105</v>
      </c>
      <c r="K72" s="1">
        <v>38353</v>
      </c>
      <c r="L72">
        <v>2010</v>
      </c>
      <c r="M72" t="s">
        <v>2045</v>
      </c>
    </row>
    <row r="73" spans="1:13" x14ac:dyDescent="0.3">
      <c r="A73">
        <v>71</v>
      </c>
      <c r="B73">
        <v>440</v>
      </c>
      <c r="C73" t="s">
        <v>2053</v>
      </c>
      <c r="D73" t="s">
        <v>2052</v>
      </c>
      <c r="E73" s="6" t="s">
        <v>2998</v>
      </c>
      <c r="F73" s="1">
        <v>44470</v>
      </c>
      <c r="G73">
        <v>805</v>
      </c>
      <c r="H73" t="s">
        <v>2047</v>
      </c>
      <c r="I73">
        <v>2</v>
      </c>
      <c r="J73" t="s">
        <v>1821</v>
      </c>
      <c r="K73" s="1">
        <v>38353</v>
      </c>
      <c r="L73">
        <v>2010</v>
      </c>
      <c r="M73" t="s">
        <v>2045</v>
      </c>
    </row>
    <row r="74" spans="1:13" x14ac:dyDescent="0.3">
      <c r="A74">
        <v>72</v>
      </c>
      <c r="B74">
        <v>1517</v>
      </c>
      <c r="C74" t="s">
        <v>2053</v>
      </c>
      <c r="D74" t="s">
        <v>2052</v>
      </c>
      <c r="E74" s="6" t="s">
        <v>2983</v>
      </c>
      <c r="F74" s="1">
        <v>45292</v>
      </c>
      <c r="G74">
        <v>306</v>
      </c>
      <c r="H74" t="s">
        <v>2047</v>
      </c>
      <c r="I74">
        <v>2</v>
      </c>
      <c r="J74" t="s">
        <v>2982</v>
      </c>
      <c r="K74" s="1">
        <v>38353</v>
      </c>
      <c r="L74">
        <v>2009</v>
      </c>
      <c r="M74" t="s">
        <v>2045</v>
      </c>
    </row>
    <row r="75" spans="1:13" x14ac:dyDescent="0.3">
      <c r="A75">
        <v>73</v>
      </c>
      <c r="B75">
        <v>1697</v>
      </c>
      <c r="C75" t="s">
        <v>2053</v>
      </c>
      <c r="D75" t="s">
        <v>2052</v>
      </c>
      <c r="E75" s="6" t="s">
        <v>2839</v>
      </c>
      <c r="F75" s="1">
        <v>38808</v>
      </c>
      <c r="G75">
        <v>884</v>
      </c>
      <c r="H75" t="s">
        <v>2047</v>
      </c>
      <c r="I75">
        <v>1</v>
      </c>
      <c r="J75" t="s">
        <v>1034</v>
      </c>
      <c r="K75" s="1">
        <v>38353</v>
      </c>
      <c r="L75">
        <v>2011</v>
      </c>
      <c r="M75" t="s">
        <v>2045</v>
      </c>
    </row>
    <row r="76" spans="1:13" x14ac:dyDescent="0.3">
      <c r="A76">
        <v>74</v>
      </c>
      <c r="B76">
        <v>1175</v>
      </c>
      <c r="C76" t="s">
        <v>2053</v>
      </c>
      <c r="D76" t="s">
        <v>2052</v>
      </c>
      <c r="E76" s="6" t="s">
        <v>2815</v>
      </c>
      <c r="F76" s="1">
        <v>40483</v>
      </c>
      <c r="G76">
        <v>248</v>
      </c>
      <c r="H76" t="s">
        <v>2047</v>
      </c>
      <c r="I76">
        <v>2</v>
      </c>
      <c r="J76" t="s">
        <v>2814</v>
      </c>
      <c r="K76" s="1">
        <v>38353</v>
      </c>
      <c r="L76">
        <v>2009</v>
      </c>
      <c r="M76" t="s">
        <v>2045</v>
      </c>
    </row>
    <row r="77" spans="1:13" x14ac:dyDescent="0.3">
      <c r="A77">
        <v>75</v>
      </c>
      <c r="B77">
        <v>1749</v>
      </c>
      <c r="C77" t="s">
        <v>2053</v>
      </c>
      <c r="D77" t="s">
        <v>2070</v>
      </c>
      <c r="E77" s="6" t="s">
        <v>2779</v>
      </c>
      <c r="F77" s="1">
        <v>43862</v>
      </c>
      <c r="G77">
        <v>480</v>
      </c>
      <c r="H77" t="s">
        <v>2055</v>
      </c>
      <c r="I77">
        <v>1</v>
      </c>
      <c r="J77" t="s">
        <v>2491</v>
      </c>
      <c r="K77" s="1">
        <v>38353</v>
      </c>
      <c r="L77">
        <v>2013</v>
      </c>
      <c r="M77" t="s">
        <v>2045</v>
      </c>
    </row>
    <row r="78" spans="1:13" x14ac:dyDescent="0.3">
      <c r="A78">
        <v>76</v>
      </c>
      <c r="B78">
        <v>462</v>
      </c>
      <c r="C78" t="s">
        <v>2053</v>
      </c>
      <c r="D78" t="s">
        <v>2052</v>
      </c>
      <c r="E78" s="6" t="s">
        <v>2688</v>
      </c>
      <c r="F78" s="1">
        <v>40269</v>
      </c>
      <c r="G78">
        <v>655</v>
      </c>
      <c r="H78" t="s">
        <v>2047</v>
      </c>
      <c r="I78">
        <v>2</v>
      </c>
      <c r="J78" t="s">
        <v>2687</v>
      </c>
      <c r="K78" s="1">
        <v>38353</v>
      </c>
      <c r="L78">
        <v>2008</v>
      </c>
      <c r="M78" t="s">
        <v>2045</v>
      </c>
    </row>
    <row r="79" spans="1:13" x14ac:dyDescent="0.3">
      <c r="A79">
        <v>77</v>
      </c>
      <c r="B79">
        <v>478</v>
      </c>
      <c r="C79" t="s">
        <v>2053</v>
      </c>
      <c r="D79" t="s">
        <v>2070</v>
      </c>
      <c r="E79" s="6" t="s">
        <v>2603</v>
      </c>
      <c r="F79" s="1">
        <v>45231</v>
      </c>
      <c r="G79">
        <v>602</v>
      </c>
      <c r="H79" t="s">
        <v>2047</v>
      </c>
      <c r="I79">
        <v>2</v>
      </c>
      <c r="J79" t="s">
        <v>2602</v>
      </c>
      <c r="K79" s="1">
        <v>38353</v>
      </c>
      <c r="L79">
        <v>2011</v>
      </c>
      <c r="M79" t="s">
        <v>2045</v>
      </c>
    </row>
    <row r="80" spans="1:13" x14ac:dyDescent="0.3">
      <c r="A80">
        <v>78</v>
      </c>
      <c r="B80">
        <v>1514</v>
      </c>
      <c r="C80" t="s">
        <v>2053</v>
      </c>
      <c r="D80" t="s">
        <v>2052</v>
      </c>
      <c r="E80" s="6" t="s">
        <v>2428</v>
      </c>
      <c r="F80" s="1">
        <v>45627</v>
      </c>
      <c r="G80">
        <v>673</v>
      </c>
      <c r="H80" t="s">
        <v>2047</v>
      </c>
      <c r="I80">
        <v>1</v>
      </c>
      <c r="J80" t="s">
        <v>2427</v>
      </c>
      <c r="K80" s="1">
        <v>38353</v>
      </c>
      <c r="L80">
        <v>2005</v>
      </c>
      <c r="M80" t="s">
        <v>2045</v>
      </c>
    </row>
    <row r="81" spans="1:13" x14ac:dyDescent="0.3">
      <c r="A81">
        <v>79</v>
      </c>
      <c r="B81">
        <v>1116</v>
      </c>
      <c r="C81" t="s">
        <v>2049</v>
      </c>
      <c r="D81" t="s">
        <v>2048</v>
      </c>
      <c r="E81" s="6" t="s">
        <v>3702</v>
      </c>
      <c r="F81" s="1">
        <v>44228</v>
      </c>
      <c r="G81">
        <v>497</v>
      </c>
      <c r="H81" t="s">
        <v>2047</v>
      </c>
      <c r="I81">
        <v>1</v>
      </c>
      <c r="J81" t="s">
        <v>2261</v>
      </c>
      <c r="K81" s="1">
        <v>38353</v>
      </c>
      <c r="L81">
        <v>2014</v>
      </c>
      <c r="M81" t="s">
        <v>2045</v>
      </c>
    </row>
    <row r="82" spans="1:13" x14ac:dyDescent="0.3">
      <c r="A82">
        <v>80</v>
      </c>
      <c r="B82">
        <v>1296</v>
      </c>
      <c r="C82" t="s">
        <v>2049</v>
      </c>
      <c r="D82" t="s">
        <v>2070</v>
      </c>
      <c r="E82" s="6" t="s">
        <v>3669</v>
      </c>
      <c r="F82" s="1">
        <v>45078</v>
      </c>
      <c r="G82">
        <v>458</v>
      </c>
      <c r="H82" t="s">
        <v>2047</v>
      </c>
      <c r="I82">
        <v>1</v>
      </c>
      <c r="J82" t="s">
        <v>2923</v>
      </c>
      <c r="K82" s="1">
        <v>38353</v>
      </c>
      <c r="L82">
        <v>2008</v>
      </c>
      <c r="M82" t="s">
        <v>2045</v>
      </c>
    </row>
    <row r="83" spans="1:13" x14ac:dyDescent="0.3">
      <c r="A83">
        <v>81</v>
      </c>
      <c r="B83">
        <v>1346</v>
      </c>
      <c r="C83" t="s">
        <v>2049</v>
      </c>
      <c r="D83" t="s">
        <v>2048</v>
      </c>
      <c r="E83" s="6" t="s">
        <v>3324</v>
      </c>
      <c r="F83" s="1">
        <v>45352</v>
      </c>
      <c r="G83">
        <v>503</v>
      </c>
      <c r="H83" t="s">
        <v>2047</v>
      </c>
      <c r="I83">
        <v>2</v>
      </c>
      <c r="J83" t="s">
        <v>3024</v>
      </c>
      <c r="K83" s="1">
        <v>38353</v>
      </c>
      <c r="L83">
        <v>2009</v>
      </c>
      <c r="M83" t="s">
        <v>2045</v>
      </c>
    </row>
    <row r="84" spans="1:13" x14ac:dyDescent="0.3">
      <c r="A84">
        <v>82</v>
      </c>
      <c r="B84">
        <v>957</v>
      </c>
      <c r="C84" t="s">
        <v>2049</v>
      </c>
      <c r="D84" t="s">
        <v>2052</v>
      </c>
      <c r="E84" s="6" t="s">
        <v>3319</v>
      </c>
      <c r="F84" s="1">
        <v>44470</v>
      </c>
      <c r="G84">
        <v>123</v>
      </c>
      <c r="H84" t="s">
        <v>2047</v>
      </c>
      <c r="I84">
        <v>2</v>
      </c>
      <c r="J84" t="s">
        <v>3318</v>
      </c>
      <c r="K84" s="1">
        <v>38353</v>
      </c>
      <c r="L84">
        <v>2014</v>
      </c>
      <c r="M84" t="s">
        <v>2045</v>
      </c>
    </row>
    <row r="85" spans="1:13" x14ac:dyDescent="0.3">
      <c r="A85">
        <v>83</v>
      </c>
      <c r="B85">
        <v>774</v>
      </c>
      <c r="C85" t="s">
        <v>2049</v>
      </c>
      <c r="D85" t="s">
        <v>2052</v>
      </c>
      <c r="E85" s="6" t="s">
        <v>3111</v>
      </c>
      <c r="F85" s="1">
        <v>45413</v>
      </c>
      <c r="G85">
        <v>805</v>
      </c>
      <c r="H85" t="s">
        <v>2047</v>
      </c>
      <c r="I85">
        <v>1</v>
      </c>
      <c r="J85" t="s">
        <v>3110</v>
      </c>
      <c r="K85" s="1">
        <v>38353</v>
      </c>
      <c r="L85">
        <v>2006</v>
      </c>
      <c r="M85" t="s">
        <v>2045</v>
      </c>
    </row>
    <row r="86" spans="1:13" x14ac:dyDescent="0.3">
      <c r="A86">
        <v>84</v>
      </c>
      <c r="B86">
        <v>868</v>
      </c>
      <c r="C86" t="s">
        <v>2049</v>
      </c>
      <c r="D86" t="s">
        <v>2052</v>
      </c>
      <c r="E86" s="6" t="s">
        <v>2987</v>
      </c>
      <c r="F86" s="1">
        <v>44958</v>
      </c>
      <c r="G86">
        <v>69</v>
      </c>
      <c r="H86" t="s">
        <v>2047</v>
      </c>
      <c r="I86">
        <v>2</v>
      </c>
      <c r="J86" t="s">
        <v>2986</v>
      </c>
      <c r="K86" s="1">
        <v>38353</v>
      </c>
      <c r="L86">
        <v>2009</v>
      </c>
      <c r="M86" t="s">
        <v>2045</v>
      </c>
    </row>
    <row r="87" spans="1:13" x14ac:dyDescent="0.3">
      <c r="A87">
        <v>85</v>
      </c>
      <c r="B87">
        <v>1236</v>
      </c>
      <c r="C87" t="s">
        <v>2049</v>
      </c>
      <c r="D87" t="s">
        <v>2052</v>
      </c>
      <c r="E87" s="6" t="s">
        <v>2868</v>
      </c>
      <c r="F87" s="1">
        <v>43525</v>
      </c>
      <c r="G87">
        <v>555</v>
      </c>
      <c r="H87" t="s">
        <v>2047</v>
      </c>
      <c r="I87">
        <v>2</v>
      </c>
      <c r="J87" t="s">
        <v>2867</v>
      </c>
      <c r="K87" s="1">
        <v>38353</v>
      </c>
      <c r="L87">
        <v>2013</v>
      </c>
      <c r="M87" t="s">
        <v>2045</v>
      </c>
    </row>
    <row r="88" spans="1:13" x14ac:dyDescent="0.3">
      <c r="A88">
        <v>86</v>
      </c>
      <c r="B88">
        <v>284</v>
      </c>
      <c r="C88" t="s">
        <v>2049</v>
      </c>
      <c r="D88" t="s">
        <v>2052</v>
      </c>
      <c r="E88" s="6" t="s">
        <v>2846</v>
      </c>
      <c r="F88" s="1">
        <v>45108</v>
      </c>
      <c r="G88">
        <v>124</v>
      </c>
      <c r="H88" t="s">
        <v>2047</v>
      </c>
      <c r="I88">
        <v>2</v>
      </c>
      <c r="J88" t="s">
        <v>2845</v>
      </c>
      <c r="K88" s="1">
        <v>38353</v>
      </c>
      <c r="L88">
        <v>2011</v>
      </c>
      <c r="M88" t="s">
        <v>2045</v>
      </c>
    </row>
    <row r="89" spans="1:13" x14ac:dyDescent="0.3">
      <c r="A89">
        <v>87</v>
      </c>
      <c r="B89">
        <v>139</v>
      </c>
      <c r="C89" t="s">
        <v>2049</v>
      </c>
      <c r="D89" t="s">
        <v>2052</v>
      </c>
      <c r="E89" s="6" t="s">
        <v>2818</v>
      </c>
      <c r="F89" s="1">
        <v>44774</v>
      </c>
      <c r="G89">
        <v>264</v>
      </c>
      <c r="H89" t="s">
        <v>2047</v>
      </c>
      <c r="I89">
        <v>1</v>
      </c>
      <c r="J89" t="s">
        <v>2817</v>
      </c>
      <c r="K89" s="1">
        <v>38353</v>
      </c>
      <c r="L89">
        <v>2011</v>
      </c>
      <c r="M89" t="s">
        <v>2045</v>
      </c>
    </row>
    <row r="90" spans="1:13" x14ac:dyDescent="0.3">
      <c r="A90">
        <v>88</v>
      </c>
      <c r="B90">
        <v>1390</v>
      </c>
      <c r="C90" t="s">
        <v>2057</v>
      </c>
      <c r="D90" t="s">
        <v>2048</v>
      </c>
      <c r="E90" s="5">
        <v>343439312469610</v>
      </c>
      <c r="F90" s="1">
        <v>44986</v>
      </c>
      <c r="G90">
        <v>98</v>
      </c>
      <c r="H90" t="s">
        <v>2047</v>
      </c>
      <c r="I90">
        <v>2</v>
      </c>
      <c r="J90" t="s">
        <v>1391</v>
      </c>
      <c r="K90" s="1">
        <v>38718</v>
      </c>
      <c r="L90">
        <v>2011</v>
      </c>
      <c r="M90" t="s">
        <v>2045</v>
      </c>
    </row>
    <row r="91" spans="1:13" x14ac:dyDescent="0.3">
      <c r="A91">
        <v>89</v>
      </c>
      <c r="B91">
        <v>1959</v>
      </c>
      <c r="C91" t="s">
        <v>2057</v>
      </c>
      <c r="D91" t="s">
        <v>2048</v>
      </c>
      <c r="E91" s="5">
        <v>398744318776089</v>
      </c>
      <c r="F91" s="1">
        <v>44228</v>
      </c>
      <c r="G91">
        <v>992</v>
      </c>
      <c r="H91" t="s">
        <v>2047</v>
      </c>
      <c r="I91">
        <v>2</v>
      </c>
      <c r="J91" t="s">
        <v>2058</v>
      </c>
      <c r="K91" s="1">
        <v>38718</v>
      </c>
      <c r="L91">
        <v>2009</v>
      </c>
      <c r="M91" t="s">
        <v>2045</v>
      </c>
    </row>
    <row r="92" spans="1:13" x14ac:dyDescent="0.3">
      <c r="A92">
        <v>90</v>
      </c>
      <c r="B92">
        <v>852</v>
      </c>
      <c r="C92" t="s">
        <v>2057</v>
      </c>
      <c r="D92" t="s">
        <v>2048</v>
      </c>
      <c r="E92" s="5">
        <v>377759808724051</v>
      </c>
      <c r="F92" s="1">
        <v>45200</v>
      </c>
      <c r="G92">
        <v>360</v>
      </c>
      <c r="H92" t="s">
        <v>2047</v>
      </c>
      <c r="I92">
        <v>1</v>
      </c>
      <c r="J92" t="s">
        <v>2214</v>
      </c>
      <c r="K92" s="1">
        <v>38718</v>
      </c>
      <c r="L92">
        <v>2013</v>
      </c>
      <c r="M92" t="s">
        <v>2045</v>
      </c>
    </row>
    <row r="93" spans="1:13" x14ac:dyDescent="0.3">
      <c r="A93">
        <v>91</v>
      </c>
      <c r="B93">
        <v>1187</v>
      </c>
      <c r="C93" t="s">
        <v>2057</v>
      </c>
      <c r="D93" t="s">
        <v>2048</v>
      </c>
      <c r="E93" s="5">
        <v>307297025936750</v>
      </c>
      <c r="F93" s="1">
        <v>44166</v>
      </c>
      <c r="G93">
        <v>918</v>
      </c>
      <c r="H93" t="s">
        <v>2047</v>
      </c>
      <c r="I93">
        <v>1</v>
      </c>
      <c r="J93" t="s">
        <v>2415</v>
      </c>
      <c r="K93" s="1">
        <v>38718</v>
      </c>
      <c r="L93">
        <v>2011</v>
      </c>
      <c r="M93" t="s">
        <v>2045</v>
      </c>
    </row>
    <row r="94" spans="1:13" x14ac:dyDescent="0.3">
      <c r="A94">
        <v>92</v>
      </c>
      <c r="B94">
        <v>1130</v>
      </c>
      <c r="C94" t="s">
        <v>2057</v>
      </c>
      <c r="D94" t="s">
        <v>2048</v>
      </c>
      <c r="E94" s="5">
        <v>366703189364969</v>
      </c>
      <c r="F94" s="1">
        <v>45292</v>
      </c>
      <c r="G94">
        <v>3</v>
      </c>
      <c r="H94" t="s">
        <v>2047</v>
      </c>
      <c r="I94">
        <v>1</v>
      </c>
      <c r="J94" t="s">
        <v>2449</v>
      </c>
      <c r="K94" s="1">
        <v>38718</v>
      </c>
      <c r="L94">
        <v>2010</v>
      </c>
      <c r="M94" t="s">
        <v>2045</v>
      </c>
    </row>
    <row r="95" spans="1:13" x14ac:dyDescent="0.3">
      <c r="A95">
        <v>93</v>
      </c>
      <c r="B95">
        <v>311</v>
      </c>
      <c r="C95" t="s">
        <v>2061</v>
      </c>
      <c r="D95" t="s">
        <v>2048</v>
      </c>
      <c r="E95" s="6" t="s">
        <v>3325</v>
      </c>
      <c r="F95" s="1">
        <v>45505</v>
      </c>
      <c r="G95">
        <v>972</v>
      </c>
      <c r="H95" t="s">
        <v>2047</v>
      </c>
      <c r="I95">
        <v>1</v>
      </c>
      <c r="J95" t="s">
        <v>2490</v>
      </c>
      <c r="K95" s="1">
        <v>38718</v>
      </c>
      <c r="L95">
        <v>2007</v>
      </c>
      <c r="M95" t="s">
        <v>2045</v>
      </c>
    </row>
    <row r="96" spans="1:13" x14ac:dyDescent="0.3">
      <c r="A96">
        <v>94</v>
      </c>
      <c r="B96">
        <v>1684</v>
      </c>
      <c r="C96" t="s">
        <v>2053</v>
      </c>
      <c r="D96" t="s">
        <v>2052</v>
      </c>
      <c r="E96" s="6" t="s">
        <v>3581</v>
      </c>
      <c r="F96" s="1">
        <v>44713</v>
      </c>
      <c r="G96">
        <v>312</v>
      </c>
      <c r="H96" t="s">
        <v>2047</v>
      </c>
      <c r="I96">
        <v>1</v>
      </c>
      <c r="J96" t="s">
        <v>3580</v>
      </c>
      <c r="K96" s="1">
        <v>38718</v>
      </c>
      <c r="L96">
        <v>2010</v>
      </c>
      <c r="M96" t="s">
        <v>2045</v>
      </c>
    </row>
    <row r="97" spans="1:13" x14ac:dyDescent="0.3">
      <c r="A97">
        <v>95</v>
      </c>
      <c r="B97">
        <v>1512</v>
      </c>
      <c r="C97" t="s">
        <v>2053</v>
      </c>
      <c r="D97" t="s">
        <v>2070</v>
      </c>
      <c r="E97" s="6" t="s">
        <v>3530</v>
      </c>
      <c r="F97" s="1">
        <v>41791</v>
      </c>
      <c r="G97">
        <v>406</v>
      </c>
      <c r="H97" t="s">
        <v>2047</v>
      </c>
      <c r="I97">
        <v>1</v>
      </c>
      <c r="J97" t="s">
        <v>2544</v>
      </c>
      <c r="K97" s="1">
        <v>38718</v>
      </c>
      <c r="L97">
        <v>2011</v>
      </c>
      <c r="M97" t="s">
        <v>2045</v>
      </c>
    </row>
    <row r="98" spans="1:13" x14ac:dyDescent="0.3">
      <c r="A98">
        <v>96</v>
      </c>
      <c r="B98">
        <v>81</v>
      </c>
      <c r="C98" t="s">
        <v>2053</v>
      </c>
      <c r="D98" t="s">
        <v>2048</v>
      </c>
      <c r="E98" s="6" t="s">
        <v>3372</v>
      </c>
      <c r="F98" s="1">
        <v>43831</v>
      </c>
      <c r="G98">
        <v>877</v>
      </c>
      <c r="H98" t="s">
        <v>2055</v>
      </c>
      <c r="I98">
        <v>2</v>
      </c>
      <c r="J98" t="s">
        <v>22</v>
      </c>
      <c r="K98" s="1">
        <v>38718</v>
      </c>
      <c r="L98">
        <v>2012</v>
      </c>
      <c r="M98" t="s">
        <v>2045</v>
      </c>
    </row>
    <row r="99" spans="1:13" x14ac:dyDescent="0.3">
      <c r="A99">
        <v>97</v>
      </c>
      <c r="B99">
        <v>946</v>
      </c>
      <c r="C99" t="s">
        <v>2053</v>
      </c>
      <c r="D99" t="s">
        <v>2052</v>
      </c>
      <c r="E99" s="6" t="s">
        <v>3337</v>
      </c>
      <c r="F99" s="1">
        <v>44228</v>
      </c>
      <c r="G99">
        <v>606</v>
      </c>
      <c r="H99" t="s">
        <v>2047</v>
      </c>
      <c r="I99">
        <v>1</v>
      </c>
      <c r="J99" t="s">
        <v>3336</v>
      </c>
      <c r="K99" s="1">
        <v>38718</v>
      </c>
      <c r="L99">
        <v>2010</v>
      </c>
      <c r="M99" t="s">
        <v>2045</v>
      </c>
    </row>
    <row r="100" spans="1:13" x14ac:dyDescent="0.3">
      <c r="A100">
        <v>98</v>
      </c>
      <c r="B100">
        <v>549</v>
      </c>
      <c r="C100" t="s">
        <v>2053</v>
      </c>
      <c r="D100" t="s">
        <v>2052</v>
      </c>
      <c r="E100" s="6" t="s">
        <v>3253</v>
      </c>
      <c r="F100" s="1">
        <v>42736</v>
      </c>
      <c r="G100">
        <v>865</v>
      </c>
      <c r="H100" t="s">
        <v>2047</v>
      </c>
      <c r="I100">
        <v>2</v>
      </c>
      <c r="J100" t="s">
        <v>2908</v>
      </c>
      <c r="K100" s="1">
        <v>38718</v>
      </c>
      <c r="L100">
        <v>2014</v>
      </c>
      <c r="M100" t="s">
        <v>2045</v>
      </c>
    </row>
    <row r="101" spans="1:13" x14ac:dyDescent="0.3">
      <c r="A101">
        <v>99</v>
      </c>
      <c r="B101">
        <v>248</v>
      </c>
      <c r="C101" t="s">
        <v>2053</v>
      </c>
      <c r="D101" t="s">
        <v>2052</v>
      </c>
      <c r="E101" s="6" t="s">
        <v>3124</v>
      </c>
      <c r="F101" s="1">
        <v>41365</v>
      </c>
      <c r="G101">
        <v>369</v>
      </c>
      <c r="H101" t="s">
        <v>2047</v>
      </c>
      <c r="I101">
        <v>2</v>
      </c>
      <c r="J101" t="s">
        <v>3123</v>
      </c>
      <c r="K101" s="1">
        <v>38718</v>
      </c>
      <c r="L101">
        <v>2010</v>
      </c>
      <c r="M101" t="s">
        <v>2045</v>
      </c>
    </row>
    <row r="102" spans="1:13" x14ac:dyDescent="0.3">
      <c r="A102">
        <v>100</v>
      </c>
      <c r="B102">
        <v>1822</v>
      </c>
      <c r="C102" t="s">
        <v>2053</v>
      </c>
      <c r="D102" t="s">
        <v>2052</v>
      </c>
      <c r="E102" s="6" t="s">
        <v>3109</v>
      </c>
      <c r="F102" s="1">
        <v>44440</v>
      </c>
      <c r="G102">
        <v>47</v>
      </c>
      <c r="H102" t="s">
        <v>2047</v>
      </c>
      <c r="I102">
        <v>2</v>
      </c>
      <c r="J102" t="s">
        <v>3108</v>
      </c>
      <c r="K102" s="1">
        <v>38718</v>
      </c>
      <c r="L102">
        <v>2010</v>
      </c>
      <c r="M102" t="s">
        <v>2045</v>
      </c>
    </row>
    <row r="103" spans="1:13" x14ac:dyDescent="0.3">
      <c r="A103">
        <v>101</v>
      </c>
      <c r="B103">
        <v>1813</v>
      </c>
      <c r="C103" t="s">
        <v>2053</v>
      </c>
      <c r="D103" t="s">
        <v>2070</v>
      </c>
      <c r="E103" s="6" t="s">
        <v>3062</v>
      </c>
      <c r="F103" s="1">
        <v>45383</v>
      </c>
      <c r="G103">
        <v>233</v>
      </c>
      <c r="H103" t="s">
        <v>2047</v>
      </c>
      <c r="I103">
        <v>1</v>
      </c>
      <c r="J103" t="s">
        <v>3055</v>
      </c>
      <c r="K103" s="1">
        <v>38718</v>
      </c>
      <c r="L103">
        <v>2010</v>
      </c>
      <c r="M103" t="s">
        <v>2045</v>
      </c>
    </row>
    <row r="104" spans="1:13" x14ac:dyDescent="0.3">
      <c r="A104">
        <v>102</v>
      </c>
      <c r="B104">
        <v>1129</v>
      </c>
      <c r="C104" t="s">
        <v>2053</v>
      </c>
      <c r="D104" t="s">
        <v>2052</v>
      </c>
      <c r="E104" s="6" t="s">
        <v>2925</v>
      </c>
      <c r="F104" s="1">
        <v>43952</v>
      </c>
      <c r="G104">
        <v>256</v>
      </c>
      <c r="H104" t="s">
        <v>2047</v>
      </c>
      <c r="I104">
        <v>1</v>
      </c>
      <c r="J104" t="s">
        <v>2924</v>
      </c>
      <c r="K104" s="1">
        <v>38718</v>
      </c>
      <c r="L104">
        <v>2008</v>
      </c>
      <c r="M104" t="s">
        <v>2045</v>
      </c>
    </row>
    <row r="105" spans="1:13" x14ac:dyDescent="0.3">
      <c r="A105">
        <v>103</v>
      </c>
      <c r="B105">
        <v>1461</v>
      </c>
      <c r="C105" t="s">
        <v>2053</v>
      </c>
      <c r="D105" t="s">
        <v>2052</v>
      </c>
      <c r="E105" s="6" t="s">
        <v>2496</v>
      </c>
      <c r="F105" s="1">
        <v>45200</v>
      </c>
      <c r="G105">
        <v>564</v>
      </c>
      <c r="H105" t="s">
        <v>2047</v>
      </c>
      <c r="I105">
        <v>2</v>
      </c>
      <c r="J105" t="s">
        <v>2495</v>
      </c>
      <c r="K105" s="1">
        <v>38718</v>
      </c>
      <c r="L105">
        <v>2007</v>
      </c>
      <c r="M105" t="s">
        <v>2045</v>
      </c>
    </row>
    <row r="106" spans="1:13" x14ac:dyDescent="0.3">
      <c r="A106">
        <v>104</v>
      </c>
      <c r="B106">
        <v>257</v>
      </c>
      <c r="C106" t="s">
        <v>2053</v>
      </c>
      <c r="D106" t="s">
        <v>2052</v>
      </c>
      <c r="E106" s="6" t="s">
        <v>2459</v>
      </c>
      <c r="F106" s="1">
        <v>45566</v>
      </c>
      <c r="G106">
        <v>516</v>
      </c>
      <c r="H106" t="s">
        <v>2047</v>
      </c>
      <c r="I106">
        <v>2</v>
      </c>
      <c r="J106" t="s">
        <v>2458</v>
      </c>
      <c r="K106" s="1">
        <v>38718</v>
      </c>
      <c r="L106">
        <v>2014</v>
      </c>
      <c r="M106" t="s">
        <v>2045</v>
      </c>
    </row>
    <row r="107" spans="1:13" x14ac:dyDescent="0.3">
      <c r="A107">
        <v>105</v>
      </c>
      <c r="B107">
        <v>783</v>
      </c>
      <c r="C107" t="s">
        <v>2053</v>
      </c>
      <c r="D107" t="s">
        <v>2048</v>
      </c>
      <c r="E107" s="6" t="s">
        <v>2334</v>
      </c>
      <c r="F107" s="1">
        <v>39356</v>
      </c>
      <c r="G107">
        <v>908</v>
      </c>
      <c r="H107" t="s">
        <v>2047</v>
      </c>
      <c r="I107">
        <v>2</v>
      </c>
      <c r="J107" t="s">
        <v>2096</v>
      </c>
      <c r="K107" s="1">
        <v>38718</v>
      </c>
      <c r="L107">
        <v>2008</v>
      </c>
      <c r="M107" t="s">
        <v>2045</v>
      </c>
    </row>
    <row r="108" spans="1:13" x14ac:dyDescent="0.3">
      <c r="A108">
        <v>106</v>
      </c>
      <c r="B108">
        <v>517</v>
      </c>
      <c r="C108" t="s">
        <v>2053</v>
      </c>
      <c r="D108" t="s">
        <v>2048</v>
      </c>
      <c r="E108" s="6" t="s">
        <v>2297</v>
      </c>
      <c r="F108" s="1">
        <v>44287</v>
      </c>
      <c r="G108">
        <v>342</v>
      </c>
      <c r="H108" t="s">
        <v>2047</v>
      </c>
      <c r="I108">
        <v>1</v>
      </c>
      <c r="J108" t="s">
        <v>2270</v>
      </c>
      <c r="K108" s="1">
        <v>38718</v>
      </c>
      <c r="L108">
        <v>2016</v>
      </c>
      <c r="M108" t="s">
        <v>2045</v>
      </c>
    </row>
    <row r="109" spans="1:13" x14ac:dyDescent="0.3">
      <c r="A109">
        <v>107</v>
      </c>
      <c r="B109">
        <v>153</v>
      </c>
      <c r="C109" t="s">
        <v>2049</v>
      </c>
      <c r="D109" t="s">
        <v>2052</v>
      </c>
      <c r="E109" s="6" t="s">
        <v>3695</v>
      </c>
      <c r="F109" s="1">
        <v>43313</v>
      </c>
      <c r="G109">
        <v>852</v>
      </c>
      <c r="H109" t="s">
        <v>2047</v>
      </c>
      <c r="I109">
        <v>1</v>
      </c>
      <c r="J109" t="s">
        <v>3694</v>
      </c>
      <c r="K109" s="1">
        <v>38718</v>
      </c>
      <c r="L109">
        <v>2010</v>
      </c>
      <c r="M109" t="s">
        <v>2045</v>
      </c>
    </row>
    <row r="110" spans="1:13" x14ac:dyDescent="0.3">
      <c r="A110">
        <v>108</v>
      </c>
      <c r="B110">
        <v>1520</v>
      </c>
      <c r="C110" t="s">
        <v>2049</v>
      </c>
      <c r="D110" t="s">
        <v>2048</v>
      </c>
      <c r="E110" s="6" t="s">
        <v>3598</v>
      </c>
      <c r="F110" s="1">
        <v>45047</v>
      </c>
      <c r="G110">
        <v>983</v>
      </c>
      <c r="H110" t="s">
        <v>2047</v>
      </c>
      <c r="I110">
        <v>1</v>
      </c>
      <c r="J110" t="s">
        <v>2199</v>
      </c>
      <c r="K110" s="1">
        <v>38718</v>
      </c>
      <c r="L110">
        <v>2015</v>
      </c>
      <c r="M110" t="s">
        <v>2045</v>
      </c>
    </row>
    <row r="111" spans="1:13" x14ac:dyDescent="0.3">
      <c r="A111">
        <v>109</v>
      </c>
      <c r="B111">
        <v>87</v>
      </c>
      <c r="C111" t="s">
        <v>2049</v>
      </c>
      <c r="D111" t="s">
        <v>2048</v>
      </c>
      <c r="E111" s="6" t="s">
        <v>3366</v>
      </c>
      <c r="F111" s="1">
        <v>44682</v>
      </c>
      <c r="G111">
        <v>450</v>
      </c>
      <c r="H111" t="s">
        <v>2047</v>
      </c>
      <c r="I111">
        <v>1</v>
      </c>
      <c r="J111" t="s">
        <v>2168</v>
      </c>
      <c r="K111" s="1">
        <v>38718</v>
      </c>
      <c r="L111">
        <v>2011</v>
      </c>
      <c r="M111" t="s">
        <v>2045</v>
      </c>
    </row>
    <row r="112" spans="1:13" x14ac:dyDescent="0.3">
      <c r="A112">
        <v>110</v>
      </c>
      <c r="B112">
        <v>103</v>
      </c>
      <c r="C112" t="s">
        <v>2049</v>
      </c>
      <c r="D112" t="s">
        <v>2052</v>
      </c>
      <c r="E112" s="6" t="s">
        <v>3279</v>
      </c>
      <c r="F112" s="1">
        <v>45017</v>
      </c>
      <c r="G112">
        <v>860</v>
      </c>
      <c r="H112" t="s">
        <v>2047</v>
      </c>
      <c r="I112">
        <v>2</v>
      </c>
      <c r="J112" t="s">
        <v>3278</v>
      </c>
      <c r="K112" s="1">
        <v>38718</v>
      </c>
      <c r="L112">
        <v>2007</v>
      </c>
      <c r="M112" t="s">
        <v>2045</v>
      </c>
    </row>
    <row r="113" spans="1:13" x14ac:dyDescent="0.3">
      <c r="A113">
        <v>111</v>
      </c>
      <c r="B113">
        <v>1307</v>
      </c>
      <c r="C113" t="s">
        <v>2049</v>
      </c>
      <c r="D113" t="s">
        <v>2052</v>
      </c>
      <c r="E113" s="6" t="s">
        <v>3208</v>
      </c>
      <c r="F113" s="1">
        <v>44470</v>
      </c>
      <c r="G113">
        <v>186</v>
      </c>
      <c r="H113" t="s">
        <v>2047</v>
      </c>
      <c r="I113">
        <v>2</v>
      </c>
      <c r="J113" t="s">
        <v>3207</v>
      </c>
      <c r="K113" s="1">
        <v>38718</v>
      </c>
      <c r="L113">
        <v>2012</v>
      </c>
      <c r="M113" t="s">
        <v>2045</v>
      </c>
    </row>
    <row r="114" spans="1:13" x14ac:dyDescent="0.3">
      <c r="A114">
        <v>112</v>
      </c>
      <c r="B114">
        <v>442</v>
      </c>
      <c r="C114" t="s">
        <v>2049</v>
      </c>
      <c r="D114" t="s">
        <v>2052</v>
      </c>
      <c r="E114" s="6" t="s">
        <v>3130</v>
      </c>
      <c r="F114" s="1">
        <v>43862</v>
      </c>
      <c r="G114">
        <v>403</v>
      </c>
      <c r="H114" t="s">
        <v>2047</v>
      </c>
      <c r="I114">
        <v>1</v>
      </c>
      <c r="J114" t="s">
        <v>3129</v>
      </c>
      <c r="K114" s="1">
        <v>38718</v>
      </c>
      <c r="L114">
        <v>2006</v>
      </c>
      <c r="M114" t="s">
        <v>2045</v>
      </c>
    </row>
    <row r="115" spans="1:13" x14ac:dyDescent="0.3">
      <c r="A115">
        <v>113</v>
      </c>
      <c r="B115">
        <v>1736</v>
      </c>
      <c r="C115" t="s">
        <v>2049</v>
      </c>
      <c r="D115" t="s">
        <v>2052</v>
      </c>
      <c r="E115" s="6" t="s">
        <v>3030</v>
      </c>
      <c r="F115" s="1">
        <v>44348</v>
      </c>
      <c r="G115">
        <v>880</v>
      </c>
      <c r="H115" t="s">
        <v>2047</v>
      </c>
      <c r="I115">
        <v>1</v>
      </c>
      <c r="J115" t="s">
        <v>3029</v>
      </c>
      <c r="K115" s="1">
        <v>38718</v>
      </c>
      <c r="L115">
        <v>2014</v>
      </c>
      <c r="M115" t="s">
        <v>2045</v>
      </c>
    </row>
    <row r="116" spans="1:13" x14ac:dyDescent="0.3">
      <c r="A116">
        <v>114</v>
      </c>
      <c r="B116">
        <v>1695</v>
      </c>
      <c r="C116" t="s">
        <v>2049</v>
      </c>
      <c r="D116" t="s">
        <v>2052</v>
      </c>
      <c r="E116" s="6" t="s">
        <v>2889</v>
      </c>
      <c r="F116" s="1">
        <v>44531</v>
      </c>
      <c r="G116">
        <v>770</v>
      </c>
      <c r="H116" t="s">
        <v>2047</v>
      </c>
      <c r="I116">
        <v>3</v>
      </c>
      <c r="J116" t="s">
        <v>2888</v>
      </c>
      <c r="K116" s="1">
        <v>38718</v>
      </c>
      <c r="L116">
        <v>2007</v>
      </c>
      <c r="M116" t="s">
        <v>2045</v>
      </c>
    </row>
    <row r="117" spans="1:13" x14ac:dyDescent="0.3">
      <c r="A117">
        <v>115</v>
      </c>
      <c r="B117">
        <v>1635</v>
      </c>
      <c r="C117" t="s">
        <v>2049</v>
      </c>
      <c r="D117" t="s">
        <v>2052</v>
      </c>
      <c r="E117" s="6" t="s">
        <v>2874</v>
      </c>
      <c r="F117" s="1">
        <v>44835</v>
      </c>
      <c r="G117">
        <v>443</v>
      </c>
      <c r="H117" t="s">
        <v>2047</v>
      </c>
      <c r="I117">
        <v>2</v>
      </c>
      <c r="J117" t="s">
        <v>2873</v>
      </c>
      <c r="K117" s="1">
        <v>38718</v>
      </c>
      <c r="L117">
        <v>2009</v>
      </c>
      <c r="M117" t="s">
        <v>2045</v>
      </c>
    </row>
    <row r="118" spans="1:13" x14ac:dyDescent="0.3">
      <c r="A118">
        <v>116</v>
      </c>
      <c r="B118">
        <v>1175</v>
      </c>
      <c r="C118" t="s">
        <v>2049</v>
      </c>
      <c r="D118" t="s">
        <v>2052</v>
      </c>
      <c r="E118" s="6" t="s">
        <v>2813</v>
      </c>
      <c r="F118" s="1">
        <v>45352</v>
      </c>
      <c r="G118">
        <v>281</v>
      </c>
      <c r="H118" t="s">
        <v>2047</v>
      </c>
      <c r="I118">
        <v>2</v>
      </c>
      <c r="J118" t="s">
        <v>2812</v>
      </c>
      <c r="K118" s="1">
        <v>38718</v>
      </c>
      <c r="L118">
        <v>2014</v>
      </c>
      <c r="M118" t="s">
        <v>2045</v>
      </c>
    </row>
    <row r="119" spans="1:13" x14ac:dyDescent="0.3">
      <c r="A119">
        <v>117</v>
      </c>
      <c r="B119">
        <v>1458</v>
      </c>
      <c r="C119" t="s">
        <v>2049</v>
      </c>
      <c r="D119" t="s">
        <v>2052</v>
      </c>
      <c r="E119" s="6" t="s">
        <v>2629</v>
      </c>
      <c r="F119" s="1">
        <v>44317</v>
      </c>
      <c r="G119">
        <v>329</v>
      </c>
      <c r="H119" t="s">
        <v>2047</v>
      </c>
      <c r="I119">
        <v>1</v>
      </c>
      <c r="J119" t="s">
        <v>2628</v>
      </c>
      <c r="K119" s="1">
        <v>38718</v>
      </c>
      <c r="L119">
        <v>2011</v>
      </c>
      <c r="M119" t="s">
        <v>2045</v>
      </c>
    </row>
    <row r="120" spans="1:13" x14ac:dyDescent="0.3">
      <c r="A120">
        <v>118</v>
      </c>
      <c r="B120">
        <v>376</v>
      </c>
      <c r="C120" t="s">
        <v>2049</v>
      </c>
      <c r="D120" t="s">
        <v>2048</v>
      </c>
      <c r="E120" s="6" t="s">
        <v>2379</v>
      </c>
      <c r="F120" s="1">
        <v>44105</v>
      </c>
      <c r="G120">
        <v>900</v>
      </c>
      <c r="H120" t="s">
        <v>2047</v>
      </c>
      <c r="I120">
        <v>2</v>
      </c>
      <c r="J120" t="s">
        <v>2378</v>
      </c>
      <c r="K120" s="1">
        <v>38718</v>
      </c>
      <c r="L120">
        <v>2009</v>
      </c>
      <c r="M120" t="s">
        <v>2045</v>
      </c>
    </row>
    <row r="121" spans="1:13" x14ac:dyDescent="0.3">
      <c r="A121">
        <v>119</v>
      </c>
      <c r="B121">
        <v>779</v>
      </c>
      <c r="C121" t="s">
        <v>2049</v>
      </c>
      <c r="D121" t="s">
        <v>2052</v>
      </c>
      <c r="E121" s="6" t="s">
        <v>2241</v>
      </c>
      <c r="F121" s="1">
        <v>45292</v>
      </c>
      <c r="G121">
        <v>889</v>
      </c>
      <c r="H121" t="s">
        <v>2047</v>
      </c>
      <c r="I121">
        <v>2</v>
      </c>
      <c r="J121" t="s">
        <v>2240</v>
      </c>
      <c r="K121" s="1">
        <v>38718</v>
      </c>
      <c r="L121">
        <v>2014</v>
      </c>
      <c r="M121" t="s">
        <v>2045</v>
      </c>
    </row>
    <row r="122" spans="1:13" x14ac:dyDescent="0.3">
      <c r="A122">
        <v>120</v>
      </c>
      <c r="B122">
        <v>459</v>
      </c>
      <c r="C122" t="s">
        <v>2049</v>
      </c>
      <c r="D122" t="s">
        <v>2048</v>
      </c>
      <c r="E122" s="6" t="s">
        <v>2220</v>
      </c>
      <c r="F122" s="1">
        <v>43862</v>
      </c>
      <c r="G122">
        <v>685</v>
      </c>
      <c r="H122" t="s">
        <v>2047</v>
      </c>
      <c r="I122">
        <v>1</v>
      </c>
      <c r="J122" t="s">
        <v>2219</v>
      </c>
      <c r="K122" s="1">
        <v>38718</v>
      </c>
      <c r="L122">
        <v>2018</v>
      </c>
      <c r="M122" t="s">
        <v>2045</v>
      </c>
    </row>
    <row r="123" spans="1:13" x14ac:dyDescent="0.3">
      <c r="A123">
        <v>121</v>
      </c>
      <c r="B123">
        <v>984</v>
      </c>
      <c r="C123" t="s">
        <v>2049</v>
      </c>
      <c r="D123" t="s">
        <v>2048</v>
      </c>
      <c r="E123" s="6" t="s">
        <v>2202</v>
      </c>
      <c r="F123" s="1">
        <v>45413</v>
      </c>
      <c r="G123">
        <v>949</v>
      </c>
      <c r="H123" t="s">
        <v>2047</v>
      </c>
      <c r="I123">
        <v>2</v>
      </c>
      <c r="J123" t="s">
        <v>2149</v>
      </c>
      <c r="K123" s="1">
        <v>38718</v>
      </c>
      <c r="L123">
        <v>2015</v>
      </c>
      <c r="M123" t="s">
        <v>2045</v>
      </c>
    </row>
    <row r="124" spans="1:13" x14ac:dyDescent="0.3">
      <c r="A124">
        <v>122</v>
      </c>
      <c r="B124">
        <v>1227</v>
      </c>
      <c r="C124" t="s">
        <v>2057</v>
      </c>
      <c r="D124" t="s">
        <v>2048</v>
      </c>
      <c r="E124" s="5">
        <v>349565330549626</v>
      </c>
      <c r="F124" s="1">
        <v>43922</v>
      </c>
      <c r="G124">
        <v>178</v>
      </c>
      <c r="H124" t="s">
        <v>2055</v>
      </c>
      <c r="I124">
        <v>1</v>
      </c>
      <c r="J124" t="s">
        <v>2353</v>
      </c>
      <c r="K124" s="1">
        <v>39083</v>
      </c>
      <c r="L124">
        <v>2007</v>
      </c>
      <c r="M124" t="s">
        <v>2045</v>
      </c>
    </row>
    <row r="125" spans="1:13" x14ac:dyDescent="0.3">
      <c r="A125">
        <v>123</v>
      </c>
      <c r="B125">
        <v>280</v>
      </c>
      <c r="C125" t="s">
        <v>2057</v>
      </c>
      <c r="D125" t="s">
        <v>2048</v>
      </c>
      <c r="E125" s="5">
        <v>340690023329145</v>
      </c>
      <c r="F125" s="1">
        <v>39203</v>
      </c>
      <c r="G125">
        <v>921</v>
      </c>
      <c r="H125" t="s">
        <v>2047</v>
      </c>
      <c r="I125">
        <v>1</v>
      </c>
      <c r="J125" t="s">
        <v>2290</v>
      </c>
      <c r="K125" s="1">
        <v>39083</v>
      </c>
      <c r="L125">
        <v>2009</v>
      </c>
      <c r="M125" t="s">
        <v>2045</v>
      </c>
    </row>
    <row r="126" spans="1:13" x14ac:dyDescent="0.3">
      <c r="A126">
        <v>124</v>
      </c>
      <c r="B126">
        <v>629</v>
      </c>
      <c r="C126" t="s">
        <v>2057</v>
      </c>
      <c r="D126" t="s">
        <v>2048</v>
      </c>
      <c r="E126" s="5">
        <v>335499499050062</v>
      </c>
      <c r="F126" s="1">
        <v>44136</v>
      </c>
      <c r="G126">
        <v>520</v>
      </c>
      <c r="H126" t="s">
        <v>2055</v>
      </c>
      <c r="I126">
        <v>2</v>
      </c>
      <c r="J126" t="s">
        <v>2731</v>
      </c>
      <c r="K126" s="1">
        <v>39083</v>
      </c>
      <c r="L126">
        <v>2007</v>
      </c>
      <c r="M126" t="s">
        <v>2045</v>
      </c>
    </row>
    <row r="127" spans="1:13" x14ac:dyDescent="0.3">
      <c r="A127">
        <v>125</v>
      </c>
      <c r="B127">
        <v>546</v>
      </c>
      <c r="C127" t="s">
        <v>2057</v>
      </c>
      <c r="D127" t="s">
        <v>2048</v>
      </c>
      <c r="E127" s="5">
        <v>391488790203553</v>
      </c>
      <c r="F127" s="1">
        <v>43983</v>
      </c>
      <c r="G127">
        <v>195</v>
      </c>
      <c r="H127" t="s">
        <v>2047</v>
      </c>
      <c r="I127">
        <v>1</v>
      </c>
      <c r="J127" t="s">
        <v>2646</v>
      </c>
      <c r="K127" s="1">
        <v>39083</v>
      </c>
      <c r="L127">
        <v>2010</v>
      </c>
      <c r="M127" t="s">
        <v>2045</v>
      </c>
    </row>
    <row r="128" spans="1:13" x14ac:dyDescent="0.3">
      <c r="A128">
        <v>126</v>
      </c>
      <c r="B128">
        <v>1448</v>
      </c>
      <c r="C128" t="s">
        <v>2053</v>
      </c>
      <c r="D128" t="s">
        <v>2048</v>
      </c>
      <c r="E128" s="6" t="s">
        <v>3668</v>
      </c>
      <c r="F128" s="1">
        <v>45170</v>
      </c>
      <c r="G128">
        <v>510</v>
      </c>
      <c r="H128" t="s">
        <v>2047</v>
      </c>
      <c r="I128">
        <v>1</v>
      </c>
      <c r="J128" t="s">
        <v>2337</v>
      </c>
      <c r="K128" s="1">
        <v>39083</v>
      </c>
      <c r="L128">
        <v>2015</v>
      </c>
      <c r="M128" t="s">
        <v>2045</v>
      </c>
    </row>
    <row r="129" spans="1:13" x14ac:dyDescent="0.3">
      <c r="A129">
        <v>127</v>
      </c>
      <c r="B129">
        <v>820</v>
      </c>
      <c r="C129" t="s">
        <v>2053</v>
      </c>
      <c r="D129" t="s">
        <v>2052</v>
      </c>
      <c r="E129" s="6" t="s">
        <v>3555</v>
      </c>
      <c r="F129" s="1">
        <v>44136</v>
      </c>
      <c r="G129">
        <v>730</v>
      </c>
      <c r="H129" t="s">
        <v>2047</v>
      </c>
      <c r="I129">
        <v>1</v>
      </c>
      <c r="J129" t="s">
        <v>3554</v>
      </c>
      <c r="K129" s="1">
        <v>39083</v>
      </c>
      <c r="L129">
        <v>2009</v>
      </c>
      <c r="M129" t="s">
        <v>2045</v>
      </c>
    </row>
    <row r="130" spans="1:13" x14ac:dyDescent="0.3">
      <c r="A130">
        <v>128</v>
      </c>
      <c r="B130">
        <v>659</v>
      </c>
      <c r="C130" t="s">
        <v>2053</v>
      </c>
      <c r="D130" t="s">
        <v>2070</v>
      </c>
      <c r="E130" s="6" t="s">
        <v>3354</v>
      </c>
      <c r="F130" s="1">
        <v>44136</v>
      </c>
      <c r="G130">
        <v>984</v>
      </c>
      <c r="H130" t="s">
        <v>2047</v>
      </c>
      <c r="I130">
        <v>2</v>
      </c>
      <c r="J130" t="s">
        <v>2636</v>
      </c>
      <c r="K130" s="1">
        <v>39083</v>
      </c>
      <c r="L130">
        <v>2010</v>
      </c>
      <c r="M130" t="s">
        <v>2045</v>
      </c>
    </row>
    <row r="131" spans="1:13" x14ac:dyDescent="0.3">
      <c r="A131">
        <v>129</v>
      </c>
      <c r="B131">
        <v>639</v>
      </c>
      <c r="C131" t="s">
        <v>2053</v>
      </c>
      <c r="D131" t="s">
        <v>2052</v>
      </c>
      <c r="E131" s="6" t="s">
        <v>3297</v>
      </c>
      <c r="F131" s="1">
        <v>44866</v>
      </c>
      <c r="G131">
        <v>939</v>
      </c>
      <c r="H131" t="s">
        <v>2055</v>
      </c>
      <c r="I131">
        <v>3</v>
      </c>
      <c r="J131" t="s">
        <v>3296</v>
      </c>
      <c r="K131" s="1">
        <v>39083</v>
      </c>
      <c r="L131">
        <v>2018</v>
      </c>
      <c r="M131" t="s">
        <v>2045</v>
      </c>
    </row>
    <row r="132" spans="1:13" x14ac:dyDescent="0.3">
      <c r="A132">
        <v>130</v>
      </c>
      <c r="B132">
        <v>1031</v>
      </c>
      <c r="C132" t="s">
        <v>2053</v>
      </c>
      <c r="D132" t="s">
        <v>2052</v>
      </c>
      <c r="E132" s="6" t="s">
        <v>3236</v>
      </c>
      <c r="F132" s="1">
        <v>44317</v>
      </c>
      <c r="G132">
        <v>868</v>
      </c>
      <c r="H132" t="s">
        <v>2047</v>
      </c>
      <c r="I132">
        <v>2</v>
      </c>
      <c r="J132" t="s">
        <v>3235</v>
      </c>
      <c r="K132" s="1">
        <v>39083</v>
      </c>
      <c r="L132">
        <v>2012</v>
      </c>
      <c r="M132" t="s">
        <v>2045</v>
      </c>
    </row>
    <row r="133" spans="1:13" x14ac:dyDescent="0.3">
      <c r="A133">
        <v>131</v>
      </c>
      <c r="B133">
        <v>1195</v>
      </c>
      <c r="C133" t="s">
        <v>2053</v>
      </c>
      <c r="D133" t="s">
        <v>2052</v>
      </c>
      <c r="E133" s="6" t="s">
        <v>3047</v>
      </c>
      <c r="F133" s="1">
        <v>44835</v>
      </c>
      <c r="G133">
        <v>822</v>
      </c>
      <c r="H133" t="s">
        <v>2047</v>
      </c>
      <c r="I133">
        <v>1</v>
      </c>
      <c r="J133" t="s">
        <v>3046</v>
      </c>
      <c r="K133" s="1">
        <v>39083</v>
      </c>
      <c r="L133">
        <v>2011</v>
      </c>
      <c r="M133" t="s">
        <v>2045</v>
      </c>
    </row>
    <row r="134" spans="1:13" x14ac:dyDescent="0.3">
      <c r="A134">
        <v>132</v>
      </c>
      <c r="B134">
        <v>249</v>
      </c>
      <c r="C134" t="s">
        <v>2053</v>
      </c>
      <c r="D134" t="s">
        <v>2048</v>
      </c>
      <c r="E134" s="6" t="s">
        <v>3023</v>
      </c>
      <c r="F134" s="1">
        <v>45474</v>
      </c>
      <c r="G134">
        <v>475</v>
      </c>
      <c r="H134" t="s">
        <v>2047</v>
      </c>
      <c r="I134">
        <v>2</v>
      </c>
      <c r="J134" t="s">
        <v>2129</v>
      </c>
      <c r="K134" s="1">
        <v>39083</v>
      </c>
      <c r="L134">
        <v>2010</v>
      </c>
      <c r="M134" t="s">
        <v>2045</v>
      </c>
    </row>
    <row r="135" spans="1:13" x14ac:dyDescent="0.3">
      <c r="A135">
        <v>133</v>
      </c>
      <c r="B135">
        <v>1744</v>
      </c>
      <c r="C135" t="s">
        <v>2053</v>
      </c>
      <c r="D135" t="s">
        <v>2052</v>
      </c>
      <c r="E135" s="6" t="s">
        <v>2883</v>
      </c>
      <c r="F135" s="1">
        <v>44896</v>
      </c>
      <c r="G135">
        <v>808</v>
      </c>
      <c r="H135" t="s">
        <v>2047</v>
      </c>
      <c r="I135">
        <v>1</v>
      </c>
      <c r="J135" t="s">
        <v>2882</v>
      </c>
      <c r="K135" s="1">
        <v>39083</v>
      </c>
      <c r="L135">
        <v>2009</v>
      </c>
      <c r="M135" t="s">
        <v>2045</v>
      </c>
    </row>
    <row r="136" spans="1:13" x14ac:dyDescent="0.3">
      <c r="A136">
        <v>134</v>
      </c>
      <c r="B136">
        <v>1676</v>
      </c>
      <c r="C136" t="s">
        <v>2053</v>
      </c>
      <c r="D136" t="s">
        <v>2052</v>
      </c>
      <c r="E136" s="6" t="s">
        <v>2842</v>
      </c>
      <c r="F136" s="1">
        <v>45505</v>
      </c>
      <c r="G136">
        <v>192</v>
      </c>
      <c r="H136" t="s">
        <v>2047</v>
      </c>
      <c r="I136">
        <v>1</v>
      </c>
      <c r="J136" t="s">
        <v>2841</v>
      </c>
      <c r="K136" s="1">
        <v>39083</v>
      </c>
      <c r="L136">
        <v>2010</v>
      </c>
      <c r="M136" t="s">
        <v>2045</v>
      </c>
    </row>
    <row r="137" spans="1:13" x14ac:dyDescent="0.3">
      <c r="A137">
        <v>135</v>
      </c>
      <c r="B137">
        <v>478</v>
      </c>
      <c r="C137" t="s">
        <v>2053</v>
      </c>
      <c r="D137" t="s">
        <v>2052</v>
      </c>
      <c r="E137" s="6" t="s">
        <v>2601</v>
      </c>
      <c r="F137" s="1">
        <v>45323</v>
      </c>
      <c r="G137">
        <v>624</v>
      </c>
      <c r="H137" t="s">
        <v>2055</v>
      </c>
      <c r="I137">
        <v>3</v>
      </c>
      <c r="J137" t="s">
        <v>2600</v>
      </c>
      <c r="K137" s="1">
        <v>39083</v>
      </c>
      <c r="L137">
        <v>2011</v>
      </c>
      <c r="M137" t="s">
        <v>2045</v>
      </c>
    </row>
    <row r="138" spans="1:13" x14ac:dyDescent="0.3">
      <c r="A138">
        <v>136</v>
      </c>
      <c r="B138">
        <v>1181</v>
      </c>
      <c r="C138" t="s">
        <v>2053</v>
      </c>
      <c r="D138" t="s">
        <v>2052</v>
      </c>
      <c r="E138" s="6" t="s">
        <v>2325</v>
      </c>
      <c r="F138" s="1">
        <v>44013</v>
      </c>
      <c r="G138">
        <v>309</v>
      </c>
      <c r="H138" t="s">
        <v>2047</v>
      </c>
      <c r="I138">
        <v>2</v>
      </c>
      <c r="J138" t="s">
        <v>2324</v>
      </c>
      <c r="K138" s="1">
        <v>39083</v>
      </c>
      <c r="L138">
        <v>2015</v>
      </c>
      <c r="M138" t="s">
        <v>2045</v>
      </c>
    </row>
    <row r="139" spans="1:13" x14ac:dyDescent="0.3">
      <c r="A139">
        <v>137</v>
      </c>
      <c r="B139">
        <v>495</v>
      </c>
      <c r="C139" t="s">
        <v>2053</v>
      </c>
      <c r="D139" t="s">
        <v>2052</v>
      </c>
      <c r="E139" s="6" t="s">
        <v>2267</v>
      </c>
      <c r="F139" s="1">
        <v>39600</v>
      </c>
      <c r="G139">
        <v>568</v>
      </c>
      <c r="H139" t="s">
        <v>2055</v>
      </c>
      <c r="I139">
        <v>1</v>
      </c>
      <c r="J139" t="s">
        <v>2266</v>
      </c>
      <c r="K139" s="1">
        <v>39083</v>
      </c>
      <c r="L139">
        <v>2009</v>
      </c>
      <c r="M139" t="s">
        <v>2045</v>
      </c>
    </row>
    <row r="140" spans="1:13" x14ac:dyDescent="0.3">
      <c r="A140">
        <v>138</v>
      </c>
      <c r="B140">
        <v>1094</v>
      </c>
      <c r="C140" t="s">
        <v>2049</v>
      </c>
      <c r="D140" t="s">
        <v>2052</v>
      </c>
      <c r="E140" s="6" t="s">
        <v>3698</v>
      </c>
      <c r="F140" s="1">
        <v>45078</v>
      </c>
      <c r="G140">
        <v>64</v>
      </c>
      <c r="H140" t="s">
        <v>2047</v>
      </c>
      <c r="I140">
        <v>2</v>
      </c>
      <c r="J140" t="s">
        <v>1235</v>
      </c>
      <c r="K140" s="1">
        <v>39083</v>
      </c>
      <c r="L140">
        <v>2009</v>
      </c>
      <c r="M140" t="s">
        <v>2045</v>
      </c>
    </row>
    <row r="141" spans="1:13" x14ac:dyDescent="0.3">
      <c r="A141">
        <v>139</v>
      </c>
      <c r="B141">
        <v>1028</v>
      </c>
      <c r="C141" t="s">
        <v>2049</v>
      </c>
      <c r="D141" t="s">
        <v>2048</v>
      </c>
      <c r="E141" s="6" t="s">
        <v>3255</v>
      </c>
      <c r="F141" s="1">
        <v>44197</v>
      </c>
      <c r="G141">
        <v>654</v>
      </c>
      <c r="H141" t="s">
        <v>2047</v>
      </c>
      <c r="I141">
        <v>1</v>
      </c>
      <c r="J141" t="s">
        <v>3244</v>
      </c>
      <c r="K141" s="1">
        <v>39083</v>
      </c>
      <c r="L141">
        <v>2011</v>
      </c>
      <c r="M141" t="s">
        <v>2045</v>
      </c>
    </row>
    <row r="142" spans="1:13" x14ac:dyDescent="0.3">
      <c r="A142">
        <v>140</v>
      </c>
      <c r="B142">
        <v>1263</v>
      </c>
      <c r="C142" t="s">
        <v>2049</v>
      </c>
      <c r="D142" t="s">
        <v>2052</v>
      </c>
      <c r="E142" s="6" t="s">
        <v>3192</v>
      </c>
      <c r="F142" s="1">
        <v>44166</v>
      </c>
      <c r="G142">
        <v>740</v>
      </c>
      <c r="H142" t="s">
        <v>2047</v>
      </c>
      <c r="I142">
        <v>1</v>
      </c>
      <c r="J142" t="s">
        <v>3191</v>
      </c>
      <c r="K142" s="1">
        <v>39083</v>
      </c>
      <c r="L142">
        <v>2011</v>
      </c>
      <c r="M142" t="s">
        <v>2045</v>
      </c>
    </row>
    <row r="143" spans="1:13" x14ac:dyDescent="0.3">
      <c r="A143">
        <v>141</v>
      </c>
      <c r="B143">
        <v>442</v>
      </c>
      <c r="C143" t="s">
        <v>2049</v>
      </c>
      <c r="D143" t="s">
        <v>2052</v>
      </c>
      <c r="E143" s="6" t="s">
        <v>3132</v>
      </c>
      <c r="F143" s="1">
        <v>45444</v>
      </c>
      <c r="G143">
        <v>124</v>
      </c>
      <c r="H143" t="s">
        <v>2047</v>
      </c>
      <c r="I143">
        <v>1</v>
      </c>
      <c r="J143" t="s">
        <v>3131</v>
      </c>
      <c r="K143" s="1">
        <v>39083</v>
      </c>
      <c r="L143">
        <v>2009</v>
      </c>
      <c r="M143" t="s">
        <v>2045</v>
      </c>
    </row>
    <row r="144" spans="1:13" x14ac:dyDescent="0.3">
      <c r="A144">
        <v>142</v>
      </c>
      <c r="B144">
        <v>1757</v>
      </c>
      <c r="C144" t="s">
        <v>2049</v>
      </c>
      <c r="D144" t="s">
        <v>2048</v>
      </c>
      <c r="E144" s="6" t="s">
        <v>3103</v>
      </c>
      <c r="F144" s="1">
        <v>44743</v>
      </c>
      <c r="G144">
        <v>528</v>
      </c>
      <c r="H144" t="s">
        <v>2047</v>
      </c>
      <c r="I144">
        <v>2</v>
      </c>
      <c r="J144" t="s">
        <v>2337</v>
      </c>
      <c r="K144" s="1">
        <v>39083</v>
      </c>
      <c r="L144">
        <v>2007</v>
      </c>
      <c r="M144" t="s">
        <v>2045</v>
      </c>
    </row>
    <row r="145" spans="1:13" x14ac:dyDescent="0.3">
      <c r="A145">
        <v>143</v>
      </c>
      <c r="B145">
        <v>1360</v>
      </c>
      <c r="C145" t="s">
        <v>2049</v>
      </c>
      <c r="D145" t="s">
        <v>2048</v>
      </c>
      <c r="E145" s="6" t="s">
        <v>2990</v>
      </c>
      <c r="F145" s="1">
        <v>44044</v>
      </c>
      <c r="G145">
        <v>302</v>
      </c>
      <c r="H145" t="s">
        <v>2047</v>
      </c>
      <c r="I145">
        <v>1</v>
      </c>
      <c r="J145" t="s">
        <v>2405</v>
      </c>
      <c r="K145" s="1">
        <v>39083</v>
      </c>
      <c r="L145">
        <v>2007</v>
      </c>
      <c r="M145" t="s">
        <v>2045</v>
      </c>
    </row>
    <row r="146" spans="1:13" x14ac:dyDescent="0.3">
      <c r="A146">
        <v>144</v>
      </c>
      <c r="B146">
        <v>560</v>
      </c>
      <c r="C146" t="s">
        <v>2049</v>
      </c>
      <c r="D146" t="s">
        <v>2052</v>
      </c>
      <c r="E146" s="6" t="s">
        <v>2952</v>
      </c>
      <c r="F146" s="1">
        <v>43831</v>
      </c>
      <c r="G146">
        <v>87</v>
      </c>
      <c r="H146" t="s">
        <v>2047</v>
      </c>
      <c r="I146">
        <v>2</v>
      </c>
      <c r="J146" t="s">
        <v>1369</v>
      </c>
      <c r="K146" s="1">
        <v>39083</v>
      </c>
      <c r="L146">
        <v>2012</v>
      </c>
      <c r="M146" t="s">
        <v>2045</v>
      </c>
    </row>
    <row r="147" spans="1:13" x14ac:dyDescent="0.3">
      <c r="A147">
        <v>145</v>
      </c>
      <c r="B147">
        <v>884</v>
      </c>
      <c r="C147" t="s">
        <v>2049</v>
      </c>
      <c r="D147" t="s">
        <v>2052</v>
      </c>
      <c r="E147" s="6" t="s">
        <v>2693</v>
      </c>
      <c r="F147" s="1">
        <v>41030</v>
      </c>
      <c r="G147">
        <v>611</v>
      </c>
      <c r="H147" t="s">
        <v>2047</v>
      </c>
      <c r="I147">
        <v>2</v>
      </c>
      <c r="J147" t="s">
        <v>2692</v>
      </c>
      <c r="K147" s="1">
        <v>39083</v>
      </c>
      <c r="L147">
        <v>2013</v>
      </c>
      <c r="M147" t="s">
        <v>2045</v>
      </c>
    </row>
    <row r="148" spans="1:13" x14ac:dyDescent="0.3">
      <c r="A148">
        <v>146</v>
      </c>
      <c r="B148">
        <v>1549</v>
      </c>
      <c r="C148" t="s">
        <v>2049</v>
      </c>
      <c r="D148" t="s">
        <v>2070</v>
      </c>
      <c r="E148" s="6" t="s">
        <v>2682</v>
      </c>
      <c r="F148" s="1">
        <v>43770</v>
      </c>
      <c r="G148">
        <v>585</v>
      </c>
      <c r="H148" t="s">
        <v>2055</v>
      </c>
      <c r="I148">
        <v>2</v>
      </c>
      <c r="J148" t="s">
        <v>2082</v>
      </c>
      <c r="K148" s="1">
        <v>39083</v>
      </c>
      <c r="L148">
        <v>2018</v>
      </c>
      <c r="M148" t="s">
        <v>2045</v>
      </c>
    </row>
    <row r="149" spans="1:13" x14ac:dyDescent="0.3">
      <c r="A149">
        <v>147</v>
      </c>
      <c r="B149">
        <v>256</v>
      </c>
      <c r="C149" t="s">
        <v>2049</v>
      </c>
      <c r="D149" t="s">
        <v>2048</v>
      </c>
      <c r="E149" s="6" t="s">
        <v>2489</v>
      </c>
      <c r="F149" s="1">
        <v>40513</v>
      </c>
      <c r="G149">
        <v>553</v>
      </c>
      <c r="H149" t="s">
        <v>2047</v>
      </c>
      <c r="I149">
        <v>2</v>
      </c>
      <c r="J149" t="s">
        <v>2142</v>
      </c>
      <c r="K149" s="1">
        <v>39083</v>
      </c>
      <c r="L149">
        <v>2007</v>
      </c>
      <c r="M149" t="s">
        <v>2045</v>
      </c>
    </row>
    <row r="150" spans="1:13" x14ac:dyDescent="0.3">
      <c r="A150">
        <v>148</v>
      </c>
      <c r="B150">
        <v>737</v>
      </c>
      <c r="C150" t="s">
        <v>2049</v>
      </c>
      <c r="D150" t="s">
        <v>2052</v>
      </c>
      <c r="E150" s="6" t="s">
        <v>2382</v>
      </c>
      <c r="F150" s="1">
        <v>43983</v>
      </c>
      <c r="G150">
        <v>700</v>
      </c>
      <c r="H150" t="s">
        <v>2055</v>
      </c>
      <c r="I150">
        <v>1</v>
      </c>
      <c r="J150" t="s">
        <v>2381</v>
      </c>
      <c r="K150" s="1">
        <v>39083</v>
      </c>
      <c r="L150">
        <v>2009</v>
      </c>
      <c r="M150" t="s">
        <v>2045</v>
      </c>
    </row>
    <row r="151" spans="1:13" x14ac:dyDescent="0.3">
      <c r="A151">
        <v>149</v>
      </c>
      <c r="B151">
        <v>303</v>
      </c>
      <c r="C151" t="s">
        <v>2057</v>
      </c>
      <c r="D151" t="s">
        <v>2048</v>
      </c>
      <c r="E151" s="5">
        <v>336029900720764</v>
      </c>
      <c r="F151" s="1">
        <v>44105</v>
      </c>
      <c r="G151">
        <v>696</v>
      </c>
      <c r="H151" t="s">
        <v>2055</v>
      </c>
      <c r="I151">
        <v>1</v>
      </c>
      <c r="J151" t="s">
        <v>1710</v>
      </c>
      <c r="K151" s="1">
        <v>39448</v>
      </c>
      <c r="L151">
        <v>2011</v>
      </c>
      <c r="M151" t="s">
        <v>2045</v>
      </c>
    </row>
    <row r="152" spans="1:13" x14ac:dyDescent="0.3">
      <c r="A152">
        <v>150</v>
      </c>
      <c r="B152">
        <v>430</v>
      </c>
      <c r="C152" t="s">
        <v>2057</v>
      </c>
      <c r="D152" t="s">
        <v>2048</v>
      </c>
      <c r="E152" s="5">
        <v>320312548990885</v>
      </c>
      <c r="F152" s="1">
        <v>41487</v>
      </c>
      <c r="G152">
        <v>628</v>
      </c>
      <c r="H152" t="s">
        <v>2047</v>
      </c>
      <c r="I152">
        <v>1</v>
      </c>
      <c r="J152" t="s">
        <v>2054</v>
      </c>
      <c r="K152" s="1">
        <v>39448</v>
      </c>
      <c r="L152">
        <v>2009</v>
      </c>
      <c r="M152" t="s">
        <v>2045</v>
      </c>
    </row>
    <row r="153" spans="1:13" x14ac:dyDescent="0.3">
      <c r="A153">
        <v>151</v>
      </c>
      <c r="B153">
        <v>1747</v>
      </c>
      <c r="C153" t="s">
        <v>2053</v>
      </c>
      <c r="D153" t="s">
        <v>2052</v>
      </c>
      <c r="E153" s="6" t="s">
        <v>3697</v>
      </c>
      <c r="F153" s="1">
        <v>44774</v>
      </c>
      <c r="G153">
        <v>879</v>
      </c>
      <c r="H153" t="s">
        <v>2047</v>
      </c>
      <c r="I153">
        <v>1</v>
      </c>
      <c r="J153" t="s">
        <v>3696</v>
      </c>
      <c r="K153" s="1">
        <v>39448</v>
      </c>
      <c r="L153">
        <v>2008</v>
      </c>
      <c r="M153" t="s">
        <v>2045</v>
      </c>
    </row>
    <row r="154" spans="1:13" x14ac:dyDescent="0.3">
      <c r="A154">
        <v>152</v>
      </c>
      <c r="B154">
        <v>140</v>
      </c>
      <c r="C154" t="s">
        <v>2053</v>
      </c>
      <c r="D154" t="s">
        <v>2052</v>
      </c>
      <c r="E154" s="6" t="s">
        <v>3679</v>
      </c>
      <c r="F154" s="1">
        <v>44805</v>
      </c>
      <c r="G154">
        <v>111</v>
      </c>
      <c r="H154" t="s">
        <v>2047</v>
      </c>
      <c r="I154">
        <v>1</v>
      </c>
      <c r="J154" t="s">
        <v>3678</v>
      </c>
      <c r="K154" s="1">
        <v>39448</v>
      </c>
      <c r="L154">
        <v>2011</v>
      </c>
      <c r="M154" t="s">
        <v>2045</v>
      </c>
    </row>
    <row r="155" spans="1:13" x14ac:dyDescent="0.3">
      <c r="A155">
        <v>153</v>
      </c>
      <c r="B155">
        <v>1728</v>
      </c>
      <c r="C155" t="s">
        <v>2053</v>
      </c>
      <c r="D155" t="s">
        <v>2052</v>
      </c>
      <c r="E155" s="6" t="s">
        <v>3566</v>
      </c>
      <c r="F155" s="1">
        <v>44986</v>
      </c>
      <c r="G155">
        <v>431</v>
      </c>
      <c r="H155" t="s">
        <v>2047</v>
      </c>
      <c r="I155">
        <v>2</v>
      </c>
      <c r="J155" t="s">
        <v>3565</v>
      </c>
      <c r="K155" s="1">
        <v>39448</v>
      </c>
      <c r="L155">
        <v>2015</v>
      </c>
      <c r="M155" t="s">
        <v>2045</v>
      </c>
    </row>
    <row r="156" spans="1:13" x14ac:dyDescent="0.3">
      <c r="A156">
        <v>154</v>
      </c>
      <c r="B156">
        <v>1009</v>
      </c>
      <c r="C156" t="s">
        <v>2053</v>
      </c>
      <c r="D156" t="s">
        <v>2048</v>
      </c>
      <c r="E156" s="6" t="s">
        <v>3543</v>
      </c>
      <c r="F156" s="1">
        <v>43862</v>
      </c>
      <c r="G156">
        <v>459</v>
      </c>
      <c r="H156" t="s">
        <v>2047</v>
      </c>
      <c r="I156">
        <v>1</v>
      </c>
      <c r="J156" t="s">
        <v>2102</v>
      </c>
      <c r="K156" s="1">
        <v>39448</v>
      </c>
      <c r="L156">
        <v>2009</v>
      </c>
      <c r="M156" t="s">
        <v>2045</v>
      </c>
    </row>
    <row r="157" spans="1:13" x14ac:dyDescent="0.3">
      <c r="A157">
        <v>155</v>
      </c>
      <c r="B157">
        <v>909</v>
      </c>
      <c r="C157" t="s">
        <v>2053</v>
      </c>
      <c r="D157" t="s">
        <v>2070</v>
      </c>
      <c r="E157" s="6" t="s">
        <v>3518</v>
      </c>
      <c r="F157" s="1">
        <v>45352</v>
      </c>
      <c r="G157">
        <v>599</v>
      </c>
      <c r="H157" t="s">
        <v>2047</v>
      </c>
      <c r="I157">
        <v>2</v>
      </c>
      <c r="J157" t="s">
        <v>3517</v>
      </c>
      <c r="K157" s="1">
        <v>39448</v>
      </c>
      <c r="L157">
        <v>2013</v>
      </c>
      <c r="M157" t="s">
        <v>2045</v>
      </c>
    </row>
    <row r="158" spans="1:13" x14ac:dyDescent="0.3">
      <c r="A158">
        <v>156</v>
      </c>
      <c r="B158">
        <v>1300</v>
      </c>
      <c r="C158" t="s">
        <v>2053</v>
      </c>
      <c r="D158" t="s">
        <v>2048</v>
      </c>
      <c r="E158" s="6" t="s">
        <v>3478</v>
      </c>
      <c r="F158" s="1">
        <v>44743</v>
      </c>
      <c r="G158">
        <v>939</v>
      </c>
      <c r="H158" t="s">
        <v>2047</v>
      </c>
      <c r="I158">
        <v>1</v>
      </c>
      <c r="J158" t="s">
        <v>2580</v>
      </c>
      <c r="K158" s="1">
        <v>39448</v>
      </c>
      <c r="L158">
        <v>2011</v>
      </c>
      <c r="M158" t="s">
        <v>2045</v>
      </c>
    </row>
    <row r="159" spans="1:13" x14ac:dyDescent="0.3">
      <c r="A159">
        <v>157</v>
      </c>
      <c r="B159">
        <v>1617</v>
      </c>
      <c r="C159" t="s">
        <v>2053</v>
      </c>
      <c r="D159" t="s">
        <v>2052</v>
      </c>
      <c r="E159" s="6" t="s">
        <v>3388</v>
      </c>
      <c r="F159" s="1">
        <v>41640</v>
      </c>
      <c r="G159">
        <v>855</v>
      </c>
      <c r="H159" t="s">
        <v>2047</v>
      </c>
      <c r="I159">
        <v>2</v>
      </c>
      <c r="J159" t="s">
        <v>3387</v>
      </c>
      <c r="K159" s="1">
        <v>39448</v>
      </c>
      <c r="L159">
        <v>2009</v>
      </c>
      <c r="M159" t="s">
        <v>2045</v>
      </c>
    </row>
    <row r="160" spans="1:13" x14ac:dyDescent="0.3">
      <c r="A160">
        <v>158</v>
      </c>
      <c r="B160">
        <v>813</v>
      </c>
      <c r="C160" t="s">
        <v>2053</v>
      </c>
      <c r="D160" t="s">
        <v>2052</v>
      </c>
      <c r="E160" s="6" t="s">
        <v>3257</v>
      </c>
      <c r="F160" s="1">
        <v>44470</v>
      </c>
      <c r="G160">
        <v>649</v>
      </c>
      <c r="H160" t="s">
        <v>2047</v>
      </c>
      <c r="I160">
        <v>2</v>
      </c>
      <c r="J160" t="s">
        <v>3256</v>
      </c>
      <c r="K160" s="1">
        <v>39448</v>
      </c>
      <c r="L160">
        <v>2008</v>
      </c>
      <c r="M160" t="s">
        <v>2045</v>
      </c>
    </row>
    <row r="161" spans="1:13" x14ac:dyDescent="0.3">
      <c r="A161">
        <v>159</v>
      </c>
      <c r="B161">
        <v>154</v>
      </c>
      <c r="C161" t="s">
        <v>2053</v>
      </c>
      <c r="D161" t="s">
        <v>2052</v>
      </c>
      <c r="E161" s="6" t="s">
        <v>3226</v>
      </c>
      <c r="F161" s="1">
        <v>40603</v>
      </c>
      <c r="G161">
        <v>151</v>
      </c>
      <c r="H161" t="s">
        <v>2047</v>
      </c>
      <c r="I161">
        <v>2</v>
      </c>
      <c r="J161" t="s">
        <v>1349</v>
      </c>
      <c r="K161" s="1">
        <v>39448</v>
      </c>
      <c r="L161">
        <v>2013</v>
      </c>
      <c r="M161" t="s">
        <v>2045</v>
      </c>
    </row>
    <row r="162" spans="1:13" x14ac:dyDescent="0.3">
      <c r="A162">
        <v>160</v>
      </c>
      <c r="B162">
        <v>837</v>
      </c>
      <c r="C162" t="s">
        <v>2053</v>
      </c>
      <c r="D162" t="s">
        <v>2048</v>
      </c>
      <c r="E162" s="6" t="s">
        <v>3146</v>
      </c>
      <c r="F162" s="1">
        <v>45474</v>
      </c>
      <c r="G162">
        <v>232</v>
      </c>
      <c r="H162" t="s">
        <v>2047</v>
      </c>
      <c r="I162">
        <v>2</v>
      </c>
      <c r="J162" t="s">
        <v>2633</v>
      </c>
      <c r="K162" s="1">
        <v>39448</v>
      </c>
      <c r="L162">
        <v>2009</v>
      </c>
      <c r="M162" t="s">
        <v>2045</v>
      </c>
    </row>
    <row r="163" spans="1:13" x14ac:dyDescent="0.3">
      <c r="A163">
        <v>161</v>
      </c>
      <c r="B163">
        <v>703</v>
      </c>
      <c r="C163" t="s">
        <v>2053</v>
      </c>
      <c r="D163" t="s">
        <v>2048</v>
      </c>
      <c r="E163" s="6" t="s">
        <v>3033</v>
      </c>
      <c r="F163" s="1">
        <v>44228</v>
      </c>
      <c r="G163">
        <v>355</v>
      </c>
      <c r="H163" t="s">
        <v>2047</v>
      </c>
      <c r="I163">
        <v>2</v>
      </c>
      <c r="J163" t="s">
        <v>2087</v>
      </c>
      <c r="K163" s="1">
        <v>39448</v>
      </c>
      <c r="L163">
        <v>2009</v>
      </c>
      <c r="M163" t="s">
        <v>2045</v>
      </c>
    </row>
    <row r="164" spans="1:13" x14ac:dyDescent="0.3">
      <c r="A164">
        <v>162</v>
      </c>
      <c r="B164">
        <v>642</v>
      </c>
      <c r="C164" t="s">
        <v>2053</v>
      </c>
      <c r="D164" t="s">
        <v>2052</v>
      </c>
      <c r="E164" s="6" t="s">
        <v>2989</v>
      </c>
      <c r="F164" s="1">
        <v>45536</v>
      </c>
      <c r="G164">
        <v>809</v>
      </c>
      <c r="H164" t="s">
        <v>2047</v>
      </c>
      <c r="I164">
        <v>2</v>
      </c>
      <c r="J164" t="s">
        <v>2988</v>
      </c>
      <c r="K164" s="1">
        <v>39448</v>
      </c>
      <c r="L164">
        <v>2013</v>
      </c>
      <c r="M164" t="s">
        <v>2045</v>
      </c>
    </row>
    <row r="165" spans="1:13" x14ac:dyDescent="0.3">
      <c r="A165">
        <v>163</v>
      </c>
      <c r="B165">
        <v>550</v>
      </c>
      <c r="C165" t="s">
        <v>2053</v>
      </c>
      <c r="D165" t="s">
        <v>2048</v>
      </c>
      <c r="E165" s="6" t="s">
        <v>2742</v>
      </c>
      <c r="F165" s="1">
        <v>44652</v>
      </c>
      <c r="G165">
        <v>398</v>
      </c>
      <c r="H165" t="s">
        <v>2047</v>
      </c>
      <c r="I165">
        <v>2</v>
      </c>
      <c r="J165" t="s">
        <v>2350</v>
      </c>
      <c r="K165" s="1">
        <v>39448</v>
      </c>
      <c r="L165">
        <v>2008</v>
      </c>
      <c r="M165" t="s">
        <v>2045</v>
      </c>
    </row>
    <row r="166" spans="1:13" x14ac:dyDescent="0.3">
      <c r="A166">
        <v>164</v>
      </c>
      <c r="B166">
        <v>1189</v>
      </c>
      <c r="C166" t="s">
        <v>2053</v>
      </c>
      <c r="D166" t="s">
        <v>2048</v>
      </c>
      <c r="E166" s="6" t="s">
        <v>2573</v>
      </c>
      <c r="F166" s="1">
        <v>44013</v>
      </c>
      <c r="G166">
        <v>83</v>
      </c>
      <c r="H166" t="s">
        <v>2055</v>
      </c>
      <c r="I166">
        <v>1</v>
      </c>
      <c r="J166" t="s">
        <v>2087</v>
      </c>
      <c r="K166" s="1">
        <v>39448</v>
      </c>
      <c r="L166">
        <v>2015</v>
      </c>
      <c r="M166" t="s">
        <v>2045</v>
      </c>
    </row>
    <row r="167" spans="1:13" x14ac:dyDescent="0.3">
      <c r="A167">
        <v>165</v>
      </c>
      <c r="B167">
        <v>1807</v>
      </c>
      <c r="C167" t="s">
        <v>2053</v>
      </c>
      <c r="D167" t="s">
        <v>2070</v>
      </c>
      <c r="E167" s="6" t="s">
        <v>2460</v>
      </c>
      <c r="F167" s="1">
        <v>41699</v>
      </c>
      <c r="G167">
        <v>198</v>
      </c>
      <c r="H167" t="s">
        <v>2047</v>
      </c>
      <c r="I167">
        <v>1</v>
      </c>
      <c r="J167" t="s">
        <v>2255</v>
      </c>
      <c r="K167" s="1">
        <v>39448</v>
      </c>
      <c r="L167">
        <v>2015</v>
      </c>
      <c r="M167" t="s">
        <v>2045</v>
      </c>
    </row>
    <row r="168" spans="1:13" x14ac:dyDescent="0.3">
      <c r="A168">
        <v>166</v>
      </c>
      <c r="B168">
        <v>1668</v>
      </c>
      <c r="C168" t="s">
        <v>2053</v>
      </c>
      <c r="D168" t="s">
        <v>2052</v>
      </c>
      <c r="E168" s="6" t="s">
        <v>2399</v>
      </c>
      <c r="F168" s="1">
        <v>45474</v>
      </c>
      <c r="G168">
        <v>941</v>
      </c>
      <c r="H168" t="s">
        <v>2047</v>
      </c>
      <c r="I168">
        <v>2</v>
      </c>
      <c r="J168" t="s">
        <v>2398</v>
      </c>
      <c r="K168" s="1">
        <v>39448</v>
      </c>
      <c r="L168">
        <v>2009</v>
      </c>
      <c r="M168" t="s">
        <v>2045</v>
      </c>
    </row>
    <row r="169" spans="1:13" x14ac:dyDescent="0.3">
      <c r="A169">
        <v>167</v>
      </c>
      <c r="B169">
        <v>218</v>
      </c>
      <c r="C169" t="s">
        <v>2053</v>
      </c>
      <c r="D169" t="s">
        <v>2048</v>
      </c>
      <c r="E169" s="6" t="s">
        <v>2375</v>
      </c>
      <c r="F169" s="1">
        <v>43922</v>
      </c>
      <c r="G169">
        <v>569</v>
      </c>
      <c r="H169" t="s">
        <v>2047</v>
      </c>
      <c r="I169">
        <v>1</v>
      </c>
      <c r="J169" t="s">
        <v>2129</v>
      </c>
      <c r="K169" s="1">
        <v>39448</v>
      </c>
      <c r="L169">
        <v>2008</v>
      </c>
      <c r="M169" t="s">
        <v>2045</v>
      </c>
    </row>
    <row r="170" spans="1:13" x14ac:dyDescent="0.3">
      <c r="A170">
        <v>168</v>
      </c>
      <c r="B170">
        <v>1562</v>
      </c>
      <c r="C170" t="s">
        <v>2053</v>
      </c>
      <c r="D170" t="s">
        <v>2052</v>
      </c>
      <c r="E170" s="6" t="s">
        <v>2245</v>
      </c>
      <c r="F170" s="1">
        <v>45323</v>
      </c>
      <c r="G170">
        <v>42</v>
      </c>
      <c r="H170" t="s">
        <v>2047</v>
      </c>
      <c r="I170">
        <v>2</v>
      </c>
      <c r="J170" t="s">
        <v>2244</v>
      </c>
      <c r="K170" s="1">
        <v>39448</v>
      </c>
      <c r="L170">
        <v>2014</v>
      </c>
      <c r="M170" t="s">
        <v>2045</v>
      </c>
    </row>
    <row r="171" spans="1:13" x14ac:dyDescent="0.3">
      <c r="A171">
        <v>169</v>
      </c>
      <c r="B171">
        <v>291</v>
      </c>
      <c r="C171" t="s">
        <v>2053</v>
      </c>
      <c r="D171" t="s">
        <v>2070</v>
      </c>
      <c r="E171" s="6" t="s">
        <v>2228</v>
      </c>
      <c r="F171" s="1">
        <v>43313</v>
      </c>
      <c r="G171">
        <v>94</v>
      </c>
      <c r="H171" t="s">
        <v>2047</v>
      </c>
      <c r="I171">
        <v>2</v>
      </c>
      <c r="J171" t="s">
        <v>2227</v>
      </c>
      <c r="K171" s="1">
        <v>39448</v>
      </c>
      <c r="L171">
        <v>2011</v>
      </c>
      <c r="M171" t="s">
        <v>2045</v>
      </c>
    </row>
    <row r="172" spans="1:13" x14ac:dyDescent="0.3">
      <c r="A172">
        <v>170</v>
      </c>
      <c r="B172">
        <v>1370</v>
      </c>
      <c r="C172" t="s">
        <v>2053</v>
      </c>
      <c r="D172" t="s">
        <v>2052</v>
      </c>
      <c r="E172" s="6" t="s">
        <v>2212</v>
      </c>
      <c r="F172" s="1">
        <v>44044</v>
      </c>
      <c r="G172">
        <v>354</v>
      </c>
      <c r="H172" t="s">
        <v>2047</v>
      </c>
      <c r="I172">
        <v>2</v>
      </c>
      <c r="J172" t="s">
        <v>2211</v>
      </c>
      <c r="K172" s="1">
        <v>39448</v>
      </c>
      <c r="L172">
        <v>2010</v>
      </c>
      <c r="M172" t="s">
        <v>2045</v>
      </c>
    </row>
    <row r="173" spans="1:13" x14ac:dyDescent="0.3">
      <c r="A173">
        <v>171</v>
      </c>
      <c r="B173">
        <v>7</v>
      </c>
      <c r="C173" t="s">
        <v>2053</v>
      </c>
      <c r="D173" t="s">
        <v>2052</v>
      </c>
      <c r="E173" s="6" t="s">
        <v>2107</v>
      </c>
      <c r="F173" s="1">
        <v>45017</v>
      </c>
      <c r="G173">
        <v>44</v>
      </c>
      <c r="H173" t="s">
        <v>2055</v>
      </c>
      <c r="I173">
        <v>2</v>
      </c>
      <c r="J173" t="s">
        <v>2106</v>
      </c>
      <c r="K173" s="1">
        <v>39448</v>
      </c>
      <c r="L173">
        <v>2009</v>
      </c>
      <c r="M173" t="s">
        <v>2045</v>
      </c>
    </row>
    <row r="174" spans="1:13" x14ac:dyDescent="0.3">
      <c r="A174">
        <v>172</v>
      </c>
      <c r="B174">
        <v>1284</v>
      </c>
      <c r="C174" t="s">
        <v>2053</v>
      </c>
      <c r="D174" t="s">
        <v>2052</v>
      </c>
      <c r="E174" s="6" t="s">
        <v>2100</v>
      </c>
      <c r="F174" s="1">
        <v>45078</v>
      </c>
      <c r="G174">
        <v>222</v>
      </c>
      <c r="H174" t="s">
        <v>2047</v>
      </c>
      <c r="I174">
        <v>2</v>
      </c>
      <c r="J174" t="s">
        <v>2099</v>
      </c>
      <c r="K174" s="1">
        <v>39448</v>
      </c>
      <c r="L174">
        <v>2009</v>
      </c>
      <c r="M174" t="s">
        <v>2045</v>
      </c>
    </row>
    <row r="175" spans="1:13" x14ac:dyDescent="0.3">
      <c r="A175">
        <v>173</v>
      </c>
      <c r="B175">
        <v>1310</v>
      </c>
      <c r="C175" t="s">
        <v>2049</v>
      </c>
      <c r="D175" t="s">
        <v>2048</v>
      </c>
      <c r="E175" s="6" t="s">
        <v>3676</v>
      </c>
      <c r="F175" s="1">
        <v>40210</v>
      </c>
      <c r="G175">
        <v>221</v>
      </c>
      <c r="H175" t="s">
        <v>2047</v>
      </c>
      <c r="I175">
        <v>2</v>
      </c>
      <c r="J175" t="s">
        <v>2143</v>
      </c>
      <c r="K175" s="1">
        <v>39448</v>
      </c>
      <c r="L175">
        <v>2008</v>
      </c>
      <c r="M175" t="s">
        <v>2045</v>
      </c>
    </row>
    <row r="176" spans="1:13" x14ac:dyDescent="0.3">
      <c r="A176">
        <v>174</v>
      </c>
      <c r="B176">
        <v>217</v>
      </c>
      <c r="C176" t="s">
        <v>2049</v>
      </c>
      <c r="D176" t="s">
        <v>2052</v>
      </c>
      <c r="E176" s="6" t="s">
        <v>3657</v>
      </c>
      <c r="F176" s="1">
        <v>44166</v>
      </c>
      <c r="G176">
        <v>578</v>
      </c>
      <c r="H176" t="s">
        <v>2047</v>
      </c>
      <c r="I176">
        <v>2</v>
      </c>
      <c r="J176" t="s">
        <v>3656</v>
      </c>
      <c r="K176" s="1">
        <v>39448</v>
      </c>
      <c r="L176">
        <v>2010</v>
      </c>
      <c r="M176" t="s">
        <v>2045</v>
      </c>
    </row>
    <row r="177" spans="1:13" x14ac:dyDescent="0.3">
      <c r="A177">
        <v>175</v>
      </c>
      <c r="B177">
        <v>1156</v>
      </c>
      <c r="C177" t="s">
        <v>2049</v>
      </c>
      <c r="D177" t="s">
        <v>2048</v>
      </c>
      <c r="E177" s="6" t="s">
        <v>3344</v>
      </c>
      <c r="F177" s="1">
        <v>43862</v>
      </c>
      <c r="G177">
        <v>146</v>
      </c>
      <c r="H177" t="s">
        <v>2047</v>
      </c>
      <c r="I177">
        <v>1</v>
      </c>
      <c r="J177" t="s">
        <v>3343</v>
      </c>
      <c r="K177" s="1">
        <v>39448</v>
      </c>
      <c r="L177">
        <v>2010</v>
      </c>
      <c r="M177" t="s">
        <v>2045</v>
      </c>
    </row>
    <row r="178" spans="1:13" x14ac:dyDescent="0.3">
      <c r="A178">
        <v>176</v>
      </c>
      <c r="B178">
        <v>490</v>
      </c>
      <c r="C178" t="s">
        <v>2049</v>
      </c>
      <c r="D178" t="s">
        <v>2052</v>
      </c>
      <c r="E178" s="6" t="s">
        <v>3262</v>
      </c>
      <c r="F178" s="1">
        <v>44470</v>
      </c>
      <c r="G178">
        <v>929</v>
      </c>
      <c r="H178" t="s">
        <v>2047</v>
      </c>
      <c r="I178">
        <v>3</v>
      </c>
      <c r="J178" t="s">
        <v>3261</v>
      </c>
      <c r="K178" s="1">
        <v>39448</v>
      </c>
      <c r="L178">
        <v>2013</v>
      </c>
      <c r="M178" t="s">
        <v>2045</v>
      </c>
    </row>
    <row r="179" spans="1:13" x14ac:dyDescent="0.3">
      <c r="A179">
        <v>177</v>
      </c>
      <c r="B179">
        <v>1459</v>
      </c>
      <c r="C179" t="s">
        <v>2049</v>
      </c>
      <c r="D179" t="s">
        <v>2048</v>
      </c>
      <c r="E179" s="6" t="s">
        <v>3248</v>
      </c>
      <c r="F179" s="1">
        <v>43952</v>
      </c>
      <c r="G179">
        <v>622</v>
      </c>
      <c r="H179" t="s">
        <v>2055</v>
      </c>
      <c r="I179">
        <v>2</v>
      </c>
      <c r="J179" t="s">
        <v>2077</v>
      </c>
      <c r="K179" s="1">
        <v>39448</v>
      </c>
      <c r="L179">
        <v>2011</v>
      </c>
      <c r="M179" t="s">
        <v>2045</v>
      </c>
    </row>
    <row r="180" spans="1:13" x14ac:dyDescent="0.3">
      <c r="A180">
        <v>178</v>
      </c>
      <c r="B180">
        <v>1666</v>
      </c>
      <c r="C180" t="s">
        <v>2049</v>
      </c>
      <c r="D180" t="s">
        <v>2052</v>
      </c>
      <c r="E180" s="6" t="s">
        <v>3140</v>
      </c>
      <c r="F180" s="1">
        <v>45413</v>
      </c>
      <c r="G180">
        <v>405</v>
      </c>
      <c r="H180" t="s">
        <v>2047</v>
      </c>
      <c r="I180">
        <v>1</v>
      </c>
      <c r="J180" t="s">
        <v>343</v>
      </c>
      <c r="K180" s="1">
        <v>39448</v>
      </c>
      <c r="L180">
        <v>2012</v>
      </c>
      <c r="M180" t="s">
        <v>2045</v>
      </c>
    </row>
    <row r="181" spans="1:13" x14ac:dyDescent="0.3">
      <c r="A181">
        <v>179</v>
      </c>
      <c r="B181">
        <v>677</v>
      </c>
      <c r="C181" t="s">
        <v>2049</v>
      </c>
      <c r="D181" t="s">
        <v>2048</v>
      </c>
      <c r="E181" s="6" t="s">
        <v>3001</v>
      </c>
      <c r="F181" s="1">
        <v>43983</v>
      </c>
      <c r="G181">
        <v>215</v>
      </c>
      <c r="H181" t="s">
        <v>2047</v>
      </c>
      <c r="I181">
        <v>2</v>
      </c>
      <c r="J181" t="s">
        <v>2896</v>
      </c>
      <c r="K181" s="1">
        <v>39448</v>
      </c>
      <c r="L181">
        <v>2010</v>
      </c>
      <c r="M181" t="s">
        <v>2045</v>
      </c>
    </row>
    <row r="182" spans="1:13" x14ac:dyDescent="0.3">
      <c r="A182">
        <v>180</v>
      </c>
      <c r="B182">
        <v>416</v>
      </c>
      <c r="C182" t="s">
        <v>2049</v>
      </c>
      <c r="D182" t="s">
        <v>2048</v>
      </c>
      <c r="E182" s="6" t="s">
        <v>2949</v>
      </c>
      <c r="F182" s="1">
        <v>44105</v>
      </c>
      <c r="G182">
        <v>805</v>
      </c>
      <c r="H182" t="s">
        <v>2055</v>
      </c>
      <c r="I182">
        <v>2</v>
      </c>
      <c r="J182" t="s">
        <v>2559</v>
      </c>
      <c r="K182" s="1">
        <v>39448</v>
      </c>
      <c r="L182">
        <v>2011</v>
      </c>
      <c r="M182" t="s">
        <v>2045</v>
      </c>
    </row>
    <row r="183" spans="1:13" x14ac:dyDescent="0.3">
      <c r="A183">
        <v>181</v>
      </c>
      <c r="B183">
        <v>980</v>
      </c>
      <c r="C183" t="s">
        <v>2049</v>
      </c>
      <c r="D183" t="s">
        <v>2052</v>
      </c>
      <c r="E183" s="6" t="s">
        <v>2930</v>
      </c>
      <c r="F183" s="1">
        <v>40756</v>
      </c>
      <c r="G183">
        <v>699</v>
      </c>
      <c r="H183" t="s">
        <v>2047</v>
      </c>
      <c r="I183">
        <v>1</v>
      </c>
      <c r="J183" t="s">
        <v>2929</v>
      </c>
      <c r="K183" s="1">
        <v>39448</v>
      </c>
      <c r="L183">
        <v>2010</v>
      </c>
      <c r="M183" t="s">
        <v>2045</v>
      </c>
    </row>
    <row r="184" spans="1:13" x14ac:dyDescent="0.3">
      <c r="A184">
        <v>182</v>
      </c>
      <c r="B184">
        <v>1816</v>
      </c>
      <c r="C184" t="s">
        <v>2049</v>
      </c>
      <c r="D184" t="s">
        <v>2052</v>
      </c>
      <c r="E184" s="6" t="s">
        <v>2785</v>
      </c>
      <c r="F184" s="1">
        <v>42095</v>
      </c>
      <c r="G184">
        <v>115</v>
      </c>
      <c r="H184" t="s">
        <v>2047</v>
      </c>
      <c r="I184">
        <v>1</v>
      </c>
      <c r="J184" t="s">
        <v>2784</v>
      </c>
      <c r="K184" s="1">
        <v>39448</v>
      </c>
      <c r="L184">
        <v>2015</v>
      </c>
      <c r="M184" t="s">
        <v>2045</v>
      </c>
    </row>
    <row r="185" spans="1:13" x14ac:dyDescent="0.3">
      <c r="A185">
        <v>183</v>
      </c>
      <c r="B185">
        <v>1306</v>
      </c>
      <c r="C185" t="s">
        <v>2049</v>
      </c>
      <c r="D185" t="s">
        <v>2052</v>
      </c>
      <c r="E185" s="6" t="s">
        <v>2681</v>
      </c>
      <c r="F185" s="1">
        <v>45170</v>
      </c>
      <c r="G185">
        <v>686</v>
      </c>
      <c r="H185" t="s">
        <v>2047</v>
      </c>
      <c r="I185">
        <v>2</v>
      </c>
      <c r="J185" t="s">
        <v>503</v>
      </c>
      <c r="K185" s="1">
        <v>39448</v>
      </c>
      <c r="L185">
        <v>2017</v>
      </c>
      <c r="M185" t="s">
        <v>2045</v>
      </c>
    </row>
    <row r="186" spans="1:13" x14ac:dyDescent="0.3">
      <c r="A186">
        <v>184</v>
      </c>
      <c r="B186">
        <v>843</v>
      </c>
      <c r="C186" t="s">
        <v>2049</v>
      </c>
      <c r="D186" t="s">
        <v>2052</v>
      </c>
      <c r="E186" s="6" t="s">
        <v>2534</v>
      </c>
      <c r="F186" s="1">
        <v>42795</v>
      </c>
      <c r="G186">
        <v>895</v>
      </c>
      <c r="H186" t="s">
        <v>2047</v>
      </c>
      <c r="I186">
        <v>2</v>
      </c>
      <c r="J186" t="s">
        <v>2533</v>
      </c>
      <c r="K186" s="1">
        <v>39448</v>
      </c>
      <c r="L186">
        <v>2011</v>
      </c>
      <c r="M186" t="s">
        <v>2045</v>
      </c>
    </row>
    <row r="187" spans="1:13" x14ac:dyDescent="0.3">
      <c r="A187">
        <v>185</v>
      </c>
      <c r="B187">
        <v>1659</v>
      </c>
      <c r="C187" t="s">
        <v>2049</v>
      </c>
      <c r="D187" t="s">
        <v>2048</v>
      </c>
      <c r="E187" s="6" t="s">
        <v>2388</v>
      </c>
      <c r="F187" s="1">
        <v>42248</v>
      </c>
      <c r="G187">
        <v>515</v>
      </c>
      <c r="H187" t="s">
        <v>2047</v>
      </c>
      <c r="I187">
        <v>2</v>
      </c>
      <c r="J187" t="s">
        <v>2387</v>
      </c>
      <c r="K187" s="1">
        <v>39448</v>
      </c>
      <c r="L187">
        <v>2008</v>
      </c>
      <c r="M187" t="s">
        <v>2045</v>
      </c>
    </row>
    <row r="188" spans="1:13" x14ac:dyDescent="0.3">
      <c r="A188">
        <v>186</v>
      </c>
      <c r="B188">
        <v>612</v>
      </c>
      <c r="C188" t="s">
        <v>2049</v>
      </c>
      <c r="D188" t="s">
        <v>2048</v>
      </c>
      <c r="E188" s="6" t="s">
        <v>2285</v>
      </c>
      <c r="F188" s="1">
        <v>44136</v>
      </c>
      <c r="G188">
        <v>745</v>
      </c>
      <c r="H188" t="s">
        <v>2047</v>
      </c>
      <c r="I188">
        <v>1</v>
      </c>
      <c r="J188" t="s">
        <v>2129</v>
      </c>
      <c r="K188" s="1">
        <v>39448</v>
      </c>
      <c r="L188">
        <v>2008</v>
      </c>
      <c r="M188" t="s">
        <v>2045</v>
      </c>
    </row>
    <row r="189" spans="1:13" x14ac:dyDescent="0.3">
      <c r="A189">
        <v>187</v>
      </c>
      <c r="B189">
        <v>1535</v>
      </c>
      <c r="C189" t="s">
        <v>2049</v>
      </c>
      <c r="D189" t="s">
        <v>2052</v>
      </c>
      <c r="E189" s="6" t="s">
        <v>2198</v>
      </c>
      <c r="F189" s="1">
        <v>44409</v>
      </c>
      <c r="G189">
        <v>887</v>
      </c>
      <c r="H189" t="s">
        <v>2047</v>
      </c>
      <c r="I189">
        <v>1</v>
      </c>
      <c r="J189" t="s">
        <v>2197</v>
      </c>
      <c r="K189" s="1">
        <v>39448</v>
      </c>
      <c r="L189">
        <v>2008</v>
      </c>
      <c r="M189" t="s">
        <v>2045</v>
      </c>
    </row>
    <row r="190" spans="1:13" x14ac:dyDescent="0.3">
      <c r="A190">
        <v>188</v>
      </c>
      <c r="B190">
        <v>932</v>
      </c>
      <c r="C190" t="s">
        <v>2049</v>
      </c>
      <c r="D190" t="s">
        <v>2048</v>
      </c>
      <c r="E190" s="6" t="s">
        <v>2078</v>
      </c>
      <c r="F190" s="1">
        <v>44593</v>
      </c>
      <c r="G190">
        <v>251</v>
      </c>
      <c r="H190" t="s">
        <v>2047</v>
      </c>
      <c r="I190">
        <v>2</v>
      </c>
      <c r="J190" t="s">
        <v>2077</v>
      </c>
      <c r="K190" s="1">
        <v>39448</v>
      </c>
      <c r="L190">
        <v>2009</v>
      </c>
      <c r="M190" t="s">
        <v>2045</v>
      </c>
    </row>
    <row r="191" spans="1:13" x14ac:dyDescent="0.3">
      <c r="A191">
        <v>189</v>
      </c>
      <c r="B191">
        <v>11</v>
      </c>
      <c r="C191" t="s">
        <v>2057</v>
      </c>
      <c r="D191" t="s">
        <v>2048</v>
      </c>
      <c r="E191" s="5">
        <v>320735955126194</v>
      </c>
      <c r="F191" s="1">
        <v>43497</v>
      </c>
      <c r="G191">
        <v>686</v>
      </c>
      <c r="H191" t="s">
        <v>2047</v>
      </c>
      <c r="I191">
        <v>1</v>
      </c>
      <c r="J191" t="s">
        <v>2543</v>
      </c>
      <c r="K191" s="1">
        <v>39814</v>
      </c>
      <c r="L191">
        <v>2011</v>
      </c>
      <c r="M191" t="s">
        <v>2045</v>
      </c>
    </row>
    <row r="192" spans="1:13" x14ac:dyDescent="0.3">
      <c r="A192">
        <v>190</v>
      </c>
      <c r="B192">
        <v>1995</v>
      </c>
      <c r="C192" t="s">
        <v>2057</v>
      </c>
      <c r="D192" t="s">
        <v>2048</v>
      </c>
      <c r="E192" s="5">
        <v>316487244875963</v>
      </c>
      <c r="F192" s="1">
        <v>45139</v>
      </c>
      <c r="G192">
        <v>737</v>
      </c>
      <c r="H192" t="s">
        <v>2055</v>
      </c>
      <c r="I192">
        <v>2</v>
      </c>
      <c r="J192" t="s">
        <v>2366</v>
      </c>
      <c r="K192" s="1">
        <v>39814</v>
      </c>
      <c r="L192">
        <v>2009</v>
      </c>
      <c r="M192" t="s">
        <v>2045</v>
      </c>
    </row>
    <row r="193" spans="1:13" x14ac:dyDescent="0.3">
      <c r="A193">
        <v>191</v>
      </c>
      <c r="B193">
        <v>1091</v>
      </c>
      <c r="C193" t="s">
        <v>2057</v>
      </c>
      <c r="D193" t="s">
        <v>2048</v>
      </c>
      <c r="E193" s="5">
        <v>386478516235378</v>
      </c>
      <c r="F193" s="1">
        <v>45352</v>
      </c>
      <c r="G193">
        <v>172</v>
      </c>
      <c r="H193" t="s">
        <v>2055</v>
      </c>
      <c r="I193">
        <v>2</v>
      </c>
      <c r="J193" t="s">
        <v>2243</v>
      </c>
      <c r="K193" s="1">
        <v>39814</v>
      </c>
      <c r="L193">
        <v>2009</v>
      </c>
      <c r="M193" t="s">
        <v>2045</v>
      </c>
    </row>
    <row r="194" spans="1:13" x14ac:dyDescent="0.3">
      <c r="A194">
        <v>192</v>
      </c>
      <c r="B194">
        <v>346</v>
      </c>
      <c r="C194" t="s">
        <v>2061</v>
      </c>
      <c r="D194" t="s">
        <v>2048</v>
      </c>
      <c r="E194" s="6" t="s">
        <v>3520</v>
      </c>
      <c r="F194" s="1">
        <v>44866</v>
      </c>
      <c r="G194">
        <v>162</v>
      </c>
      <c r="H194" t="s">
        <v>2047</v>
      </c>
      <c r="I194">
        <v>1</v>
      </c>
      <c r="J194" t="s">
        <v>2046</v>
      </c>
      <c r="K194" s="1">
        <v>39814</v>
      </c>
      <c r="L194">
        <v>2009</v>
      </c>
      <c r="M194" t="s">
        <v>2045</v>
      </c>
    </row>
    <row r="195" spans="1:13" x14ac:dyDescent="0.3">
      <c r="A195">
        <v>193</v>
      </c>
      <c r="B195">
        <v>875</v>
      </c>
      <c r="C195" t="s">
        <v>2061</v>
      </c>
      <c r="D195" t="s">
        <v>2048</v>
      </c>
      <c r="E195" s="6" t="s">
        <v>3449</v>
      </c>
      <c r="F195" s="1">
        <v>41730</v>
      </c>
      <c r="G195">
        <v>213</v>
      </c>
      <c r="H195" t="s">
        <v>2055</v>
      </c>
      <c r="I195">
        <v>2</v>
      </c>
      <c r="J195" t="s">
        <v>2142</v>
      </c>
      <c r="K195" s="1">
        <v>39814</v>
      </c>
      <c r="L195">
        <v>2010</v>
      </c>
      <c r="M195" t="s">
        <v>2045</v>
      </c>
    </row>
    <row r="196" spans="1:13" x14ac:dyDescent="0.3">
      <c r="A196">
        <v>194</v>
      </c>
      <c r="B196">
        <v>1206</v>
      </c>
      <c r="C196" t="s">
        <v>2053</v>
      </c>
      <c r="D196" t="s">
        <v>2048</v>
      </c>
      <c r="E196" s="6" t="s">
        <v>3452</v>
      </c>
      <c r="F196" s="1">
        <v>42430</v>
      </c>
      <c r="G196">
        <v>847</v>
      </c>
      <c r="H196" t="s">
        <v>2047</v>
      </c>
      <c r="I196">
        <v>2</v>
      </c>
      <c r="J196" t="s">
        <v>2830</v>
      </c>
      <c r="K196" s="1">
        <v>39814</v>
      </c>
      <c r="L196">
        <v>2010</v>
      </c>
      <c r="M196" t="s">
        <v>2045</v>
      </c>
    </row>
    <row r="197" spans="1:13" x14ac:dyDescent="0.3">
      <c r="A197">
        <v>195</v>
      </c>
      <c r="B197">
        <v>1133</v>
      </c>
      <c r="C197" t="s">
        <v>2053</v>
      </c>
      <c r="D197" t="s">
        <v>2070</v>
      </c>
      <c r="E197" s="6" t="s">
        <v>3438</v>
      </c>
      <c r="F197" s="1">
        <v>45383</v>
      </c>
      <c r="G197">
        <v>256</v>
      </c>
      <c r="H197" t="s">
        <v>2047</v>
      </c>
      <c r="I197">
        <v>2</v>
      </c>
      <c r="J197" t="s">
        <v>1099</v>
      </c>
      <c r="K197" s="1">
        <v>39814</v>
      </c>
      <c r="L197">
        <v>2013</v>
      </c>
      <c r="M197" t="s">
        <v>2045</v>
      </c>
    </row>
    <row r="198" spans="1:13" x14ac:dyDescent="0.3">
      <c r="A198">
        <v>196</v>
      </c>
      <c r="B198">
        <v>1031</v>
      </c>
      <c r="C198" t="s">
        <v>2053</v>
      </c>
      <c r="D198" t="s">
        <v>2048</v>
      </c>
      <c r="E198" s="6" t="s">
        <v>3234</v>
      </c>
      <c r="F198" s="1">
        <v>41091</v>
      </c>
      <c r="G198">
        <v>424</v>
      </c>
      <c r="H198" t="s">
        <v>2047</v>
      </c>
      <c r="I198">
        <v>2</v>
      </c>
      <c r="J198" t="s">
        <v>2487</v>
      </c>
      <c r="K198" s="1">
        <v>39814</v>
      </c>
      <c r="L198">
        <v>2009</v>
      </c>
      <c r="M198" t="s">
        <v>2045</v>
      </c>
    </row>
    <row r="199" spans="1:13" x14ac:dyDescent="0.3">
      <c r="A199">
        <v>197</v>
      </c>
      <c r="B199">
        <v>123</v>
      </c>
      <c r="C199" t="s">
        <v>2053</v>
      </c>
      <c r="D199" t="s">
        <v>2052</v>
      </c>
      <c r="E199" s="6" t="s">
        <v>3012</v>
      </c>
      <c r="F199" s="1">
        <v>43983</v>
      </c>
      <c r="G199">
        <v>995</v>
      </c>
      <c r="H199" t="s">
        <v>2047</v>
      </c>
      <c r="I199">
        <v>1</v>
      </c>
      <c r="J199" t="s">
        <v>3011</v>
      </c>
      <c r="K199" s="1">
        <v>39814</v>
      </c>
      <c r="L199">
        <v>2009</v>
      </c>
      <c r="M199" t="s">
        <v>2045</v>
      </c>
    </row>
    <row r="200" spans="1:13" x14ac:dyDescent="0.3">
      <c r="A200">
        <v>198</v>
      </c>
      <c r="B200">
        <v>1015</v>
      </c>
      <c r="C200" t="s">
        <v>2053</v>
      </c>
      <c r="D200" t="s">
        <v>2052</v>
      </c>
      <c r="E200" s="6" t="s">
        <v>2977</v>
      </c>
      <c r="F200" s="1">
        <v>45566</v>
      </c>
      <c r="G200">
        <v>761</v>
      </c>
      <c r="H200" t="s">
        <v>2047</v>
      </c>
      <c r="I200">
        <v>2</v>
      </c>
      <c r="J200" t="s">
        <v>2976</v>
      </c>
      <c r="K200" s="1">
        <v>39814</v>
      </c>
      <c r="L200">
        <v>2011</v>
      </c>
      <c r="M200" t="s">
        <v>2045</v>
      </c>
    </row>
    <row r="201" spans="1:13" x14ac:dyDescent="0.3">
      <c r="A201">
        <v>199</v>
      </c>
      <c r="B201">
        <v>658</v>
      </c>
      <c r="C201" t="s">
        <v>2053</v>
      </c>
      <c r="D201" t="s">
        <v>2052</v>
      </c>
      <c r="E201" s="6" t="s">
        <v>2958</v>
      </c>
      <c r="F201" s="1">
        <v>45505</v>
      </c>
      <c r="G201">
        <v>200</v>
      </c>
      <c r="H201" t="s">
        <v>2047</v>
      </c>
      <c r="I201">
        <v>2</v>
      </c>
      <c r="J201" t="s">
        <v>2957</v>
      </c>
      <c r="K201" s="1">
        <v>39814</v>
      </c>
      <c r="L201">
        <v>2009</v>
      </c>
      <c r="M201" t="s">
        <v>2045</v>
      </c>
    </row>
    <row r="202" spans="1:13" x14ac:dyDescent="0.3">
      <c r="A202">
        <v>200</v>
      </c>
      <c r="B202">
        <v>1398</v>
      </c>
      <c r="C202" t="s">
        <v>2053</v>
      </c>
      <c r="D202" t="s">
        <v>2070</v>
      </c>
      <c r="E202" s="6" t="s">
        <v>2712</v>
      </c>
      <c r="F202" s="1">
        <v>45566</v>
      </c>
      <c r="G202">
        <v>287</v>
      </c>
      <c r="H202" t="s">
        <v>2055</v>
      </c>
      <c r="I202">
        <v>2</v>
      </c>
      <c r="J202" t="s">
        <v>2074</v>
      </c>
      <c r="K202" s="1">
        <v>39814</v>
      </c>
      <c r="L202">
        <v>2016</v>
      </c>
      <c r="M202" t="s">
        <v>2045</v>
      </c>
    </row>
    <row r="203" spans="1:13" x14ac:dyDescent="0.3">
      <c r="A203">
        <v>201</v>
      </c>
      <c r="B203">
        <v>1072</v>
      </c>
      <c r="C203" t="s">
        <v>2053</v>
      </c>
      <c r="D203" t="s">
        <v>2052</v>
      </c>
      <c r="E203" s="6" t="s">
        <v>2616</v>
      </c>
      <c r="F203" s="1">
        <v>43891</v>
      </c>
      <c r="G203">
        <v>155</v>
      </c>
      <c r="H203" t="s">
        <v>2055</v>
      </c>
      <c r="I203">
        <v>1</v>
      </c>
      <c r="J203" t="s">
        <v>2615</v>
      </c>
      <c r="K203" s="1">
        <v>39814</v>
      </c>
      <c r="L203">
        <v>2010</v>
      </c>
      <c r="M203" t="s">
        <v>2045</v>
      </c>
    </row>
    <row r="204" spans="1:13" x14ac:dyDescent="0.3">
      <c r="A204">
        <v>202</v>
      </c>
      <c r="B204">
        <v>1054</v>
      </c>
      <c r="C204" t="s">
        <v>2053</v>
      </c>
      <c r="D204" t="s">
        <v>2052</v>
      </c>
      <c r="E204" s="6" t="s">
        <v>2407</v>
      </c>
      <c r="F204" s="1">
        <v>45352</v>
      </c>
      <c r="G204">
        <v>237</v>
      </c>
      <c r="H204" t="s">
        <v>2047</v>
      </c>
      <c r="I204">
        <v>2</v>
      </c>
      <c r="J204" t="s">
        <v>2098</v>
      </c>
      <c r="K204" s="1">
        <v>39814</v>
      </c>
      <c r="L204">
        <v>2009</v>
      </c>
      <c r="M204" t="s">
        <v>2045</v>
      </c>
    </row>
    <row r="205" spans="1:13" x14ac:dyDescent="0.3">
      <c r="A205">
        <v>203</v>
      </c>
      <c r="B205">
        <v>1433</v>
      </c>
      <c r="C205" t="s">
        <v>2053</v>
      </c>
      <c r="D205" t="s">
        <v>2052</v>
      </c>
      <c r="E205" s="6" t="s">
        <v>2352</v>
      </c>
      <c r="F205" s="1">
        <v>45292</v>
      </c>
      <c r="G205">
        <v>734</v>
      </c>
      <c r="H205" t="s">
        <v>2047</v>
      </c>
      <c r="I205">
        <v>1</v>
      </c>
      <c r="J205" t="s">
        <v>2351</v>
      </c>
      <c r="K205" s="1">
        <v>39814</v>
      </c>
      <c r="L205">
        <v>2010</v>
      </c>
      <c r="M205" t="s">
        <v>2045</v>
      </c>
    </row>
    <row r="206" spans="1:13" x14ac:dyDescent="0.3">
      <c r="A206">
        <v>204</v>
      </c>
      <c r="B206">
        <v>738</v>
      </c>
      <c r="C206" t="s">
        <v>2053</v>
      </c>
      <c r="D206" t="s">
        <v>2052</v>
      </c>
      <c r="E206" s="6" t="s">
        <v>2226</v>
      </c>
      <c r="F206" s="1">
        <v>45078</v>
      </c>
      <c r="G206">
        <v>648</v>
      </c>
      <c r="H206" t="s">
        <v>2047</v>
      </c>
      <c r="I206">
        <v>1</v>
      </c>
      <c r="J206" t="s">
        <v>2225</v>
      </c>
      <c r="K206" s="1">
        <v>39814</v>
      </c>
      <c r="L206">
        <v>2011</v>
      </c>
      <c r="M206" t="s">
        <v>2045</v>
      </c>
    </row>
    <row r="207" spans="1:13" x14ac:dyDescent="0.3">
      <c r="A207">
        <v>205</v>
      </c>
      <c r="B207">
        <v>1947</v>
      </c>
      <c r="C207" t="s">
        <v>2053</v>
      </c>
      <c r="D207" t="s">
        <v>2052</v>
      </c>
      <c r="E207" s="6" t="s">
        <v>2187</v>
      </c>
      <c r="F207" s="1">
        <v>44743</v>
      </c>
      <c r="G207">
        <v>733</v>
      </c>
      <c r="H207" t="s">
        <v>2047</v>
      </c>
      <c r="I207">
        <v>1</v>
      </c>
      <c r="J207" t="s">
        <v>2186</v>
      </c>
      <c r="K207" s="1">
        <v>39814</v>
      </c>
      <c r="L207">
        <v>2013</v>
      </c>
      <c r="M207" t="s">
        <v>2045</v>
      </c>
    </row>
    <row r="208" spans="1:13" x14ac:dyDescent="0.3">
      <c r="A208">
        <v>206</v>
      </c>
      <c r="B208">
        <v>1258</v>
      </c>
      <c r="C208" t="s">
        <v>2053</v>
      </c>
      <c r="D208" t="s">
        <v>2070</v>
      </c>
      <c r="E208" s="6" t="s">
        <v>2162</v>
      </c>
      <c r="F208" s="1">
        <v>45261</v>
      </c>
      <c r="G208">
        <v>26</v>
      </c>
      <c r="H208" t="s">
        <v>2047</v>
      </c>
      <c r="I208">
        <v>1</v>
      </c>
      <c r="J208" t="s">
        <v>2137</v>
      </c>
      <c r="K208" s="1">
        <v>39814</v>
      </c>
      <c r="L208">
        <v>2009</v>
      </c>
      <c r="M208" t="s">
        <v>2045</v>
      </c>
    </row>
    <row r="209" spans="1:13" x14ac:dyDescent="0.3">
      <c r="A209">
        <v>207</v>
      </c>
      <c r="B209">
        <v>217</v>
      </c>
      <c r="C209" t="s">
        <v>2049</v>
      </c>
      <c r="D209" t="s">
        <v>2048</v>
      </c>
      <c r="E209" s="6" t="s">
        <v>3655</v>
      </c>
      <c r="F209" s="1">
        <v>41030</v>
      </c>
      <c r="G209">
        <v>839</v>
      </c>
      <c r="H209" t="s">
        <v>2047</v>
      </c>
      <c r="I209">
        <v>2</v>
      </c>
      <c r="J209" t="s">
        <v>2171</v>
      </c>
      <c r="K209" s="1">
        <v>39814</v>
      </c>
      <c r="L209">
        <v>2011</v>
      </c>
      <c r="M209" t="s">
        <v>2045</v>
      </c>
    </row>
    <row r="210" spans="1:13" x14ac:dyDescent="0.3">
      <c r="A210">
        <v>208</v>
      </c>
      <c r="B210">
        <v>299</v>
      </c>
      <c r="C210" t="s">
        <v>2049</v>
      </c>
      <c r="D210" t="s">
        <v>2052</v>
      </c>
      <c r="E210" s="6" t="s">
        <v>3562</v>
      </c>
      <c r="F210" s="1">
        <v>43952</v>
      </c>
      <c r="G210">
        <v>127</v>
      </c>
      <c r="H210" t="s">
        <v>2047</v>
      </c>
      <c r="I210">
        <v>1</v>
      </c>
      <c r="J210" t="s">
        <v>3561</v>
      </c>
      <c r="K210" s="1">
        <v>39814</v>
      </c>
      <c r="L210">
        <v>2009</v>
      </c>
      <c r="M210" t="s">
        <v>2045</v>
      </c>
    </row>
    <row r="211" spans="1:13" x14ac:dyDescent="0.3">
      <c r="A211">
        <v>209</v>
      </c>
      <c r="B211">
        <v>1334</v>
      </c>
      <c r="C211" t="s">
        <v>2049</v>
      </c>
      <c r="D211" t="s">
        <v>2048</v>
      </c>
      <c r="E211" s="6" t="s">
        <v>3466</v>
      </c>
      <c r="F211" s="1">
        <v>41852</v>
      </c>
      <c r="G211">
        <v>312</v>
      </c>
      <c r="H211" t="s">
        <v>2055</v>
      </c>
      <c r="I211">
        <v>1</v>
      </c>
      <c r="J211" t="s">
        <v>2129</v>
      </c>
      <c r="K211" s="1">
        <v>39814</v>
      </c>
      <c r="L211">
        <v>2009</v>
      </c>
      <c r="M211" t="s">
        <v>2045</v>
      </c>
    </row>
    <row r="212" spans="1:13" x14ac:dyDescent="0.3">
      <c r="A212">
        <v>210</v>
      </c>
      <c r="B212">
        <v>1204</v>
      </c>
      <c r="C212" t="s">
        <v>2049</v>
      </c>
      <c r="D212" t="s">
        <v>2052</v>
      </c>
      <c r="E212" s="6" t="s">
        <v>3442</v>
      </c>
      <c r="F212" s="1">
        <v>44835</v>
      </c>
      <c r="G212">
        <v>498</v>
      </c>
      <c r="H212" t="s">
        <v>2047</v>
      </c>
      <c r="I212">
        <v>1</v>
      </c>
      <c r="J212" t="s">
        <v>3441</v>
      </c>
      <c r="K212" s="1">
        <v>39814</v>
      </c>
      <c r="L212">
        <v>2009</v>
      </c>
      <c r="M212" t="s">
        <v>2045</v>
      </c>
    </row>
    <row r="213" spans="1:13" x14ac:dyDescent="0.3">
      <c r="A213">
        <v>211</v>
      </c>
      <c r="B213">
        <v>581</v>
      </c>
      <c r="C213" t="s">
        <v>2049</v>
      </c>
      <c r="D213" t="s">
        <v>2052</v>
      </c>
      <c r="E213" s="6" t="s">
        <v>3292</v>
      </c>
      <c r="F213" s="1">
        <v>44044</v>
      </c>
      <c r="G213">
        <v>490</v>
      </c>
      <c r="H213" t="s">
        <v>2047</v>
      </c>
      <c r="I213">
        <v>1</v>
      </c>
      <c r="J213" t="s">
        <v>3291</v>
      </c>
      <c r="K213" s="1">
        <v>39814</v>
      </c>
      <c r="L213">
        <v>2011</v>
      </c>
      <c r="M213" t="s">
        <v>2045</v>
      </c>
    </row>
    <row r="214" spans="1:13" x14ac:dyDescent="0.3">
      <c r="A214">
        <v>212</v>
      </c>
      <c r="B214">
        <v>605</v>
      </c>
      <c r="C214" t="s">
        <v>2049</v>
      </c>
      <c r="D214" t="s">
        <v>2048</v>
      </c>
      <c r="E214" s="6" t="s">
        <v>3145</v>
      </c>
      <c r="F214" s="1">
        <v>44896</v>
      </c>
      <c r="G214">
        <v>70</v>
      </c>
      <c r="H214" t="s">
        <v>2047</v>
      </c>
      <c r="I214">
        <v>1</v>
      </c>
      <c r="J214" t="s">
        <v>2449</v>
      </c>
      <c r="K214" s="1">
        <v>39814</v>
      </c>
      <c r="L214">
        <v>2009</v>
      </c>
      <c r="M214" t="s">
        <v>2045</v>
      </c>
    </row>
    <row r="215" spans="1:13" x14ac:dyDescent="0.3">
      <c r="A215">
        <v>213</v>
      </c>
      <c r="B215">
        <v>804</v>
      </c>
      <c r="C215" t="s">
        <v>2049</v>
      </c>
      <c r="D215" t="s">
        <v>2048</v>
      </c>
      <c r="E215" s="6" t="s">
        <v>2771</v>
      </c>
      <c r="F215" s="1">
        <v>41122</v>
      </c>
      <c r="G215">
        <v>988</v>
      </c>
      <c r="H215" t="s">
        <v>2055</v>
      </c>
      <c r="I215">
        <v>2</v>
      </c>
      <c r="J215" t="s">
        <v>433</v>
      </c>
      <c r="K215" s="1">
        <v>39814</v>
      </c>
      <c r="L215">
        <v>2011</v>
      </c>
      <c r="M215" t="s">
        <v>2045</v>
      </c>
    </row>
    <row r="216" spans="1:13" x14ac:dyDescent="0.3">
      <c r="A216">
        <v>214</v>
      </c>
      <c r="B216">
        <v>1077</v>
      </c>
      <c r="C216" t="s">
        <v>2049</v>
      </c>
      <c r="D216" t="s">
        <v>2052</v>
      </c>
      <c r="E216" s="6" t="s">
        <v>2745</v>
      </c>
      <c r="F216" s="1">
        <v>43922</v>
      </c>
      <c r="G216">
        <v>508</v>
      </c>
      <c r="H216" t="s">
        <v>2047</v>
      </c>
      <c r="I216">
        <v>2</v>
      </c>
      <c r="J216" t="s">
        <v>2744</v>
      </c>
      <c r="K216" s="1">
        <v>39814</v>
      </c>
      <c r="L216">
        <v>2009</v>
      </c>
      <c r="M216" t="s">
        <v>2045</v>
      </c>
    </row>
    <row r="217" spans="1:13" x14ac:dyDescent="0.3">
      <c r="A217">
        <v>215</v>
      </c>
      <c r="B217">
        <v>801</v>
      </c>
      <c r="C217" t="s">
        <v>2049</v>
      </c>
      <c r="D217" t="s">
        <v>2048</v>
      </c>
      <c r="E217" s="6" t="s">
        <v>2727</v>
      </c>
      <c r="F217" s="1">
        <v>45536</v>
      </c>
      <c r="G217">
        <v>620</v>
      </c>
      <c r="H217" t="s">
        <v>2047</v>
      </c>
      <c r="I217">
        <v>1</v>
      </c>
      <c r="J217" t="s">
        <v>2145</v>
      </c>
      <c r="K217" s="1">
        <v>39814</v>
      </c>
      <c r="L217">
        <v>2010</v>
      </c>
      <c r="M217" t="s">
        <v>2045</v>
      </c>
    </row>
    <row r="218" spans="1:13" x14ac:dyDescent="0.3">
      <c r="A218">
        <v>216</v>
      </c>
      <c r="B218">
        <v>1398</v>
      </c>
      <c r="C218" t="s">
        <v>2049</v>
      </c>
      <c r="D218" t="s">
        <v>2052</v>
      </c>
      <c r="E218" s="6" t="s">
        <v>2711</v>
      </c>
      <c r="F218" s="1">
        <v>42614</v>
      </c>
      <c r="G218">
        <v>32</v>
      </c>
      <c r="H218" t="s">
        <v>2047</v>
      </c>
      <c r="I218">
        <v>1</v>
      </c>
      <c r="J218" t="s">
        <v>102</v>
      </c>
      <c r="K218" s="1">
        <v>39814</v>
      </c>
      <c r="L218">
        <v>2011</v>
      </c>
      <c r="M218" t="s">
        <v>2045</v>
      </c>
    </row>
    <row r="219" spans="1:13" x14ac:dyDescent="0.3">
      <c r="A219">
        <v>217</v>
      </c>
      <c r="B219">
        <v>895</v>
      </c>
      <c r="C219" t="s">
        <v>2049</v>
      </c>
      <c r="D219" t="s">
        <v>2048</v>
      </c>
      <c r="E219" s="6" t="s">
        <v>2583</v>
      </c>
      <c r="F219" s="1">
        <v>45231</v>
      </c>
      <c r="G219">
        <v>167</v>
      </c>
      <c r="H219" t="s">
        <v>2047</v>
      </c>
      <c r="I219">
        <v>1</v>
      </c>
      <c r="J219" t="s">
        <v>2214</v>
      </c>
      <c r="K219" s="1">
        <v>39814</v>
      </c>
      <c r="L219">
        <v>2013</v>
      </c>
      <c r="M219" t="s">
        <v>2045</v>
      </c>
    </row>
    <row r="220" spans="1:13" x14ac:dyDescent="0.3">
      <c r="A220">
        <v>218</v>
      </c>
      <c r="B220">
        <v>1105</v>
      </c>
      <c r="C220" t="s">
        <v>2049</v>
      </c>
      <c r="D220" t="s">
        <v>2052</v>
      </c>
      <c r="E220" s="6" t="s">
        <v>2435</v>
      </c>
      <c r="F220" s="1">
        <v>44105</v>
      </c>
      <c r="G220">
        <v>584</v>
      </c>
      <c r="H220" t="s">
        <v>2047</v>
      </c>
      <c r="I220">
        <v>1</v>
      </c>
      <c r="J220" t="s">
        <v>2434</v>
      </c>
      <c r="K220" s="1">
        <v>39814</v>
      </c>
      <c r="L220">
        <v>2019</v>
      </c>
      <c r="M220" t="s">
        <v>2045</v>
      </c>
    </row>
    <row r="221" spans="1:13" x14ac:dyDescent="0.3">
      <c r="A221">
        <v>219</v>
      </c>
      <c r="B221">
        <v>1380</v>
      </c>
      <c r="C221" t="s">
        <v>2049</v>
      </c>
      <c r="D221" t="s">
        <v>2070</v>
      </c>
      <c r="E221" s="6" t="s">
        <v>2083</v>
      </c>
      <c r="F221" s="1">
        <v>40695</v>
      </c>
      <c r="G221">
        <v>725</v>
      </c>
      <c r="H221" t="s">
        <v>2047</v>
      </c>
      <c r="I221">
        <v>1</v>
      </c>
      <c r="J221" t="s">
        <v>2082</v>
      </c>
      <c r="K221" s="1">
        <v>39814</v>
      </c>
      <c r="L221">
        <v>2009</v>
      </c>
      <c r="M221" t="s">
        <v>2045</v>
      </c>
    </row>
    <row r="222" spans="1:13" x14ac:dyDescent="0.3">
      <c r="A222">
        <v>220</v>
      </c>
      <c r="B222">
        <v>932</v>
      </c>
      <c r="C222" t="s">
        <v>2049</v>
      </c>
      <c r="D222" t="s">
        <v>2052</v>
      </c>
      <c r="E222" s="6" t="s">
        <v>2076</v>
      </c>
      <c r="F222" s="1">
        <v>43617</v>
      </c>
      <c r="G222">
        <v>306</v>
      </c>
      <c r="H222" t="s">
        <v>2047</v>
      </c>
      <c r="I222">
        <v>2</v>
      </c>
      <c r="J222" t="s">
        <v>1284</v>
      </c>
      <c r="K222" s="1">
        <v>39814</v>
      </c>
      <c r="L222">
        <v>2015</v>
      </c>
      <c r="M222" t="s">
        <v>2045</v>
      </c>
    </row>
    <row r="223" spans="1:13" x14ac:dyDescent="0.3">
      <c r="A223">
        <v>221</v>
      </c>
      <c r="B223">
        <v>846</v>
      </c>
      <c r="C223" t="s">
        <v>2057</v>
      </c>
      <c r="D223" t="s">
        <v>2048</v>
      </c>
      <c r="E223" s="5">
        <v>371624685132627</v>
      </c>
      <c r="F223" s="1">
        <v>44835</v>
      </c>
      <c r="G223">
        <v>297</v>
      </c>
      <c r="H223" t="s">
        <v>2047</v>
      </c>
      <c r="I223">
        <v>2</v>
      </c>
      <c r="J223" t="s">
        <v>2213</v>
      </c>
      <c r="K223" s="1">
        <v>40179</v>
      </c>
      <c r="L223">
        <v>2015</v>
      </c>
      <c r="M223" t="s">
        <v>2045</v>
      </c>
    </row>
    <row r="224" spans="1:13" x14ac:dyDescent="0.3">
      <c r="A224">
        <v>222</v>
      </c>
      <c r="B224">
        <v>1815</v>
      </c>
      <c r="C224" t="s">
        <v>2057</v>
      </c>
      <c r="D224" t="s">
        <v>2048</v>
      </c>
      <c r="E224" s="5">
        <v>371091834390039</v>
      </c>
      <c r="F224" s="1">
        <v>43862</v>
      </c>
      <c r="G224">
        <v>858</v>
      </c>
      <c r="H224" t="s">
        <v>2047</v>
      </c>
      <c r="I224">
        <v>2</v>
      </c>
      <c r="J224" t="s">
        <v>2243</v>
      </c>
      <c r="K224" s="1">
        <v>40179</v>
      </c>
      <c r="L224">
        <v>2011</v>
      </c>
      <c r="M224" t="s">
        <v>2045</v>
      </c>
    </row>
    <row r="225" spans="1:13" x14ac:dyDescent="0.3">
      <c r="A225">
        <v>223</v>
      </c>
      <c r="B225">
        <v>299</v>
      </c>
      <c r="C225" t="s">
        <v>2053</v>
      </c>
      <c r="D225" t="s">
        <v>2052</v>
      </c>
      <c r="E225" s="6" t="s">
        <v>3564</v>
      </c>
      <c r="F225" s="1">
        <v>45352</v>
      </c>
      <c r="G225">
        <v>143</v>
      </c>
      <c r="H225" t="s">
        <v>2047</v>
      </c>
      <c r="I225">
        <v>1</v>
      </c>
      <c r="J225" t="s">
        <v>3563</v>
      </c>
      <c r="K225" s="1">
        <v>40179</v>
      </c>
      <c r="L225">
        <v>2010</v>
      </c>
      <c r="M225" t="s">
        <v>2045</v>
      </c>
    </row>
    <row r="226" spans="1:13" x14ac:dyDescent="0.3">
      <c r="A226">
        <v>224</v>
      </c>
      <c r="B226">
        <v>1575</v>
      </c>
      <c r="C226" t="s">
        <v>2053</v>
      </c>
      <c r="D226" t="s">
        <v>2052</v>
      </c>
      <c r="E226" s="6" t="s">
        <v>3393</v>
      </c>
      <c r="F226" s="1">
        <v>44348</v>
      </c>
      <c r="G226">
        <v>365</v>
      </c>
      <c r="H226" t="s">
        <v>2047</v>
      </c>
      <c r="I226">
        <v>1</v>
      </c>
      <c r="J226" t="s">
        <v>3392</v>
      </c>
      <c r="K226" s="1">
        <v>40179</v>
      </c>
      <c r="L226">
        <v>2010</v>
      </c>
      <c r="M226" t="s">
        <v>2045</v>
      </c>
    </row>
    <row r="227" spans="1:13" x14ac:dyDescent="0.3">
      <c r="A227">
        <v>225</v>
      </c>
      <c r="B227">
        <v>1078</v>
      </c>
      <c r="C227" t="s">
        <v>2053</v>
      </c>
      <c r="D227" t="s">
        <v>2052</v>
      </c>
      <c r="E227" s="6" t="s">
        <v>3307</v>
      </c>
      <c r="F227" s="1">
        <v>45200</v>
      </c>
      <c r="G227">
        <v>862</v>
      </c>
      <c r="H227" t="s">
        <v>2047</v>
      </c>
      <c r="I227">
        <v>2</v>
      </c>
      <c r="J227" t="s">
        <v>3306</v>
      </c>
      <c r="K227" s="1">
        <v>40179</v>
      </c>
      <c r="L227">
        <v>2015</v>
      </c>
      <c r="M227" t="s">
        <v>2045</v>
      </c>
    </row>
    <row r="228" spans="1:13" x14ac:dyDescent="0.3">
      <c r="A228">
        <v>226</v>
      </c>
      <c r="B228">
        <v>729</v>
      </c>
      <c r="C228" t="s">
        <v>2053</v>
      </c>
      <c r="D228" t="s">
        <v>2052</v>
      </c>
      <c r="E228" s="6" t="s">
        <v>3224</v>
      </c>
      <c r="F228" s="1">
        <v>43862</v>
      </c>
      <c r="G228">
        <v>613</v>
      </c>
      <c r="H228" t="s">
        <v>2047</v>
      </c>
      <c r="I228">
        <v>2</v>
      </c>
      <c r="J228" t="s">
        <v>3223</v>
      </c>
      <c r="K228" s="1">
        <v>40179</v>
      </c>
      <c r="L228">
        <v>2010</v>
      </c>
      <c r="M228" t="s">
        <v>2045</v>
      </c>
    </row>
    <row r="229" spans="1:13" x14ac:dyDescent="0.3">
      <c r="A229">
        <v>227</v>
      </c>
      <c r="B229">
        <v>123</v>
      </c>
      <c r="C229" t="s">
        <v>2053</v>
      </c>
      <c r="D229" t="s">
        <v>2052</v>
      </c>
      <c r="E229" s="6" t="s">
        <v>3014</v>
      </c>
      <c r="F229" s="1">
        <v>44136</v>
      </c>
      <c r="G229">
        <v>20</v>
      </c>
      <c r="H229" t="s">
        <v>2047</v>
      </c>
      <c r="I229">
        <v>2</v>
      </c>
      <c r="J229" t="s">
        <v>3013</v>
      </c>
      <c r="K229" s="1">
        <v>40179</v>
      </c>
      <c r="L229">
        <v>2010</v>
      </c>
      <c r="M229" t="s">
        <v>2045</v>
      </c>
    </row>
    <row r="230" spans="1:13" x14ac:dyDescent="0.3">
      <c r="A230">
        <v>228</v>
      </c>
      <c r="B230">
        <v>1541</v>
      </c>
      <c r="C230" t="s">
        <v>2053</v>
      </c>
      <c r="D230" t="s">
        <v>2052</v>
      </c>
      <c r="E230" s="6" t="s">
        <v>2954</v>
      </c>
      <c r="F230" s="1">
        <v>45536</v>
      </c>
      <c r="G230">
        <v>699</v>
      </c>
      <c r="H230" t="s">
        <v>2055</v>
      </c>
      <c r="I230">
        <v>2</v>
      </c>
      <c r="J230" t="s">
        <v>2953</v>
      </c>
      <c r="K230" s="1">
        <v>40179</v>
      </c>
      <c r="L230">
        <v>2019</v>
      </c>
      <c r="M230" t="s">
        <v>2045</v>
      </c>
    </row>
    <row r="231" spans="1:13" x14ac:dyDescent="0.3">
      <c r="A231">
        <v>229</v>
      </c>
      <c r="B231">
        <v>1749</v>
      </c>
      <c r="C231" t="s">
        <v>2053</v>
      </c>
      <c r="D231" t="s">
        <v>2052</v>
      </c>
      <c r="E231" s="6" t="s">
        <v>2778</v>
      </c>
      <c r="F231" s="1">
        <v>43617</v>
      </c>
      <c r="G231">
        <v>784</v>
      </c>
      <c r="H231" t="s">
        <v>2047</v>
      </c>
      <c r="I231">
        <v>2</v>
      </c>
      <c r="J231" t="s">
        <v>981</v>
      </c>
      <c r="K231" s="1">
        <v>40179</v>
      </c>
      <c r="L231">
        <v>2010</v>
      </c>
      <c r="M231" t="s">
        <v>2045</v>
      </c>
    </row>
    <row r="232" spans="1:13" x14ac:dyDescent="0.3">
      <c r="A232">
        <v>230</v>
      </c>
      <c r="B232">
        <v>132</v>
      </c>
      <c r="C232" t="s">
        <v>2053</v>
      </c>
      <c r="D232" t="s">
        <v>2070</v>
      </c>
      <c r="E232" s="6" t="s">
        <v>2747</v>
      </c>
      <c r="F232" s="1">
        <v>44105</v>
      </c>
      <c r="G232">
        <v>160</v>
      </c>
      <c r="H232" t="s">
        <v>2047</v>
      </c>
      <c r="I232">
        <v>2</v>
      </c>
      <c r="J232" t="s">
        <v>2368</v>
      </c>
      <c r="K232" s="1">
        <v>40179</v>
      </c>
      <c r="L232">
        <v>2011</v>
      </c>
      <c r="M232" t="s">
        <v>2045</v>
      </c>
    </row>
    <row r="233" spans="1:13" x14ac:dyDescent="0.3">
      <c r="A233">
        <v>231</v>
      </c>
      <c r="B233">
        <v>938</v>
      </c>
      <c r="C233" t="s">
        <v>2053</v>
      </c>
      <c r="D233" t="s">
        <v>2048</v>
      </c>
      <c r="E233" s="6" t="s">
        <v>2739</v>
      </c>
      <c r="F233" s="1">
        <v>45170</v>
      </c>
      <c r="G233">
        <v>123</v>
      </c>
      <c r="H233" t="s">
        <v>2047</v>
      </c>
      <c r="I233">
        <v>1</v>
      </c>
      <c r="J233" t="s">
        <v>2487</v>
      </c>
      <c r="K233" s="1">
        <v>40179</v>
      </c>
      <c r="L233">
        <v>2012</v>
      </c>
      <c r="M233" t="s">
        <v>2045</v>
      </c>
    </row>
    <row r="234" spans="1:13" x14ac:dyDescent="0.3">
      <c r="A234">
        <v>232</v>
      </c>
      <c r="B234">
        <v>723</v>
      </c>
      <c r="C234" t="s">
        <v>2053</v>
      </c>
      <c r="D234" t="s">
        <v>2052</v>
      </c>
      <c r="E234" s="6" t="s">
        <v>2714</v>
      </c>
      <c r="F234" s="1">
        <v>44958</v>
      </c>
      <c r="G234">
        <v>310</v>
      </c>
      <c r="H234" t="s">
        <v>2047</v>
      </c>
      <c r="I234">
        <v>2</v>
      </c>
      <c r="J234" t="s">
        <v>2713</v>
      </c>
      <c r="K234" s="1">
        <v>40179</v>
      </c>
      <c r="L234">
        <v>2010</v>
      </c>
      <c r="M234" t="s">
        <v>2045</v>
      </c>
    </row>
    <row r="235" spans="1:13" x14ac:dyDescent="0.3">
      <c r="A235">
        <v>233</v>
      </c>
      <c r="B235">
        <v>859</v>
      </c>
      <c r="C235" t="s">
        <v>2053</v>
      </c>
      <c r="D235" t="s">
        <v>2048</v>
      </c>
      <c r="E235" s="6" t="s">
        <v>2664</v>
      </c>
      <c r="F235" s="1">
        <v>45170</v>
      </c>
      <c r="G235">
        <v>224</v>
      </c>
      <c r="H235" t="s">
        <v>2047</v>
      </c>
      <c r="I235">
        <v>2</v>
      </c>
      <c r="J235" t="s">
        <v>2238</v>
      </c>
      <c r="K235" s="1">
        <v>40179</v>
      </c>
      <c r="L235">
        <v>2010</v>
      </c>
      <c r="M235" t="s">
        <v>2045</v>
      </c>
    </row>
    <row r="236" spans="1:13" x14ac:dyDescent="0.3">
      <c r="A236">
        <v>234</v>
      </c>
      <c r="B236">
        <v>1453</v>
      </c>
      <c r="C236" t="s">
        <v>2053</v>
      </c>
      <c r="D236" t="s">
        <v>2052</v>
      </c>
      <c r="E236" s="6" t="s">
        <v>2562</v>
      </c>
      <c r="F236" s="1">
        <v>40848</v>
      </c>
      <c r="G236">
        <v>732</v>
      </c>
      <c r="H236" t="s">
        <v>2047</v>
      </c>
      <c r="I236">
        <v>2</v>
      </c>
      <c r="J236" t="s">
        <v>2561</v>
      </c>
      <c r="K236" s="1">
        <v>40179</v>
      </c>
      <c r="L236">
        <v>2010</v>
      </c>
      <c r="M236" t="s">
        <v>2045</v>
      </c>
    </row>
    <row r="237" spans="1:13" x14ac:dyDescent="0.3">
      <c r="A237">
        <v>235</v>
      </c>
      <c r="B237">
        <v>1439</v>
      </c>
      <c r="C237" t="s">
        <v>2053</v>
      </c>
      <c r="D237" t="s">
        <v>2052</v>
      </c>
      <c r="E237" s="6" t="s">
        <v>2537</v>
      </c>
      <c r="F237" s="1">
        <v>43040</v>
      </c>
      <c r="G237">
        <v>351</v>
      </c>
      <c r="H237" t="s">
        <v>2047</v>
      </c>
      <c r="I237">
        <v>2</v>
      </c>
      <c r="J237" t="s">
        <v>2536</v>
      </c>
      <c r="K237" s="1">
        <v>40179</v>
      </c>
      <c r="L237">
        <v>2010</v>
      </c>
      <c r="M237" t="s">
        <v>2045</v>
      </c>
    </row>
    <row r="238" spans="1:13" x14ac:dyDescent="0.3">
      <c r="A238">
        <v>236</v>
      </c>
      <c r="B238">
        <v>1256</v>
      </c>
      <c r="C238" t="s">
        <v>2053</v>
      </c>
      <c r="D238" t="s">
        <v>2070</v>
      </c>
      <c r="E238" s="6" t="s">
        <v>2464</v>
      </c>
      <c r="F238" s="1">
        <v>44197</v>
      </c>
      <c r="G238">
        <v>807</v>
      </c>
      <c r="H238" t="s">
        <v>2047</v>
      </c>
      <c r="I238">
        <v>2</v>
      </c>
      <c r="J238" t="s">
        <v>2205</v>
      </c>
      <c r="K238" s="1">
        <v>40179</v>
      </c>
      <c r="L238">
        <v>2011</v>
      </c>
      <c r="M238" t="s">
        <v>2045</v>
      </c>
    </row>
    <row r="239" spans="1:13" x14ac:dyDescent="0.3">
      <c r="A239">
        <v>237</v>
      </c>
      <c r="B239">
        <v>1141</v>
      </c>
      <c r="C239" t="s">
        <v>2053</v>
      </c>
      <c r="D239" t="s">
        <v>2052</v>
      </c>
      <c r="E239" s="6" t="s">
        <v>2452</v>
      </c>
      <c r="F239" s="1">
        <v>44013</v>
      </c>
      <c r="G239">
        <v>29</v>
      </c>
      <c r="H239" t="s">
        <v>2047</v>
      </c>
      <c r="I239">
        <v>2</v>
      </c>
      <c r="J239" t="s">
        <v>2451</v>
      </c>
      <c r="K239" s="1">
        <v>40179</v>
      </c>
      <c r="L239">
        <v>2013</v>
      </c>
      <c r="M239" t="s">
        <v>2045</v>
      </c>
    </row>
    <row r="240" spans="1:13" x14ac:dyDescent="0.3">
      <c r="A240">
        <v>238</v>
      </c>
      <c r="B240">
        <v>1682</v>
      </c>
      <c r="C240" t="s">
        <v>2053</v>
      </c>
      <c r="D240" t="s">
        <v>2048</v>
      </c>
      <c r="E240" s="6" t="s">
        <v>2450</v>
      </c>
      <c r="F240" s="1">
        <v>44470</v>
      </c>
      <c r="G240">
        <v>757</v>
      </c>
      <c r="H240" t="s">
        <v>2047</v>
      </c>
      <c r="I240">
        <v>2</v>
      </c>
      <c r="J240" t="s">
        <v>2337</v>
      </c>
      <c r="K240" s="1">
        <v>40179</v>
      </c>
      <c r="L240">
        <v>2014</v>
      </c>
      <c r="M240" t="s">
        <v>2045</v>
      </c>
    </row>
    <row r="241" spans="1:13" x14ac:dyDescent="0.3">
      <c r="A241">
        <v>239</v>
      </c>
      <c r="B241">
        <v>155</v>
      </c>
      <c r="C241" t="s">
        <v>2053</v>
      </c>
      <c r="D241" t="s">
        <v>2052</v>
      </c>
      <c r="E241" s="6" t="s">
        <v>2437</v>
      </c>
      <c r="F241" s="1">
        <v>44896</v>
      </c>
      <c r="G241">
        <v>813</v>
      </c>
      <c r="H241" t="s">
        <v>2055</v>
      </c>
      <c r="I241">
        <v>1</v>
      </c>
      <c r="J241" t="s">
        <v>2436</v>
      </c>
      <c r="K241" s="1">
        <v>40179</v>
      </c>
      <c r="L241">
        <v>2011</v>
      </c>
      <c r="M241" t="s">
        <v>2045</v>
      </c>
    </row>
    <row r="242" spans="1:13" x14ac:dyDescent="0.3">
      <c r="A242">
        <v>240</v>
      </c>
      <c r="B242">
        <v>218</v>
      </c>
      <c r="C242" t="s">
        <v>2053</v>
      </c>
      <c r="D242" t="s">
        <v>2052</v>
      </c>
      <c r="E242" s="6" t="s">
        <v>2374</v>
      </c>
      <c r="F242" s="1">
        <v>45352</v>
      </c>
      <c r="G242">
        <v>565</v>
      </c>
      <c r="H242" t="s">
        <v>2047</v>
      </c>
      <c r="I242">
        <v>2</v>
      </c>
      <c r="J242" t="s">
        <v>2373</v>
      </c>
      <c r="K242" s="1">
        <v>40179</v>
      </c>
      <c r="L242">
        <v>2012</v>
      </c>
      <c r="M242" t="s">
        <v>2045</v>
      </c>
    </row>
    <row r="243" spans="1:13" x14ac:dyDescent="0.3">
      <c r="A243">
        <v>241</v>
      </c>
      <c r="B243">
        <v>1449</v>
      </c>
      <c r="C243" t="s">
        <v>2053</v>
      </c>
      <c r="D243" t="s">
        <v>2052</v>
      </c>
      <c r="E243" s="6" t="s">
        <v>2362</v>
      </c>
      <c r="F243" s="1">
        <v>44593</v>
      </c>
      <c r="G243">
        <v>755</v>
      </c>
      <c r="H243" t="s">
        <v>2047</v>
      </c>
      <c r="I243">
        <v>2</v>
      </c>
      <c r="J243" t="s">
        <v>2361</v>
      </c>
      <c r="K243" s="1">
        <v>40179</v>
      </c>
      <c r="L243">
        <v>2016</v>
      </c>
      <c r="M243" t="s">
        <v>2045</v>
      </c>
    </row>
    <row r="244" spans="1:13" x14ac:dyDescent="0.3">
      <c r="A244">
        <v>242</v>
      </c>
      <c r="B244">
        <v>203</v>
      </c>
      <c r="C244" t="s">
        <v>2049</v>
      </c>
      <c r="D244" t="s">
        <v>2048</v>
      </c>
      <c r="E244" s="6" t="s">
        <v>3652</v>
      </c>
      <c r="F244" s="1">
        <v>44743</v>
      </c>
      <c r="G244">
        <v>275</v>
      </c>
      <c r="H244" t="s">
        <v>2047</v>
      </c>
      <c r="I244">
        <v>1</v>
      </c>
      <c r="J244" t="s">
        <v>2068</v>
      </c>
      <c r="K244" s="1">
        <v>40179</v>
      </c>
      <c r="L244">
        <v>2010</v>
      </c>
      <c r="M244" t="s">
        <v>2045</v>
      </c>
    </row>
    <row r="245" spans="1:13" x14ac:dyDescent="0.3">
      <c r="A245">
        <v>243</v>
      </c>
      <c r="B245">
        <v>11</v>
      </c>
      <c r="C245" t="s">
        <v>2049</v>
      </c>
      <c r="D245" t="s">
        <v>2052</v>
      </c>
      <c r="E245" s="6" t="s">
        <v>3601</v>
      </c>
      <c r="F245" s="1">
        <v>45352</v>
      </c>
      <c r="G245">
        <v>543</v>
      </c>
      <c r="H245" t="s">
        <v>2047</v>
      </c>
      <c r="I245">
        <v>2</v>
      </c>
      <c r="J245" t="s">
        <v>3600</v>
      </c>
      <c r="K245" s="1">
        <v>40179</v>
      </c>
      <c r="L245">
        <v>2016</v>
      </c>
      <c r="M245" t="s">
        <v>2045</v>
      </c>
    </row>
    <row r="246" spans="1:13" x14ac:dyDescent="0.3">
      <c r="A246">
        <v>244</v>
      </c>
      <c r="B246">
        <v>1206</v>
      </c>
      <c r="C246" t="s">
        <v>2049</v>
      </c>
      <c r="D246" t="s">
        <v>2052</v>
      </c>
      <c r="E246" s="6" t="s">
        <v>3454</v>
      </c>
      <c r="F246" s="1">
        <v>40299</v>
      </c>
      <c r="G246">
        <v>1</v>
      </c>
      <c r="H246" t="s">
        <v>2047</v>
      </c>
      <c r="I246">
        <v>2</v>
      </c>
      <c r="J246" t="s">
        <v>3453</v>
      </c>
      <c r="K246" s="1">
        <v>40179</v>
      </c>
      <c r="L246">
        <v>2010</v>
      </c>
      <c r="M246" t="s">
        <v>2045</v>
      </c>
    </row>
    <row r="247" spans="1:13" x14ac:dyDescent="0.3">
      <c r="A247">
        <v>245</v>
      </c>
      <c r="B247">
        <v>1546</v>
      </c>
      <c r="C247" t="s">
        <v>2049</v>
      </c>
      <c r="D247" t="s">
        <v>2052</v>
      </c>
      <c r="E247" s="6" t="s">
        <v>3446</v>
      </c>
      <c r="F247" s="1">
        <v>41456</v>
      </c>
      <c r="G247">
        <v>437</v>
      </c>
      <c r="H247" t="s">
        <v>2047</v>
      </c>
      <c r="I247">
        <v>2</v>
      </c>
      <c r="J247" t="s">
        <v>3445</v>
      </c>
      <c r="K247" s="1">
        <v>40179</v>
      </c>
      <c r="L247">
        <v>2011</v>
      </c>
      <c r="M247" t="s">
        <v>2045</v>
      </c>
    </row>
    <row r="248" spans="1:13" x14ac:dyDescent="0.3">
      <c r="A248">
        <v>246</v>
      </c>
      <c r="B248">
        <v>1942</v>
      </c>
      <c r="C248" t="s">
        <v>2049</v>
      </c>
      <c r="D248" t="s">
        <v>2070</v>
      </c>
      <c r="E248" s="6" t="s">
        <v>3157</v>
      </c>
      <c r="F248" s="1">
        <v>44713</v>
      </c>
      <c r="G248">
        <v>186</v>
      </c>
      <c r="H248" t="s">
        <v>2047</v>
      </c>
      <c r="I248">
        <v>2</v>
      </c>
      <c r="J248" t="s">
        <v>2265</v>
      </c>
      <c r="K248" s="1">
        <v>40179</v>
      </c>
      <c r="L248">
        <v>2010</v>
      </c>
      <c r="M248" t="s">
        <v>2045</v>
      </c>
    </row>
    <row r="249" spans="1:13" x14ac:dyDescent="0.3">
      <c r="A249">
        <v>247</v>
      </c>
      <c r="B249">
        <v>50</v>
      </c>
      <c r="C249" t="s">
        <v>2049</v>
      </c>
      <c r="D249" t="s">
        <v>2048</v>
      </c>
      <c r="E249" s="6" t="s">
        <v>3081</v>
      </c>
      <c r="F249" s="1">
        <v>45078</v>
      </c>
      <c r="G249">
        <v>418</v>
      </c>
      <c r="H249" t="s">
        <v>2047</v>
      </c>
      <c r="I249">
        <v>2</v>
      </c>
      <c r="J249" t="s">
        <v>392</v>
      </c>
      <c r="K249" s="1">
        <v>40179</v>
      </c>
      <c r="L249">
        <v>2010</v>
      </c>
      <c r="M249" t="s">
        <v>2045</v>
      </c>
    </row>
    <row r="250" spans="1:13" x14ac:dyDescent="0.3">
      <c r="A250">
        <v>248</v>
      </c>
      <c r="B250">
        <v>319</v>
      </c>
      <c r="C250" t="s">
        <v>2049</v>
      </c>
      <c r="D250" t="s">
        <v>2048</v>
      </c>
      <c r="E250" s="6" t="s">
        <v>2970</v>
      </c>
      <c r="F250" s="1">
        <v>44256</v>
      </c>
      <c r="G250">
        <v>383</v>
      </c>
      <c r="H250" t="s">
        <v>2047</v>
      </c>
      <c r="I250">
        <v>2</v>
      </c>
      <c r="J250" t="s">
        <v>2230</v>
      </c>
      <c r="K250" s="1">
        <v>40179</v>
      </c>
      <c r="L250">
        <v>2010</v>
      </c>
      <c r="M250" t="s">
        <v>2045</v>
      </c>
    </row>
    <row r="251" spans="1:13" x14ac:dyDescent="0.3">
      <c r="A251">
        <v>249</v>
      </c>
      <c r="B251">
        <v>1843</v>
      </c>
      <c r="C251" t="s">
        <v>2049</v>
      </c>
      <c r="D251" t="s">
        <v>2052</v>
      </c>
      <c r="E251" s="6" t="s">
        <v>2960</v>
      </c>
      <c r="F251" s="1">
        <v>44713</v>
      </c>
      <c r="G251">
        <v>256</v>
      </c>
      <c r="H251" t="s">
        <v>2047</v>
      </c>
      <c r="I251">
        <v>2</v>
      </c>
      <c r="J251" t="s">
        <v>2959</v>
      </c>
      <c r="K251" s="1">
        <v>40179</v>
      </c>
      <c r="L251">
        <v>2014</v>
      </c>
      <c r="M251" t="s">
        <v>2045</v>
      </c>
    </row>
    <row r="252" spans="1:13" x14ac:dyDescent="0.3">
      <c r="A252">
        <v>250</v>
      </c>
      <c r="B252">
        <v>1451</v>
      </c>
      <c r="C252" t="s">
        <v>2049</v>
      </c>
      <c r="D252" t="s">
        <v>2052</v>
      </c>
      <c r="E252" s="6" t="s">
        <v>2901</v>
      </c>
      <c r="F252" s="1">
        <v>44986</v>
      </c>
      <c r="G252">
        <v>48</v>
      </c>
      <c r="H252" t="s">
        <v>2047</v>
      </c>
      <c r="I252">
        <v>1</v>
      </c>
      <c r="J252" t="s">
        <v>2900</v>
      </c>
      <c r="K252" s="1">
        <v>40179</v>
      </c>
      <c r="L252">
        <v>2015</v>
      </c>
      <c r="M252" t="s">
        <v>2045</v>
      </c>
    </row>
    <row r="253" spans="1:13" x14ac:dyDescent="0.3">
      <c r="A253">
        <v>251</v>
      </c>
      <c r="B253">
        <v>649</v>
      </c>
      <c r="C253" t="s">
        <v>2049</v>
      </c>
      <c r="D253" t="s">
        <v>2052</v>
      </c>
      <c r="E253" s="6" t="s">
        <v>2885</v>
      </c>
      <c r="F253" s="1">
        <v>45352</v>
      </c>
      <c r="G253">
        <v>941</v>
      </c>
      <c r="H253" t="s">
        <v>2047</v>
      </c>
      <c r="I253">
        <v>1</v>
      </c>
      <c r="J253" t="s">
        <v>2884</v>
      </c>
      <c r="K253" s="1">
        <v>40179</v>
      </c>
      <c r="L253">
        <v>2010</v>
      </c>
      <c r="M253" t="s">
        <v>2045</v>
      </c>
    </row>
    <row r="254" spans="1:13" x14ac:dyDescent="0.3">
      <c r="A254">
        <v>252</v>
      </c>
      <c r="B254">
        <v>69</v>
      </c>
      <c r="C254" t="s">
        <v>2049</v>
      </c>
      <c r="D254" t="s">
        <v>2048</v>
      </c>
      <c r="E254" s="6" t="s">
        <v>2856</v>
      </c>
      <c r="F254" s="1">
        <v>44440</v>
      </c>
      <c r="G254">
        <v>441</v>
      </c>
      <c r="H254" t="s">
        <v>2047</v>
      </c>
      <c r="I254">
        <v>2</v>
      </c>
      <c r="J254" t="s">
        <v>2327</v>
      </c>
      <c r="K254" s="1">
        <v>40179</v>
      </c>
      <c r="L254">
        <v>2010</v>
      </c>
      <c r="M254" t="s">
        <v>2045</v>
      </c>
    </row>
    <row r="255" spans="1:13" x14ac:dyDescent="0.3">
      <c r="A255">
        <v>253</v>
      </c>
      <c r="B255">
        <v>332</v>
      </c>
      <c r="C255" t="s">
        <v>2049</v>
      </c>
      <c r="D255" t="s">
        <v>2052</v>
      </c>
      <c r="E255" s="6" t="s">
        <v>2854</v>
      </c>
      <c r="F255" s="1">
        <v>41275</v>
      </c>
      <c r="G255">
        <v>913</v>
      </c>
      <c r="H255" t="s">
        <v>2047</v>
      </c>
      <c r="I255">
        <v>1</v>
      </c>
      <c r="J255" t="s">
        <v>2853</v>
      </c>
      <c r="K255" s="1">
        <v>40179</v>
      </c>
      <c r="L255">
        <v>2018</v>
      </c>
      <c r="M255" t="s">
        <v>2045</v>
      </c>
    </row>
    <row r="256" spans="1:13" x14ac:dyDescent="0.3">
      <c r="A256">
        <v>254</v>
      </c>
      <c r="B256">
        <v>1443</v>
      </c>
      <c r="C256" t="s">
        <v>2049</v>
      </c>
      <c r="D256" t="s">
        <v>2052</v>
      </c>
      <c r="E256" s="6" t="s">
        <v>2729</v>
      </c>
      <c r="F256" s="1">
        <v>43252</v>
      </c>
      <c r="G256">
        <v>608</v>
      </c>
      <c r="H256" t="s">
        <v>2047</v>
      </c>
      <c r="I256">
        <v>2</v>
      </c>
      <c r="J256" t="s">
        <v>2728</v>
      </c>
      <c r="K256" s="1">
        <v>40179</v>
      </c>
      <c r="L256">
        <v>2016</v>
      </c>
      <c r="M256" t="s">
        <v>2045</v>
      </c>
    </row>
    <row r="257" spans="1:13" x14ac:dyDescent="0.3">
      <c r="A257">
        <v>255</v>
      </c>
      <c r="B257">
        <v>107</v>
      </c>
      <c r="C257" t="s">
        <v>2049</v>
      </c>
      <c r="D257" t="s">
        <v>2070</v>
      </c>
      <c r="E257" s="6" t="s">
        <v>2658</v>
      </c>
      <c r="F257" s="1">
        <v>44621</v>
      </c>
      <c r="G257">
        <v>796</v>
      </c>
      <c r="H257" t="s">
        <v>2055</v>
      </c>
      <c r="I257">
        <v>1</v>
      </c>
      <c r="J257" t="s">
        <v>1662</v>
      </c>
      <c r="K257" s="1">
        <v>40179</v>
      </c>
      <c r="L257">
        <v>2011</v>
      </c>
      <c r="M257" t="s">
        <v>2045</v>
      </c>
    </row>
    <row r="258" spans="1:13" x14ac:dyDescent="0.3">
      <c r="A258">
        <v>256</v>
      </c>
      <c r="B258">
        <v>1470</v>
      </c>
      <c r="C258" t="s">
        <v>2049</v>
      </c>
      <c r="D258" t="s">
        <v>2052</v>
      </c>
      <c r="E258" s="6" t="s">
        <v>2557</v>
      </c>
      <c r="F258" s="1">
        <v>44013</v>
      </c>
      <c r="G258">
        <v>20</v>
      </c>
      <c r="H258" t="s">
        <v>2055</v>
      </c>
      <c r="I258">
        <v>2</v>
      </c>
      <c r="J258" t="s">
        <v>2556</v>
      </c>
      <c r="K258" s="1">
        <v>40179</v>
      </c>
      <c r="L258">
        <v>2010</v>
      </c>
      <c r="M258" t="s">
        <v>2045</v>
      </c>
    </row>
    <row r="259" spans="1:13" x14ac:dyDescent="0.3">
      <c r="A259">
        <v>257</v>
      </c>
      <c r="B259">
        <v>1856</v>
      </c>
      <c r="C259" t="s">
        <v>2049</v>
      </c>
      <c r="D259" t="s">
        <v>2052</v>
      </c>
      <c r="E259" s="6" t="s">
        <v>2555</v>
      </c>
      <c r="F259" s="1">
        <v>42430</v>
      </c>
      <c r="G259">
        <v>750</v>
      </c>
      <c r="H259" t="s">
        <v>2047</v>
      </c>
      <c r="I259">
        <v>2</v>
      </c>
      <c r="J259" t="s">
        <v>2554</v>
      </c>
      <c r="K259" s="1">
        <v>40179</v>
      </c>
      <c r="L259">
        <v>2010</v>
      </c>
      <c r="M259" t="s">
        <v>2045</v>
      </c>
    </row>
    <row r="260" spans="1:13" x14ac:dyDescent="0.3">
      <c r="A260">
        <v>258</v>
      </c>
      <c r="B260">
        <v>209</v>
      </c>
      <c r="C260" t="s">
        <v>2049</v>
      </c>
      <c r="D260" t="s">
        <v>2048</v>
      </c>
      <c r="E260" s="6" t="s">
        <v>2547</v>
      </c>
      <c r="F260" s="1">
        <v>43952</v>
      </c>
      <c r="G260">
        <v>231</v>
      </c>
      <c r="H260" t="s">
        <v>2047</v>
      </c>
      <c r="I260">
        <v>2</v>
      </c>
      <c r="J260" t="s">
        <v>2275</v>
      </c>
      <c r="K260" s="1">
        <v>40179</v>
      </c>
      <c r="L260">
        <v>2010</v>
      </c>
      <c r="M260" t="s">
        <v>2045</v>
      </c>
    </row>
    <row r="261" spans="1:13" x14ac:dyDescent="0.3">
      <c r="A261">
        <v>259</v>
      </c>
      <c r="B261">
        <v>1837</v>
      </c>
      <c r="C261" t="s">
        <v>2049</v>
      </c>
      <c r="D261" t="s">
        <v>2052</v>
      </c>
      <c r="E261" s="6" t="s">
        <v>2484</v>
      </c>
      <c r="F261" s="1">
        <v>43952</v>
      </c>
      <c r="G261">
        <v>679</v>
      </c>
      <c r="H261" t="s">
        <v>2047</v>
      </c>
      <c r="I261">
        <v>1</v>
      </c>
      <c r="J261" t="s">
        <v>2238</v>
      </c>
      <c r="K261" s="1">
        <v>40179</v>
      </c>
      <c r="L261">
        <v>2010</v>
      </c>
      <c r="M261" t="s">
        <v>2045</v>
      </c>
    </row>
    <row r="262" spans="1:13" x14ac:dyDescent="0.3">
      <c r="A262">
        <v>260</v>
      </c>
      <c r="B262">
        <v>1659</v>
      </c>
      <c r="C262" t="s">
        <v>2049</v>
      </c>
      <c r="D262" t="s">
        <v>2052</v>
      </c>
      <c r="E262" s="6" t="s">
        <v>2389</v>
      </c>
      <c r="F262" s="1">
        <v>44958</v>
      </c>
      <c r="G262">
        <v>113</v>
      </c>
      <c r="H262" t="s">
        <v>2047</v>
      </c>
      <c r="I262">
        <v>1</v>
      </c>
      <c r="J262" t="s">
        <v>160</v>
      </c>
      <c r="K262" s="1">
        <v>40179</v>
      </c>
      <c r="L262">
        <v>2010</v>
      </c>
      <c r="M262" t="s">
        <v>2045</v>
      </c>
    </row>
    <row r="263" spans="1:13" x14ac:dyDescent="0.3">
      <c r="A263">
        <v>261</v>
      </c>
      <c r="B263">
        <v>373</v>
      </c>
      <c r="C263" t="s">
        <v>2049</v>
      </c>
      <c r="D263" t="s">
        <v>2052</v>
      </c>
      <c r="E263" s="6" t="s">
        <v>2357</v>
      </c>
      <c r="F263" s="1">
        <v>44470</v>
      </c>
      <c r="G263">
        <v>9</v>
      </c>
      <c r="H263" t="s">
        <v>2047</v>
      </c>
      <c r="I263">
        <v>2</v>
      </c>
      <c r="J263" t="s">
        <v>2356</v>
      </c>
      <c r="K263" s="1">
        <v>40179</v>
      </c>
      <c r="L263">
        <v>2016</v>
      </c>
      <c r="M263" t="s">
        <v>2045</v>
      </c>
    </row>
    <row r="264" spans="1:13" x14ac:dyDescent="0.3">
      <c r="A264">
        <v>262</v>
      </c>
      <c r="B264">
        <v>590</v>
      </c>
      <c r="C264" t="s">
        <v>2049</v>
      </c>
      <c r="D264" t="s">
        <v>2052</v>
      </c>
      <c r="E264" s="6" t="s">
        <v>2292</v>
      </c>
      <c r="F264" s="1">
        <v>44866</v>
      </c>
      <c r="G264">
        <v>959</v>
      </c>
      <c r="H264" t="s">
        <v>2055</v>
      </c>
      <c r="I264">
        <v>2</v>
      </c>
      <c r="J264" t="s">
        <v>2291</v>
      </c>
      <c r="K264" s="1">
        <v>40179</v>
      </c>
      <c r="L264">
        <v>2010</v>
      </c>
      <c r="M264" t="s">
        <v>2045</v>
      </c>
    </row>
    <row r="265" spans="1:13" x14ac:dyDescent="0.3">
      <c r="A265">
        <v>263</v>
      </c>
      <c r="B265">
        <v>986</v>
      </c>
      <c r="C265" t="s">
        <v>2049</v>
      </c>
      <c r="D265" t="s">
        <v>2052</v>
      </c>
      <c r="E265" s="6" t="s">
        <v>2063</v>
      </c>
      <c r="F265" s="1">
        <v>41122</v>
      </c>
      <c r="G265">
        <v>302</v>
      </c>
      <c r="H265" t="s">
        <v>2047</v>
      </c>
      <c r="I265">
        <v>2</v>
      </c>
      <c r="J265" t="s">
        <v>2062</v>
      </c>
      <c r="K265" s="1">
        <v>40179</v>
      </c>
      <c r="L265">
        <v>2010</v>
      </c>
      <c r="M265" t="s">
        <v>2045</v>
      </c>
    </row>
    <row r="266" spans="1:13" x14ac:dyDescent="0.3">
      <c r="A266">
        <v>264</v>
      </c>
      <c r="B266">
        <v>1476</v>
      </c>
      <c r="C266" t="s">
        <v>2057</v>
      </c>
      <c r="D266" t="s">
        <v>2048</v>
      </c>
      <c r="E266" s="5">
        <v>351118771819506</v>
      </c>
      <c r="F266" s="1">
        <v>44317</v>
      </c>
      <c r="G266">
        <v>551</v>
      </c>
      <c r="H266" t="s">
        <v>2047</v>
      </c>
      <c r="I266">
        <v>1</v>
      </c>
      <c r="J266" t="s">
        <v>1089</v>
      </c>
      <c r="K266" s="1">
        <v>40544</v>
      </c>
      <c r="L266">
        <v>2011</v>
      </c>
      <c r="M266" t="s">
        <v>2045</v>
      </c>
    </row>
    <row r="267" spans="1:13" x14ac:dyDescent="0.3">
      <c r="A267">
        <v>265</v>
      </c>
      <c r="B267">
        <v>37</v>
      </c>
      <c r="C267" t="s">
        <v>2061</v>
      </c>
      <c r="D267" t="s">
        <v>2048</v>
      </c>
      <c r="E267" s="6" t="s">
        <v>2644</v>
      </c>
      <c r="F267" s="1">
        <v>45323</v>
      </c>
      <c r="G267">
        <v>943</v>
      </c>
      <c r="H267" t="s">
        <v>2047</v>
      </c>
      <c r="I267">
        <v>1</v>
      </c>
      <c r="J267" t="s">
        <v>22</v>
      </c>
      <c r="K267" s="1">
        <v>40544</v>
      </c>
      <c r="L267">
        <v>2011</v>
      </c>
      <c r="M267" t="s">
        <v>2045</v>
      </c>
    </row>
    <row r="268" spans="1:13" x14ac:dyDescent="0.3">
      <c r="A268">
        <v>266</v>
      </c>
      <c r="B268">
        <v>1759</v>
      </c>
      <c r="C268" t="s">
        <v>2061</v>
      </c>
      <c r="D268" t="s">
        <v>2048</v>
      </c>
      <c r="E268" s="6" t="s">
        <v>2593</v>
      </c>
      <c r="F268" s="1">
        <v>45200</v>
      </c>
      <c r="G268">
        <v>409</v>
      </c>
      <c r="H268" t="s">
        <v>2047</v>
      </c>
      <c r="I268">
        <v>1</v>
      </c>
      <c r="J268" t="s">
        <v>2326</v>
      </c>
      <c r="K268" s="1">
        <v>40544</v>
      </c>
      <c r="L268">
        <v>2011</v>
      </c>
      <c r="M268" t="s">
        <v>2045</v>
      </c>
    </row>
    <row r="269" spans="1:13" x14ac:dyDescent="0.3">
      <c r="A269">
        <v>267</v>
      </c>
      <c r="B269">
        <v>645</v>
      </c>
      <c r="C269" t="s">
        <v>2053</v>
      </c>
      <c r="D269" t="s">
        <v>2052</v>
      </c>
      <c r="E269" s="6" t="s">
        <v>3584</v>
      </c>
      <c r="F269" s="1">
        <v>45170</v>
      </c>
      <c r="G269">
        <v>447</v>
      </c>
      <c r="H269" t="s">
        <v>2047</v>
      </c>
      <c r="I269">
        <v>1</v>
      </c>
      <c r="J269" t="s">
        <v>3326</v>
      </c>
      <c r="K269" s="1">
        <v>40544</v>
      </c>
      <c r="L269">
        <v>2012</v>
      </c>
      <c r="M269" t="s">
        <v>2045</v>
      </c>
    </row>
    <row r="270" spans="1:13" x14ac:dyDescent="0.3">
      <c r="A270">
        <v>268</v>
      </c>
      <c r="B270">
        <v>223</v>
      </c>
      <c r="C270" t="s">
        <v>2053</v>
      </c>
      <c r="D270" t="s">
        <v>2048</v>
      </c>
      <c r="E270" s="6" t="s">
        <v>3502</v>
      </c>
      <c r="F270" s="1">
        <v>41214</v>
      </c>
      <c r="G270">
        <v>9</v>
      </c>
      <c r="H270" t="s">
        <v>2047</v>
      </c>
      <c r="I270">
        <v>3</v>
      </c>
      <c r="J270" t="s">
        <v>2315</v>
      </c>
      <c r="K270" s="1">
        <v>40544</v>
      </c>
      <c r="L270">
        <v>2011</v>
      </c>
      <c r="M270" t="s">
        <v>2045</v>
      </c>
    </row>
    <row r="271" spans="1:13" x14ac:dyDescent="0.3">
      <c r="A271">
        <v>269</v>
      </c>
      <c r="B271">
        <v>427</v>
      </c>
      <c r="C271" t="s">
        <v>2053</v>
      </c>
      <c r="D271" t="s">
        <v>2070</v>
      </c>
      <c r="E271" s="6" t="s">
        <v>3482</v>
      </c>
      <c r="F271" s="1">
        <v>44805</v>
      </c>
      <c r="G271">
        <v>743</v>
      </c>
      <c r="H271" t="s">
        <v>2047</v>
      </c>
      <c r="I271">
        <v>1</v>
      </c>
      <c r="J271" t="s">
        <v>2205</v>
      </c>
      <c r="K271" s="1">
        <v>40544</v>
      </c>
      <c r="L271">
        <v>2011</v>
      </c>
      <c r="M271" t="s">
        <v>2045</v>
      </c>
    </row>
    <row r="272" spans="1:13" x14ac:dyDescent="0.3">
      <c r="A272">
        <v>270</v>
      </c>
      <c r="B272">
        <v>103</v>
      </c>
      <c r="C272" t="s">
        <v>2053</v>
      </c>
      <c r="D272" t="s">
        <v>2052</v>
      </c>
      <c r="E272" s="6" t="s">
        <v>3281</v>
      </c>
      <c r="F272" s="1">
        <v>43862</v>
      </c>
      <c r="G272">
        <v>697</v>
      </c>
      <c r="H272" t="s">
        <v>2047</v>
      </c>
      <c r="I272">
        <v>1</v>
      </c>
      <c r="J272" t="s">
        <v>3280</v>
      </c>
      <c r="K272" s="1">
        <v>40544</v>
      </c>
      <c r="L272">
        <v>2011</v>
      </c>
      <c r="M272" t="s">
        <v>2045</v>
      </c>
    </row>
    <row r="273" spans="1:13" x14ac:dyDescent="0.3">
      <c r="A273">
        <v>271</v>
      </c>
      <c r="B273">
        <v>252</v>
      </c>
      <c r="C273" t="s">
        <v>2053</v>
      </c>
      <c r="D273" t="s">
        <v>2070</v>
      </c>
      <c r="E273" s="6" t="s">
        <v>3104</v>
      </c>
      <c r="F273" s="1">
        <v>45566</v>
      </c>
      <c r="G273">
        <v>43</v>
      </c>
      <c r="H273" t="s">
        <v>2047</v>
      </c>
      <c r="I273">
        <v>2</v>
      </c>
      <c r="J273" t="s">
        <v>2128</v>
      </c>
      <c r="K273" s="1">
        <v>40544</v>
      </c>
      <c r="L273">
        <v>2011</v>
      </c>
      <c r="M273" t="s">
        <v>2045</v>
      </c>
    </row>
    <row r="274" spans="1:13" x14ac:dyDescent="0.3">
      <c r="A274">
        <v>272</v>
      </c>
      <c r="B274">
        <v>1229</v>
      </c>
      <c r="C274" t="s">
        <v>2053</v>
      </c>
      <c r="D274" t="s">
        <v>2052</v>
      </c>
      <c r="E274" s="6" t="s">
        <v>3092</v>
      </c>
      <c r="F274" s="1">
        <v>44927</v>
      </c>
      <c r="G274">
        <v>588</v>
      </c>
      <c r="H274" t="s">
        <v>2047</v>
      </c>
      <c r="I274">
        <v>1</v>
      </c>
      <c r="J274" t="s">
        <v>3091</v>
      </c>
      <c r="K274" s="1">
        <v>40544</v>
      </c>
      <c r="L274">
        <v>2011</v>
      </c>
      <c r="M274" t="s">
        <v>2045</v>
      </c>
    </row>
    <row r="275" spans="1:13" x14ac:dyDescent="0.3">
      <c r="A275">
        <v>273</v>
      </c>
      <c r="B275">
        <v>940</v>
      </c>
      <c r="C275" t="s">
        <v>2053</v>
      </c>
      <c r="D275" t="s">
        <v>2052</v>
      </c>
      <c r="E275" s="6" t="s">
        <v>3072</v>
      </c>
      <c r="F275" s="1">
        <v>45536</v>
      </c>
      <c r="G275">
        <v>0</v>
      </c>
      <c r="H275" t="s">
        <v>2047</v>
      </c>
      <c r="I275">
        <v>2</v>
      </c>
      <c r="J275" t="s">
        <v>3071</v>
      </c>
      <c r="K275" s="1">
        <v>40544</v>
      </c>
      <c r="L275">
        <v>2011</v>
      </c>
      <c r="M275" t="s">
        <v>2045</v>
      </c>
    </row>
    <row r="276" spans="1:13" x14ac:dyDescent="0.3">
      <c r="A276">
        <v>274</v>
      </c>
      <c r="B276">
        <v>1695</v>
      </c>
      <c r="C276" t="s">
        <v>2053</v>
      </c>
      <c r="D276" t="s">
        <v>2052</v>
      </c>
      <c r="E276" s="6" t="s">
        <v>2887</v>
      </c>
      <c r="F276" s="1">
        <v>42370</v>
      </c>
      <c r="G276">
        <v>702</v>
      </c>
      <c r="H276" t="s">
        <v>2047</v>
      </c>
      <c r="I276">
        <v>2</v>
      </c>
      <c r="J276" t="s">
        <v>2886</v>
      </c>
      <c r="K276" s="1">
        <v>40544</v>
      </c>
      <c r="L276">
        <v>2011</v>
      </c>
      <c r="M276" t="s">
        <v>2045</v>
      </c>
    </row>
    <row r="277" spans="1:13" x14ac:dyDescent="0.3">
      <c r="A277">
        <v>275</v>
      </c>
      <c r="B277">
        <v>1501</v>
      </c>
      <c r="C277" t="s">
        <v>2053</v>
      </c>
      <c r="D277" t="s">
        <v>2052</v>
      </c>
      <c r="E277" s="6" t="s">
        <v>2783</v>
      </c>
      <c r="F277" s="1">
        <v>43891</v>
      </c>
      <c r="G277">
        <v>523</v>
      </c>
      <c r="H277" t="s">
        <v>2055</v>
      </c>
      <c r="I277">
        <v>1</v>
      </c>
      <c r="J277" t="s">
        <v>2782</v>
      </c>
      <c r="K277" s="1">
        <v>40544</v>
      </c>
      <c r="L277">
        <v>2011</v>
      </c>
      <c r="M277" t="s">
        <v>2045</v>
      </c>
    </row>
    <row r="278" spans="1:13" x14ac:dyDescent="0.3">
      <c r="A278">
        <v>276</v>
      </c>
      <c r="B278">
        <v>947</v>
      </c>
      <c r="C278" t="s">
        <v>2053</v>
      </c>
      <c r="D278" t="s">
        <v>2070</v>
      </c>
      <c r="E278" s="6" t="s">
        <v>2780</v>
      </c>
      <c r="F278" s="1">
        <v>44013</v>
      </c>
      <c r="G278">
        <v>389</v>
      </c>
      <c r="H278" t="s">
        <v>2047</v>
      </c>
      <c r="I278">
        <v>2</v>
      </c>
      <c r="J278" t="s">
        <v>2205</v>
      </c>
      <c r="K278" s="1">
        <v>40544</v>
      </c>
      <c r="L278">
        <v>2011</v>
      </c>
      <c r="M278" t="s">
        <v>2045</v>
      </c>
    </row>
    <row r="279" spans="1:13" x14ac:dyDescent="0.3">
      <c r="A279">
        <v>277</v>
      </c>
      <c r="B279">
        <v>1730</v>
      </c>
      <c r="C279" t="s">
        <v>2053</v>
      </c>
      <c r="D279" t="s">
        <v>2052</v>
      </c>
      <c r="E279" s="6" t="s">
        <v>2592</v>
      </c>
      <c r="F279" s="1">
        <v>44166</v>
      </c>
      <c r="G279">
        <v>869</v>
      </c>
      <c r="H279" t="s">
        <v>2047</v>
      </c>
      <c r="I279">
        <v>1</v>
      </c>
      <c r="J279" t="s">
        <v>1865</v>
      </c>
      <c r="K279" s="1">
        <v>40544</v>
      </c>
      <c r="L279">
        <v>2011</v>
      </c>
      <c r="M279" t="s">
        <v>2045</v>
      </c>
    </row>
    <row r="280" spans="1:13" x14ac:dyDescent="0.3">
      <c r="A280">
        <v>278</v>
      </c>
      <c r="B280">
        <v>1974</v>
      </c>
      <c r="C280" t="s">
        <v>2053</v>
      </c>
      <c r="D280" t="s">
        <v>2052</v>
      </c>
      <c r="E280" s="6" t="s">
        <v>2483</v>
      </c>
      <c r="F280" s="1">
        <v>43831</v>
      </c>
      <c r="G280">
        <v>947</v>
      </c>
      <c r="H280" t="s">
        <v>2047</v>
      </c>
      <c r="I280">
        <v>1</v>
      </c>
      <c r="J280" t="s">
        <v>1849</v>
      </c>
      <c r="K280" s="1">
        <v>40544</v>
      </c>
      <c r="L280">
        <v>2011</v>
      </c>
      <c r="M280" t="s">
        <v>2045</v>
      </c>
    </row>
    <row r="281" spans="1:13" x14ac:dyDescent="0.3">
      <c r="A281">
        <v>279</v>
      </c>
      <c r="B281">
        <v>155</v>
      </c>
      <c r="C281" t="s">
        <v>2053</v>
      </c>
      <c r="D281" t="s">
        <v>2048</v>
      </c>
      <c r="E281" s="6" t="s">
        <v>2438</v>
      </c>
      <c r="F281" s="1">
        <v>44228</v>
      </c>
      <c r="G281">
        <v>393</v>
      </c>
      <c r="H281" t="s">
        <v>2055</v>
      </c>
      <c r="I281">
        <v>1</v>
      </c>
      <c r="J281" t="s">
        <v>2093</v>
      </c>
      <c r="K281" s="1">
        <v>40544</v>
      </c>
      <c r="L281">
        <v>2011</v>
      </c>
      <c r="M281" t="s">
        <v>2045</v>
      </c>
    </row>
    <row r="282" spans="1:13" x14ac:dyDescent="0.3">
      <c r="A282">
        <v>280</v>
      </c>
      <c r="B282">
        <v>267</v>
      </c>
      <c r="C282" t="s">
        <v>2053</v>
      </c>
      <c r="D282" t="s">
        <v>2052</v>
      </c>
      <c r="E282" s="6" t="s">
        <v>2360</v>
      </c>
      <c r="F282" s="1">
        <v>45108</v>
      </c>
      <c r="G282">
        <v>310</v>
      </c>
      <c r="H282" t="s">
        <v>2047</v>
      </c>
      <c r="I282">
        <v>2</v>
      </c>
      <c r="J282" t="s">
        <v>2221</v>
      </c>
      <c r="K282" s="1">
        <v>40544</v>
      </c>
      <c r="L282">
        <v>2011</v>
      </c>
      <c r="M282" t="s">
        <v>2045</v>
      </c>
    </row>
    <row r="283" spans="1:13" x14ac:dyDescent="0.3">
      <c r="A283">
        <v>281</v>
      </c>
      <c r="B283">
        <v>708</v>
      </c>
      <c r="C283" t="s">
        <v>2049</v>
      </c>
      <c r="D283" t="s">
        <v>2048</v>
      </c>
      <c r="E283" s="6" t="s">
        <v>3706</v>
      </c>
      <c r="F283" s="1">
        <v>42125</v>
      </c>
      <c r="G283">
        <v>877</v>
      </c>
      <c r="H283" t="s">
        <v>2047</v>
      </c>
      <c r="I283">
        <v>2</v>
      </c>
      <c r="J283" t="s">
        <v>3705</v>
      </c>
      <c r="K283" s="1">
        <v>40544</v>
      </c>
      <c r="L283">
        <v>2011</v>
      </c>
      <c r="M283" t="s">
        <v>2045</v>
      </c>
    </row>
    <row r="284" spans="1:13" x14ac:dyDescent="0.3">
      <c r="A284">
        <v>282</v>
      </c>
      <c r="B284">
        <v>1602</v>
      </c>
      <c r="C284" t="s">
        <v>2049</v>
      </c>
      <c r="D284" t="s">
        <v>2048</v>
      </c>
      <c r="E284" s="6" t="s">
        <v>3661</v>
      </c>
      <c r="F284" s="1">
        <v>44075</v>
      </c>
      <c r="G284">
        <v>450</v>
      </c>
      <c r="H284" t="s">
        <v>2047</v>
      </c>
      <c r="I284">
        <v>1</v>
      </c>
      <c r="J284" t="s">
        <v>2306</v>
      </c>
      <c r="K284" s="1">
        <v>40544</v>
      </c>
      <c r="L284">
        <v>2013</v>
      </c>
      <c r="M284" t="s">
        <v>2045</v>
      </c>
    </row>
    <row r="285" spans="1:13" x14ac:dyDescent="0.3">
      <c r="A285">
        <v>283</v>
      </c>
      <c r="B285">
        <v>1378</v>
      </c>
      <c r="C285" t="s">
        <v>2049</v>
      </c>
      <c r="D285" t="s">
        <v>2052</v>
      </c>
      <c r="E285" s="6" t="s">
        <v>3317</v>
      </c>
      <c r="F285" s="1">
        <v>44409</v>
      </c>
      <c r="G285">
        <v>648</v>
      </c>
      <c r="H285" t="s">
        <v>2047</v>
      </c>
      <c r="I285">
        <v>1</v>
      </c>
      <c r="J285" t="s">
        <v>440</v>
      </c>
      <c r="K285" s="1">
        <v>40544</v>
      </c>
      <c r="L285">
        <v>2011</v>
      </c>
      <c r="M285" t="s">
        <v>2045</v>
      </c>
    </row>
    <row r="286" spans="1:13" x14ac:dyDescent="0.3">
      <c r="A286">
        <v>284</v>
      </c>
      <c r="B286">
        <v>636</v>
      </c>
      <c r="C286" t="s">
        <v>2049</v>
      </c>
      <c r="D286" t="s">
        <v>2052</v>
      </c>
      <c r="E286" s="6" t="s">
        <v>3268</v>
      </c>
      <c r="F286" s="1">
        <v>44013</v>
      </c>
      <c r="G286">
        <v>498</v>
      </c>
      <c r="H286" t="s">
        <v>2047</v>
      </c>
      <c r="I286">
        <v>1</v>
      </c>
      <c r="J286" t="s">
        <v>3267</v>
      </c>
      <c r="K286" s="1">
        <v>40544</v>
      </c>
      <c r="L286">
        <v>2018</v>
      </c>
      <c r="M286" t="s">
        <v>2045</v>
      </c>
    </row>
    <row r="287" spans="1:13" x14ac:dyDescent="0.3">
      <c r="A287">
        <v>285</v>
      </c>
      <c r="B287">
        <v>196</v>
      </c>
      <c r="C287" t="s">
        <v>2049</v>
      </c>
      <c r="D287" t="s">
        <v>2048</v>
      </c>
      <c r="E287" s="6" t="s">
        <v>2947</v>
      </c>
      <c r="F287" s="1">
        <v>44470</v>
      </c>
      <c r="G287">
        <v>0</v>
      </c>
      <c r="H287" t="s">
        <v>2047</v>
      </c>
      <c r="I287">
        <v>2</v>
      </c>
      <c r="J287" t="s">
        <v>2192</v>
      </c>
      <c r="K287" s="1">
        <v>40544</v>
      </c>
      <c r="L287">
        <v>2011</v>
      </c>
      <c r="M287" t="s">
        <v>2045</v>
      </c>
    </row>
    <row r="288" spans="1:13" x14ac:dyDescent="0.3">
      <c r="A288">
        <v>286</v>
      </c>
      <c r="B288">
        <v>764</v>
      </c>
      <c r="C288" t="s">
        <v>2049</v>
      </c>
      <c r="D288" t="s">
        <v>2052</v>
      </c>
      <c r="E288" s="6" t="s">
        <v>2941</v>
      </c>
      <c r="F288" s="1">
        <v>43922</v>
      </c>
      <c r="G288">
        <v>462</v>
      </c>
      <c r="H288" t="s">
        <v>2047</v>
      </c>
      <c r="I288">
        <v>1</v>
      </c>
      <c r="J288" t="s">
        <v>148</v>
      </c>
      <c r="K288" s="1">
        <v>40544</v>
      </c>
      <c r="L288">
        <v>2011</v>
      </c>
      <c r="M288" t="s">
        <v>2045</v>
      </c>
    </row>
    <row r="289" spans="1:13" x14ac:dyDescent="0.3">
      <c r="A289">
        <v>287</v>
      </c>
      <c r="B289">
        <v>1345</v>
      </c>
      <c r="C289" t="s">
        <v>2049</v>
      </c>
      <c r="D289" t="s">
        <v>2052</v>
      </c>
      <c r="E289" s="6" t="s">
        <v>2891</v>
      </c>
      <c r="F289" s="1">
        <v>44317</v>
      </c>
      <c r="G289">
        <v>45</v>
      </c>
      <c r="H289" t="s">
        <v>2047</v>
      </c>
      <c r="I289">
        <v>2</v>
      </c>
      <c r="J289" t="s">
        <v>2890</v>
      </c>
      <c r="K289" s="1">
        <v>40544</v>
      </c>
      <c r="L289">
        <v>2017</v>
      </c>
      <c r="M289" t="s">
        <v>2045</v>
      </c>
    </row>
    <row r="290" spans="1:13" x14ac:dyDescent="0.3">
      <c r="A290">
        <v>288</v>
      </c>
      <c r="B290">
        <v>272</v>
      </c>
      <c r="C290" t="s">
        <v>2049</v>
      </c>
      <c r="D290" t="s">
        <v>2052</v>
      </c>
      <c r="E290" s="6" t="s">
        <v>2801</v>
      </c>
      <c r="F290" s="1">
        <v>43891</v>
      </c>
      <c r="G290">
        <v>102</v>
      </c>
      <c r="H290" t="s">
        <v>2047</v>
      </c>
      <c r="I290">
        <v>1</v>
      </c>
      <c r="J290" t="s">
        <v>2800</v>
      </c>
      <c r="K290" s="1">
        <v>40544</v>
      </c>
      <c r="L290">
        <v>2011</v>
      </c>
      <c r="M290" t="s">
        <v>2045</v>
      </c>
    </row>
    <row r="291" spans="1:13" x14ac:dyDescent="0.3">
      <c r="A291">
        <v>289</v>
      </c>
      <c r="B291">
        <v>1788</v>
      </c>
      <c r="C291" t="s">
        <v>2049</v>
      </c>
      <c r="D291" t="s">
        <v>2052</v>
      </c>
      <c r="E291" s="6" t="s">
        <v>2756</v>
      </c>
      <c r="F291" s="1">
        <v>44986</v>
      </c>
      <c r="G291">
        <v>474</v>
      </c>
      <c r="H291" t="s">
        <v>2047</v>
      </c>
      <c r="I291">
        <v>2</v>
      </c>
      <c r="J291" t="s">
        <v>2755</v>
      </c>
      <c r="K291" s="1">
        <v>40544</v>
      </c>
      <c r="L291">
        <v>2011</v>
      </c>
      <c r="M291" t="s">
        <v>2045</v>
      </c>
    </row>
    <row r="292" spans="1:13" x14ac:dyDescent="0.3">
      <c r="A292">
        <v>290</v>
      </c>
      <c r="B292">
        <v>1793</v>
      </c>
      <c r="C292" t="s">
        <v>2049</v>
      </c>
      <c r="D292" t="s">
        <v>2070</v>
      </c>
      <c r="E292" s="6" t="s">
        <v>2641</v>
      </c>
      <c r="F292" s="1">
        <v>44835</v>
      </c>
      <c r="G292">
        <v>425</v>
      </c>
      <c r="H292" t="s">
        <v>2047</v>
      </c>
      <c r="I292">
        <v>2</v>
      </c>
      <c r="J292" t="s">
        <v>2313</v>
      </c>
      <c r="K292" s="1">
        <v>40544</v>
      </c>
      <c r="L292">
        <v>2011</v>
      </c>
      <c r="M292" t="s">
        <v>2045</v>
      </c>
    </row>
    <row r="293" spans="1:13" x14ac:dyDescent="0.3">
      <c r="A293">
        <v>291</v>
      </c>
      <c r="B293">
        <v>1811</v>
      </c>
      <c r="C293" t="s">
        <v>2049</v>
      </c>
      <c r="D293" t="s">
        <v>2052</v>
      </c>
      <c r="E293" s="6" t="s">
        <v>2411</v>
      </c>
      <c r="F293" s="1">
        <v>44531</v>
      </c>
      <c r="G293">
        <v>84</v>
      </c>
      <c r="H293" t="s">
        <v>2055</v>
      </c>
      <c r="I293">
        <v>2</v>
      </c>
      <c r="J293" t="s">
        <v>2410</v>
      </c>
      <c r="K293" s="1">
        <v>40544</v>
      </c>
      <c r="L293">
        <v>2014</v>
      </c>
      <c r="M293" t="s">
        <v>2045</v>
      </c>
    </row>
    <row r="294" spans="1:13" x14ac:dyDescent="0.3">
      <c r="A294">
        <v>292</v>
      </c>
      <c r="B294">
        <v>532</v>
      </c>
      <c r="C294" t="s">
        <v>2049</v>
      </c>
      <c r="D294" t="s">
        <v>2052</v>
      </c>
      <c r="E294" s="6" t="s">
        <v>2343</v>
      </c>
      <c r="F294" s="1">
        <v>45383</v>
      </c>
      <c r="G294">
        <v>721</v>
      </c>
      <c r="H294" t="s">
        <v>2047</v>
      </c>
      <c r="I294">
        <v>1</v>
      </c>
      <c r="J294" t="s">
        <v>2342</v>
      </c>
      <c r="K294" s="1">
        <v>40544</v>
      </c>
      <c r="L294">
        <v>2011</v>
      </c>
      <c r="M294" t="s">
        <v>2045</v>
      </c>
    </row>
    <row r="295" spans="1:13" x14ac:dyDescent="0.3">
      <c r="A295">
        <v>293</v>
      </c>
      <c r="B295">
        <v>321</v>
      </c>
      <c r="C295" t="s">
        <v>2057</v>
      </c>
      <c r="D295" t="s">
        <v>2048</v>
      </c>
      <c r="E295" s="5">
        <v>324067922186663</v>
      </c>
      <c r="F295" s="1">
        <v>43313</v>
      </c>
      <c r="G295">
        <v>194</v>
      </c>
      <c r="H295" t="s">
        <v>2047</v>
      </c>
      <c r="I295">
        <v>1</v>
      </c>
      <c r="J295" t="s">
        <v>2412</v>
      </c>
      <c r="K295" s="1">
        <v>40909</v>
      </c>
      <c r="L295">
        <v>2012</v>
      </c>
      <c r="M295" t="s">
        <v>2045</v>
      </c>
    </row>
    <row r="296" spans="1:13" x14ac:dyDescent="0.3">
      <c r="A296">
        <v>294</v>
      </c>
      <c r="B296">
        <v>964</v>
      </c>
      <c r="C296" t="s">
        <v>2057</v>
      </c>
      <c r="D296" t="s">
        <v>2048</v>
      </c>
      <c r="E296" s="5">
        <v>340045632784763</v>
      </c>
      <c r="F296" s="1">
        <v>43862</v>
      </c>
      <c r="G296">
        <v>218</v>
      </c>
      <c r="H296" t="s">
        <v>2047</v>
      </c>
      <c r="I296">
        <v>1</v>
      </c>
      <c r="J296" t="s">
        <v>2131</v>
      </c>
      <c r="K296" s="1">
        <v>40909</v>
      </c>
      <c r="L296">
        <v>2012</v>
      </c>
      <c r="M296" t="s">
        <v>2045</v>
      </c>
    </row>
    <row r="297" spans="1:13" x14ac:dyDescent="0.3">
      <c r="A297">
        <v>295</v>
      </c>
      <c r="B297">
        <v>1769</v>
      </c>
      <c r="C297" t="s">
        <v>2053</v>
      </c>
      <c r="D297" t="s">
        <v>2070</v>
      </c>
      <c r="E297" s="6" t="s">
        <v>3586</v>
      </c>
      <c r="F297" s="1">
        <v>44501</v>
      </c>
      <c r="G297">
        <v>853</v>
      </c>
      <c r="H297" t="s">
        <v>2055</v>
      </c>
      <c r="I297">
        <v>1</v>
      </c>
      <c r="J297" t="s">
        <v>2544</v>
      </c>
      <c r="K297" s="1">
        <v>40909</v>
      </c>
      <c r="L297">
        <v>2012</v>
      </c>
      <c r="M297" t="s">
        <v>2045</v>
      </c>
    </row>
    <row r="298" spans="1:13" x14ac:dyDescent="0.3">
      <c r="A298">
        <v>296</v>
      </c>
      <c r="B298">
        <v>1402</v>
      </c>
      <c r="C298" t="s">
        <v>2053</v>
      </c>
      <c r="D298" t="s">
        <v>2048</v>
      </c>
      <c r="E298" s="6" t="s">
        <v>3499</v>
      </c>
      <c r="F298" s="1">
        <v>43374</v>
      </c>
      <c r="G298">
        <v>920</v>
      </c>
      <c r="H298" t="s">
        <v>2047</v>
      </c>
      <c r="I298">
        <v>2</v>
      </c>
      <c r="J298" t="s">
        <v>2378</v>
      </c>
      <c r="K298" s="1">
        <v>40909</v>
      </c>
      <c r="L298">
        <v>2012</v>
      </c>
      <c r="M298" t="s">
        <v>2045</v>
      </c>
    </row>
    <row r="299" spans="1:13" x14ac:dyDescent="0.3">
      <c r="A299">
        <v>297</v>
      </c>
      <c r="B299">
        <v>1686</v>
      </c>
      <c r="C299" t="s">
        <v>2053</v>
      </c>
      <c r="D299" t="s">
        <v>2052</v>
      </c>
      <c r="E299" s="6" t="s">
        <v>3360</v>
      </c>
      <c r="F299" s="1">
        <v>45323</v>
      </c>
      <c r="G299">
        <v>976</v>
      </c>
      <c r="H299" t="s">
        <v>2047</v>
      </c>
      <c r="I299">
        <v>1</v>
      </c>
      <c r="J299" t="s">
        <v>3359</v>
      </c>
      <c r="K299" s="1">
        <v>40909</v>
      </c>
      <c r="L299">
        <v>2012</v>
      </c>
      <c r="M299" t="s">
        <v>2045</v>
      </c>
    </row>
    <row r="300" spans="1:13" x14ac:dyDescent="0.3">
      <c r="A300">
        <v>298</v>
      </c>
      <c r="B300">
        <v>729</v>
      </c>
      <c r="C300" t="s">
        <v>2053</v>
      </c>
      <c r="D300" t="s">
        <v>2052</v>
      </c>
      <c r="E300" s="6" t="s">
        <v>3222</v>
      </c>
      <c r="F300" s="1">
        <v>45017</v>
      </c>
      <c r="G300">
        <v>166</v>
      </c>
      <c r="H300" t="s">
        <v>2047</v>
      </c>
      <c r="I300">
        <v>1</v>
      </c>
      <c r="J300" t="s">
        <v>1188</v>
      </c>
      <c r="K300" s="1">
        <v>40909</v>
      </c>
      <c r="L300">
        <v>2012</v>
      </c>
      <c r="M300" t="s">
        <v>2045</v>
      </c>
    </row>
    <row r="301" spans="1:13" x14ac:dyDescent="0.3">
      <c r="A301">
        <v>299</v>
      </c>
      <c r="B301">
        <v>1797</v>
      </c>
      <c r="C301" t="s">
        <v>2053</v>
      </c>
      <c r="D301" t="s">
        <v>2052</v>
      </c>
      <c r="E301" s="6" t="s">
        <v>3039</v>
      </c>
      <c r="F301" s="1">
        <v>44621</v>
      </c>
      <c r="G301">
        <v>828</v>
      </c>
      <c r="H301" t="s">
        <v>2047</v>
      </c>
      <c r="I301">
        <v>1</v>
      </c>
      <c r="J301" t="s">
        <v>3038</v>
      </c>
      <c r="K301" s="1">
        <v>40909</v>
      </c>
      <c r="L301">
        <v>2012</v>
      </c>
      <c r="M301" t="s">
        <v>2045</v>
      </c>
    </row>
    <row r="302" spans="1:13" x14ac:dyDescent="0.3">
      <c r="A302">
        <v>300</v>
      </c>
      <c r="B302">
        <v>1797</v>
      </c>
      <c r="C302" t="s">
        <v>2053</v>
      </c>
      <c r="D302" t="s">
        <v>2052</v>
      </c>
      <c r="E302" s="6" t="s">
        <v>3037</v>
      </c>
      <c r="F302" s="1">
        <v>44593</v>
      </c>
      <c r="G302">
        <v>987</v>
      </c>
      <c r="H302" t="s">
        <v>2047</v>
      </c>
      <c r="I302">
        <v>1</v>
      </c>
      <c r="J302" t="s">
        <v>3036</v>
      </c>
      <c r="K302" s="1">
        <v>40909</v>
      </c>
      <c r="L302">
        <v>2012</v>
      </c>
      <c r="M302" t="s">
        <v>2045</v>
      </c>
    </row>
    <row r="303" spans="1:13" x14ac:dyDescent="0.3">
      <c r="A303">
        <v>301</v>
      </c>
      <c r="B303">
        <v>1116</v>
      </c>
      <c r="C303" t="s">
        <v>2049</v>
      </c>
      <c r="D303" t="s">
        <v>2048</v>
      </c>
      <c r="E303" s="6" t="s">
        <v>3701</v>
      </c>
      <c r="F303" s="1">
        <v>44228</v>
      </c>
      <c r="G303">
        <v>921</v>
      </c>
      <c r="H303" t="s">
        <v>2047</v>
      </c>
      <c r="I303">
        <v>2</v>
      </c>
      <c r="J303" t="s">
        <v>2275</v>
      </c>
      <c r="K303" s="1">
        <v>40909</v>
      </c>
      <c r="L303">
        <v>2012</v>
      </c>
      <c r="M303" t="s">
        <v>2045</v>
      </c>
    </row>
    <row r="304" spans="1:13" x14ac:dyDescent="0.3">
      <c r="A304">
        <v>302</v>
      </c>
      <c r="B304">
        <v>854</v>
      </c>
      <c r="C304" t="s">
        <v>2049</v>
      </c>
      <c r="D304" t="s">
        <v>2052</v>
      </c>
      <c r="E304" s="6" t="s">
        <v>3474</v>
      </c>
      <c r="F304" s="1">
        <v>45078</v>
      </c>
      <c r="G304">
        <v>110</v>
      </c>
      <c r="H304" t="s">
        <v>2047</v>
      </c>
      <c r="I304">
        <v>1</v>
      </c>
      <c r="J304" t="s">
        <v>3473</v>
      </c>
      <c r="K304" s="1">
        <v>40909</v>
      </c>
      <c r="L304">
        <v>2012</v>
      </c>
      <c r="M304" t="s">
        <v>2045</v>
      </c>
    </row>
    <row r="305" spans="1:13" x14ac:dyDescent="0.3">
      <c r="A305">
        <v>303</v>
      </c>
      <c r="B305">
        <v>4</v>
      </c>
      <c r="C305" t="s">
        <v>2049</v>
      </c>
      <c r="D305" t="s">
        <v>2052</v>
      </c>
      <c r="E305" s="6" t="s">
        <v>3385</v>
      </c>
      <c r="F305" s="1">
        <v>44287</v>
      </c>
      <c r="G305">
        <v>28</v>
      </c>
      <c r="H305" t="s">
        <v>2047</v>
      </c>
      <c r="I305">
        <v>2</v>
      </c>
      <c r="J305" t="s">
        <v>3384</v>
      </c>
      <c r="K305" s="1">
        <v>40909</v>
      </c>
      <c r="L305">
        <v>2012</v>
      </c>
      <c r="M305" t="s">
        <v>2045</v>
      </c>
    </row>
    <row r="306" spans="1:13" x14ac:dyDescent="0.3">
      <c r="A306">
        <v>304</v>
      </c>
      <c r="B306">
        <v>1039</v>
      </c>
      <c r="C306" t="s">
        <v>2049</v>
      </c>
      <c r="D306" t="s">
        <v>2048</v>
      </c>
      <c r="E306" s="6" t="s">
        <v>3340</v>
      </c>
      <c r="F306" s="1">
        <v>43831</v>
      </c>
      <c r="G306">
        <v>144</v>
      </c>
      <c r="H306" t="s">
        <v>2047</v>
      </c>
      <c r="I306">
        <v>2</v>
      </c>
      <c r="J306" t="s">
        <v>2580</v>
      </c>
      <c r="K306" s="1">
        <v>40909</v>
      </c>
      <c r="L306">
        <v>2012</v>
      </c>
      <c r="M306" t="s">
        <v>2045</v>
      </c>
    </row>
    <row r="307" spans="1:13" x14ac:dyDescent="0.3">
      <c r="A307">
        <v>305</v>
      </c>
      <c r="B307">
        <v>198</v>
      </c>
      <c r="C307" t="s">
        <v>2049</v>
      </c>
      <c r="D307" t="s">
        <v>2048</v>
      </c>
      <c r="E307" s="6" t="s">
        <v>3065</v>
      </c>
      <c r="F307" s="1">
        <v>44986</v>
      </c>
      <c r="G307">
        <v>11</v>
      </c>
      <c r="H307" t="s">
        <v>2047</v>
      </c>
      <c r="I307">
        <v>1</v>
      </c>
      <c r="J307" t="s">
        <v>2056</v>
      </c>
      <c r="K307" s="1">
        <v>40909</v>
      </c>
      <c r="L307">
        <v>2012</v>
      </c>
      <c r="M307" t="s">
        <v>2045</v>
      </c>
    </row>
    <row r="308" spans="1:13" x14ac:dyDescent="0.3">
      <c r="A308">
        <v>306</v>
      </c>
      <c r="B308">
        <v>1873</v>
      </c>
      <c r="C308" t="s">
        <v>2049</v>
      </c>
      <c r="D308" t="s">
        <v>2070</v>
      </c>
      <c r="E308" s="6" t="s">
        <v>2932</v>
      </c>
      <c r="F308" s="1">
        <v>45627</v>
      </c>
      <c r="G308">
        <v>529</v>
      </c>
      <c r="H308" t="s">
        <v>2055</v>
      </c>
      <c r="I308">
        <v>2</v>
      </c>
      <c r="J308" t="s">
        <v>2313</v>
      </c>
      <c r="K308" s="1">
        <v>40909</v>
      </c>
      <c r="L308">
        <v>2012</v>
      </c>
      <c r="M308" t="s">
        <v>2045</v>
      </c>
    </row>
    <row r="309" spans="1:13" x14ac:dyDescent="0.3">
      <c r="A309">
        <v>307</v>
      </c>
      <c r="B309">
        <v>80</v>
      </c>
      <c r="C309" t="s">
        <v>2049</v>
      </c>
      <c r="D309" t="s">
        <v>2048</v>
      </c>
      <c r="E309" s="6" t="s">
        <v>2517</v>
      </c>
      <c r="F309" s="1">
        <v>42887</v>
      </c>
      <c r="G309">
        <v>240</v>
      </c>
      <c r="H309" t="s">
        <v>2047</v>
      </c>
      <c r="I309">
        <v>2</v>
      </c>
      <c r="J309" t="s">
        <v>2365</v>
      </c>
      <c r="K309" s="1">
        <v>40909</v>
      </c>
      <c r="L309">
        <v>2012</v>
      </c>
      <c r="M309" t="s">
        <v>2045</v>
      </c>
    </row>
    <row r="310" spans="1:13" x14ac:dyDescent="0.3">
      <c r="A310">
        <v>308</v>
      </c>
      <c r="B310">
        <v>1872</v>
      </c>
      <c r="C310" t="s">
        <v>2049</v>
      </c>
      <c r="D310" t="s">
        <v>2052</v>
      </c>
      <c r="E310" s="6" t="s">
        <v>2317</v>
      </c>
      <c r="F310" s="1">
        <v>44562</v>
      </c>
      <c r="G310">
        <v>257</v>
      </c>
      <c r="H310" t="s">
        <v>2047</v>
      </c>
      <c r="I310">
        <v>1</v>
      </c>
      <c r="J310" t="s">
        <v>2316</v>
      </c>
      <c r="K310" s="1">
        <v>40909</v>
      </c>
      <c r="L310">
        <v>2012</v>
      </c>
      <c r="M310" t="s">
        <v>2045</v>
      </c>
    </row>
    <row r="311" spans="1:13" x14ac:dyDescent="0.3">
      <c r="A311">
        <v>309</v>
      </c>
      <c r="B311">
        <v>274</v>
      </c>
      <c r="C311" t="s">
        <v>2057</v>
      </c>
      <c r="D311" t="s">
        <v>2048</v>
      </c>
      <c r="E311" s="5">
        <v>365377878162370</v>
      </c>
      <c r="F311" s="1">
        <v>45200</v>
      </c>
      <c r="G311">
        <v>964</v>
      </c>
      <c r="H311" t="s">
        <v>2047</v>
      </c>
      <c r="I311">
        <v>2</v>
      </c>
      <c r="J311" t="s">
        <v>2518</v>
      </c>
      <c r="K311" s="1">
        <v>41275</v>
      </c>
      <c r="L311">
        <v>2013</v>
      </c>
      <c r="M311" t="s">
        <v>2045</v>
      </c>
    </row>
    <row r="312" spans="1:13" x14ac:dyDescent="0.3">
      <c r="A312">
        <v>310</v>
      </c>
      <c r="B312">
        <v>1152</v>
      </c>
      <c r="C312" t="s">
        <v>2061</v>
      </c>
      <c r="D312" t="s">
        <v>2048</v>
      </c>
      <c r="E312" s="6" t="s">
        <v>2919</v>
      </c>
      <c r="F312" s="1">
        <v>45383</v>
      </c>
      <c r="G312">
        <v>477</v>
      </c>
      <c r="H312" t="s">
        <v>2047</v>
      </c>
      <c r="I312">
        <v>1</v>
      </c>
      <c r="J312" t="s">
        <v>2104</v>
      </c>
      <c r="K312" s="1">
        <v>41275</v>
      </c>
      <c r="L312">
        <v>2013</v>
      </c>
      <c r="M312" t="s">
        <v>2045</v>
      </c>
    </row>
    <row r="313" spans="1:13" x14ac:dyDescent="0.3">
      <c r="A313">
        <v>311</v>
      </c>
      <c r="B313">
        <v>826</v>
      </c>
      <c r="C313" t="s">
        <v>2053</v>
      </c>
      <c r="D313" t="s">
        <v>2052</v>
      </c>
      <c r="E313" s="6" t="s">
        <v>3369</v>
      </c>
      <c r="F313" s="1">
        <v>41944</v>
      </c>
      <c r="G313">
        <v>30</v>
      </c>
      <c r="H313" t="s">
        <v>2047</v>
      </c>
      <c r="I313">
        <v>1</v>
      </c>
      <c r="J313" t="s">
        <v>3368</v>
      </c>
      <c r="K313" s="1">
        <v>41275</v>
      </c>
      <c r="L313">
        <v>2013</v>
      </c>
      <c r="M313" t="s">
        <v>2045</v>
      </c>
    </row>
    <row r="314" spans="1:13" x14ac:dyDescent="0.3">
      <c r="A314">
        <v>312</v>
      </c>
      <c r="B314">
        <v>571</v>
      </c>
      <c r="C314" t="s">
        <v>2053</v>
      </c>
      <c r="D314" t="s">
        <v>2052</v>
      </c>
      <c r="E314" s="6" t="s">
        <v>3334</v>
      </c>
      <c r="F314" s="1">
        <v>44958</v>
      </c>
      <c r="G314">
        <v>150</v>
      </c>
      <c r="H314" t="s">
        <v>2047</v>
      </c>
      <c r="I314">
        <v>2</v>
      </c>
      <c r="J314" t="s">
        <v>3333</v>
      </c>
      <c r="K314" s="1">
        <v>41275</v>
      </c>
      <c r="L314">
        <v>2013</v>
      </c>
      <c r="M314" t="s">
        <v>2045</v>
      </c>
    </row>
    <row r="315" spans="1:13" x14ac:dyDescent="0.3">
      <c r="A315">
        <v>313</v>
      </c>
      <c r="B315">
        <v>1652</v>
      </c>
      <c r="C315" t="s">
        <v>2053</v>
      </c>
      <c r="D315" t="s">
        <v>2052</v>
      </c>
      <c r="E315" s="6" t="s">
        <v>3021</v>
      </c>
      <c r="F315" s="1">
        <v>45566</v>
      </c>
      <c r="G315">
        <v>358</v>
      </c>
      <c r="H315" t="s">
        <v>2047</v>
      </c>
      <c r="I315">
        <v>1</v>
      </c>
      <c r="J315" t="s">
        <v>3020</v>
      </c>
      <c r="K315" s="1">
        <v>41275</v>
      </c>
      <c r="L315">
        <v>2013</v>
      </c>
      <c r="M315" t="s">
        <v>2045</v>
      </c>
    </row>
    <row r="316" spans="1:13" x14ac:dyDescent="0.3">
      <c r="A316">
        <v>314</v>
      </c>
      <c r="B316">
        <v>1202</v>
      </c>
      <c r="C316" t="s">
        <v>2053</v>
      </c>
      <c r="D316" t="s">
        <v>2052</v>
      </c>
      <c r="E316" s="6" t="s">
        <v>2614</v>
      </c>
      <c r="F316" s="1">
        <v>41913</v>
      </c>
      <c r="G316">
        <v>426</v>
      </c>
      <c r="H316" t="s">
        <v>2047</v>
      </c>
      <c r="I316">
        <v>1</v>
      </c>
      <c r="J316" t="s">
        <v>798</v>
      </c>
      <c r="K316" s="1">
        <v>41275</v>
      </c>
      <c r="L316">
        <v>2013</v>
      </c>
      <c r="M316" t="s">
        <v>2045</v>
      </c>
    </row>
    <row r="317" spans="1:13" x14ac:dyDescent="0.3">
      <c r="A317">
        <v>315</v>
      </c>
      <c r="B317">
        <v>1366</v>
      </c>
      <c r="C317" t="s">
        <v>2053</v>
      </c>
      <c r="D317" t="s">
        <v>2048</v>
      </c>
      <c r="E317" s="6" t="s">
        <v>2506</v>
      </c>
      <c r="F317" s="1">
        <v>45474</v>
      </c>
      <c r="G317">
        <v>684</v>
      </c>
      <c r="H317" t="s">
        <v>2047</v>
      </c>
      <c r="I317">
        <v>2</v>
      </c>
      <c r="J317" t="s">
        <v>2174</v>
      </c>
      <c r="K317" s="1">
        <v>41275</v>
      </c>
      <c r="L317">
        <v>2013</v>
      </c>
      <c r="M317" t="s">
        <v>2045</v>
      </c>
    </row>
    <row r="318" spans="1:13" x14ac:dyDescent="0.3">
      <c r="A318">
        <v>316</v>
      </c>
      <c r="B318">
        <v>1954</v>
      </c>
      <c r="C318" t="s">
        <v>2053</v>
      </c>
      <c r="D318" t="s">
        <v>2052</v>
      </c>
      <c r="E318" s="6" t="s">
        <v>2473</v>
      </c>
      <c r="F318" s="1">
        <v>41456</v>
      </c>
      <c r="G318">
        <v>422</v>
      </c>
      <c r="H318" t="s">
        <v>2047</v>
      </c>
      <c r="I318">
        <v>2</v>
      </c>
      <c r="J318" t="s">
        <v>2472</v>
      </c>
      <c r="K318" s="1">
        <v>41275</v>
      </c>
      <c r="L318">
        <v>2013</v>
      </c>
      <c r="M318" t="s">
        <v>2045</v>
      </c>
    </row>
    <row r="319" spans="1:13" x14ac:dyDescent="0.3">
      <c r="A319">
        <v>317</v>
      </c>
      <c r="B319">
        <v>391</v>
      </c>
      <c r="C319" t="s">
        <v>2053</v>
      </c>
      <c r="D319" t="s">
        <v>2052</v>
      </c>
      <c r="E319" s="6" t="s">
        <v>2072</v>
      </c>
      <c r="F319" s="1">
        <v>44409</v>
      </c>
      <c r="G319">
        <v>596</v>
      </c>
      <c r="H319" t="s">
        <v>2047</v>
      </c>
      <c r="I319">
        <v>1</v>
      </c>
      <c r="J319" t="s">
        <v>2071</v>
      </c>
      <c r="K319" s="1">
        <v>41275</v>
      </c>
      <c r="L319">
        <v>2013</v>
      </c>
      <c r="M319" t="s">
        <v>2045</v>
      </c>
    </row>
    <row r="320" spans="1:13" x14ac:dyDescent="0.3">
      <c r="A320">
        <v>318</v>
      </c>
      <c r="B320">
        <v>1323</v>
      </c>
      <c r="C320" t="s">
        <v>2049</v>
      </c>
      <c r="D320" t="s">
        <v>2048</v>
      </c>
      <c r="E320" s="6" t="s">
        <v>3506</v>
      </c>
      <c r="F320" s="1">
        <v>43862</v>
      </c>
      <c r="G320">
        <v>734</v>
      </c>
      <c r="H320" t="s">
        <v>2047</v>
      </c>
      <c r="I320">
        <v>2</v>
      </c>
      <c r="J320" t="s">
        <v>2275</v>
      </c>
      <c r="K320" s="1">
        <v>41275</v>
      </c>
      <c r="L320">
        <v>2013</v>
      </c>
      <c r="M320" t="s">
        <v>2045</v>
      </c>
    </row>
    <row r="321" spans="1:13" x14ac:dyDescent="0.3">
      <c r="A321">
        <v>319</v>
      </c>
      <c r="B321">
        <v>1727</v>
      </c>
      <c r="C321" t="s">
        <v>2049</v>
      </c>
      <c r="D321" t="s">
        <v>2052</v>
      </c>
      <c r="E321" s="6" t="s">
        <v>3316</v>
      </c>
      <c r="F321" s="1">
        <v>41548</v>
      </c>
      <c r="G321">
        <v>340</v>
      </c>
      <c r="H321" t="s">
        <v>2047</v>
      </c>
      <c r="I321">
        <v>1</v>
      </c>
      <c r="J321" t="s">
        <v>3315</v>
      </c>
      <c r="K321" s="1">
        <v>41275</v>
      </c>
      <c r="L321">
        <v>2013</v>
      </c>
      <c r="M321" t="s">
        <v>2045</v>
      </c>
    </row>
    <row r="322" spans="1:13" x14ac:dyDescent="0.3">
      <c r="A322">
        <v>320</v>
      </c>
      <c r="B322">
        <v>706</v>
      </c>
      <c r="C322" t="s">
        <v>2049</v>
      </c>
      <c r="D322" t="s">
        <v>2048</v>
      </c>
      <c r="E322" s="6" t="s">
        <v>3201</v>
      </c>
      <c r="F322" s="1">
        <v>45231</v>
      </c>
      <c r="G322">
        <v>115</v>
      </c>
      <c r="H322" t="s">
        <v>2047</v>
      </c>
      <c r="I322">
        <v>2</v>
      </c>
      <c r="J322" t="s">
        <v>2487</v>
      </c>
      <c r="K322" s="1">
        <v>41275</v>
      </c>
      <c r="L322">
        <v>2013</v>
      </c>
      <c r="M322" t="s">
        <v>2045</v>
      </c>
    </row>
    <row r="323" spans="1:13" x14ac:dyDescent="0.3">
      <c r="A323">
        <v>321</v>
      </c>
      <c r="B323">
        <v>1122</v>
      </c>
      <c r="C323" t="s">
        <v>2049</v>
      </c>
      <c r="D323" t="s">
        <v>2052</v>
      </c>
      <c r="E323" s="6" t="s">
        <v>3035</v>
      </c>
      <c r="F323" s="1">
        <v>44197</v>
      </c>
      <c r="G323">
        <v>681</v>
      </c>
      <c r="H323" t="s">
        <v>2047</v>
      </c>
      <c r="I323">
        <v>1</v>
      </c>
      <c r="J323" t="s">
        <v>3034</v>
      </c>
      <c r="K323" s="1">
        <v>41275</v>
      </c>
      <c r="L323">
        <v>2013</v>
      </c>
      <c r="M323" t="s">
        <v>2045</v>
      </c>
    </row>
    <row r="324" spans="1:13" x14ac:dyDescent="0.3">
      <c r="A324">
        <v>322</v>
      </c>
      <c r="B324">
        <v>868</v>
      </c>
      <c r="C324" t="s">
        <v>2049</v>
      </c>
      <c r="D324" t="s">
        <v>2048</v>
      </c>
      <c r="E324" s="6" t="s">
        <v>2985</v>
      </c>
      <c r="F324" s="1">
        <v>44743</v>
      </c>
      <c r="G324">
        <v>21</v>
      </c>
      <c r="H324" t="s">
        <v>2047</v>
      </c>
      <c r="I324">
        <v>2</v>
      </c>
      <c r="J324" t="s">
        <v>2270</v>
      </c>
      <c r="K324" s="1">
        <v>41275</v>
      </c>
      <c r="L324">
        <v>2013</v>
      </c>
      <c r="M324" t="s">
        <v>2045</v>
      </c>
    </row>
    <row r="325" spans="1:13" x14ac:dyDescent="0.3">
      <c r="A325">
        <v>323</v>
      </c>
      <c r="B325">
        <v>260</v>
      </c>
      <c r="C325" t="s">
        <v>2049</v>
      </c>
      <c r="D325" t="s">
        <v>2052</v>
      </c>
      <c r="E325" s="6" t="s">
        <v>2946</v>
      </c>
      <c r="F325" s="1">
        <v>44531</v>
      </c>
      <c r="G325">
        <v>422</v>
      </c>
      <c r="H325" t="s">
        <v>2047</v>
      </c>
      <c r="I325">
        <v>1</v>
      </c>
      <c r="J325" t="s">
        <v>2945</v>
      </c>
      <c r="K325" s="1">
        <v>41275</v>
      </c>
      <c r="L325">
        <v>2013</v>
      </c>
      <c r="M325" t="s">
        <v>2045</v>
      </c>
    </row>
    <row r="326" spans="1:13" x14ac:dyDescent="0.3">
      <c r="A326">
        <v>324</v>
      </c>
      <c r="B326">
        <v>1677</v>
      </c>
      <c r="C326" t="s">
        <v>2049</v>
      </c>
      <c r="D326" t="s">
        <v>2048</v>
      </c>
      <c r="E326" s="6" t="s">
        <v>2938</v>
      </c>
      <c r="F326" s="1">
        <v>45566</v>
      </c>
      <c r="G326">
        <v>375</v>
      </c>
      <c r="H326" t="s">
        <v>2047</v>
      </c>
      <c r="I326">
        <v>2</v>
      </c>
      <c r="J326" t="s">
        <v>2176</v>
      </c>
      <c r="K326" s="1">
        <v>41275</v>
      </c>
      <c r="L326">
        <v>2013</v>
      </c>
      <c r="M326" t="s">
        <v>2045</v>
      </c>
    </row>
    <row r="327" spans="1:13" x14ac:dyDescent="0.3">
      <c r="A327">
        <v>325</v>
      </c>
      <c r="B327">
        <v>376</v>
      </c>
      <c r="C327" t="s">
        <v>2049</v>
      </c>
      <c r="D327" t="s">
        <v>2048</v>
      </c>
      <c r="E327" s="6" t="s">
        <v>2377</v>
      </c>
      <c r="F327" s="1">
        <v>41334</v>
      </c>
      <c r="G327">
        <v>650</v>
      </c>
      <c r="H327" t="s">
        <v>2047</v>
      </c>
      <c r="I327">
        <v>1</v>
      </c>
      <c r="J327" t="s">
        <v>2054</v>
      </c>
      <c r="K327" s="1">
        <v>41275</v>
      </c>
      <c r="L327">
        <v>2013</v>
      </c>
      <c r="M327" t="s">
        <v>2045</v>
      </c>
    </row>
    <row r="328" spans="1:13" x14ac:dyDescent="0.3">
      <c r="A328">
        <v>326</v>
      </c>
      <c r="B328">
        <v>267</v>
      </c>
      <c r="C328" t="s">
        <v>2049</v>
      </c>
      <c r="D328" t="s">
        <v>2052</v>
      </c>
      <c r="E328" s="6" t="s">
        <v>2359</v>
      </c>
      <c r="F328" s="1">
        <v>42278</v>
      </c>
      <c r="G328">
        <v>970</v>
      </c>
      <c r="H328" t="s">
        <v>2047</v>
      </c>
      <c r="I328">
        <v>1</v>
      </c>
      <c r="J328" t="s">
        <v>2358</v>
      </c>
      <c r="K328" s="1">
        <v>41275</v>
      </c>
      <c r="L328">
        <v>2013</v>
      </c>
      <c r="M328" t="s">
        <v>2045</v>
      </c>
    </row>
    <row r="329" spans="1:13" x14ac:dyDescent="0.3">
      <c r="A329">
        <v>327</v>
      </c>
      <c r="B329">
        <v>379</v>
      </c>
      <c r="C329" t="s">
        <v>2057</v>
      </c>
      <c r="D329" t="s">
        <v>2048</v>
      </c>
      <c r="E329" s="5">
        <v>354813103334804</v>
      </c>
      <c r="F329" s="1">
        <v>44348</v>
      </c>
      <c r="G329">
        <v>527</v>
      </c>
      <c r="H329" t="s">
        <v>2047</v>
      </c>
      <c r="I329">
        <v>2</v>
      </c>
      <c r="J329" t="s">
        <v>2203</v>
      </c>
      <c r="K329" s="1">
        <v>41640</v>
      </c>
      <c r="L329">
        <v>2014</v>
      </c>
      <c r="M329" t="s">
        <v>2045</v>
      </c>
    </row>
    <row r="330" spans="1:13" x14ac:dyDescent="0.3">
      <c r="A330">
        <v>328</v>
      </c>
      <c r="B330">
        <v>1950</v>
      </c>
      <c r="C330" t="s">
        <v>2053</v>
      </c>
      <c r="D330" t="s">
        <v>2048</v>
      </c>
      <c r="E330" s="6" t="s">
        <v>3569</v>
      </c>
      <c r="F330" s="1">
        <v>44835</v>
      </c>
      <c r="G330">
        <v>871</v>
      </c>
      <c r="H330" t="s">
        <v>2047</v>
      </c>
      <c r="I330">
        <v>1</v>
      </c>
      <c r="J330" t="s">
        <v>2222</v>
      </c>
      <c r="K330" s="1">
        <v>41640</v>
      </c>
      <c r="L330">
        <v>2014</v>
      </c>
      <c r="M330" t="s">
        <v>2045</v>
      </c>
    </row>
    <row r="331" spans="1:13" x14ac:dyDescent="0.3">
      <c r="A331">
        <v>329</v>
      </c>
      <c r="B331">
        <v>974</v>
      </c>
      <c r="C331" t="s">
        <v>2053</v>
      </c>
      <c r="D331" t="s">
        <v>2048</v>
      </c>
      <c r="E331" s="6" t="s">
        <v>2565</v>
      </c>
      <c r="F331" s="1">
        <v>44044</v>
      </c>
      <c r="G331">
        <v>214</v>
      </c>
      <c r="H331" t="s">
        <v>2047</v>
      </c>
      <c r="I331">
        <v>2</v>
      </c>
      <c r="J331" t="s">
        <v>2429</v>
      </c>
      <c r="K331" s="1">
        <v>41640</v>
      </c>
      <c r="L331">
        <v>2014</v>
      </c>
      <c r="M331" t="s">
        <v>2045</v>
      </c>
    </row>
    <row r="332" spans="1:13" x14ac:dyDescent="0.3">
      <c r="A332">
        <v>330</v>
      </c>
      <c r="B332">
        <v>1316</v>
      </c>
      <c r="C332" t="s">
        <v>2053</v>
      </c>
      <c r="D332" t="s">
        <v>2048</v>
      </c>
      <c r="E332" s="6" t="s">
        <v>2421</v>
      </c>
      <c r="F332" s="1">
        <v>45597</v>
      </c>
      <c r="G332">
        <v>288</v>
      </c>
      <c r="H332" t="s">
        <v>2047</v>
      </c>
      <c r="I332">
        <v>2</v>
      </c>
      <c r="J332" t="s">
        <v>2080</v>
      </c>
      <c r="K332" s="1">
        <v>41640</v>
      </c>
      <c r="L332">
        <v>2014</v>
      </c>
      <c r="M332" t="s">
        <v>2045</v>
      </c>
    </row>
    <row r="333" spans="1:13" x14ac:dyDescent="0.3">
      <c r="A333">
        <v>331</v>
      </c>
      <c r="B333">
        <v>1811</v>
      </c>
      <c r="C333" t="s">
        <v>2053</v>
      </c>
      <c r="D333" t="s">
        <v>2070</v>
      </c>
      <c r="E333" s="6" t="s">
        <v>2409</v>
      </c>
      <c r="F333" s="1">
        <v>44197</v>
      </c>
      <c r="G333">
        <v>628</v>
      </c>
      <c r="H333" t="s">
        <v>2047</v>
      </c>
      <c r="I333">
        <v>1</v>
      </c>
      <c r="J333" t="s">
        <v>2408</v>
      </c>
      <c r="K333" s="1">
        <v>41640</v>
      </c>
      <c r="L333">
        <v>2014</v>
      </c>
      <c r="M333" t="s">
        <v>2045</v>
      </c>
    </row>
    <row r="334" spans="1:13" x14ac:dyDescent="0.3">
      <c r="A334">
        <v>332</v>
      </c>
      <c r="B334">
        <v>495</v>
      </c>
      <c r="C334" t="s">
        <v>2053</v>
      </c>
      <c r="D334" t="s">
        <v>2048</v>
      </c>
      <c r="E334" s="6" t="s">
        <v>2268</v>
      </c>
      <c r="F334" s="1">
        <v>42917</v>
      </c>
      <c r="G334">
        <v>255</v>
      </c>
      <c r="H334" t="s">
        <v>2047</v>
      </c>
      <c r="I334">
        <v>2</v>
      </c>
      <c r="J334" t="s">
        <v>2086</v>
      </c>
      <c r="K334" s="1">
        <v>41640</v>
      </c>
      <c r="L334">
        <v>2014</v>
      </c>
      <c r="M334" t="s">
        <v>2045</v>
      </c>
    </row>
    <row r="335" spans="1:13" x14ac:dyDescent="0.3">
      <c r="A335">
        <v>333</v>
      </c>
      <c r="B335">
        <v>628</v>
      </c>
      <c r="C335" t="s">
        <v>2053</v>
      </c>
      <c r="D335" t="s">
        <v>2052</v>
      </c>
      <c r="E335" s="6" t="s">
        <v>2127</v>
      </c>
      <c r="F335" s="1">
        <v>44470</v>
      </c>
      <c r="G335">
        <v>288</v>
      </c>
      <c r="H335" t="s">
        <v>2047</v>
      </c>
      <c r="I335">
        <v>1</v>
      </c>
      <c r="J335" t="s">
        <v>2126</v>
      </c>
      <c r="K335" s="1">
        <v>41640</v>
      </c>
      <c r="L335">
        <v>2014</v>
      </c>
      <c r="M335" t="s">
        <v>2045</v>
      </c>
    </row>
    <row r="336" spans="1:13" x14ac:dyDescent="0.3">
      <c r="A336">
        <v>334</v>
      </c>
      <c r="B336">
        <v>684</v>
      </c>
      <c r="C336" t="s">
        <v>2049</v>
      </c>
      <c r="D336" t="s">
        <v>2052</v>
      </c>
      <c r="E336" s="6" t="s">
        <v>3481</v>
      </c>
      <c r="F336" s="1">
        <v>42064</v>
      </c>
      <c r="G336">
        <v>568</v>
      </c>
      <c r="H336" t="s">
        <v>2047</v>
      </c>
      <c r="I336">
        <v>2</v>
      </c>
      <c r="J336" t="s">
        <v>3480</v>
      </c>
      <c r="K336" s="1">
        <v>41640</v>
      </c>
      <c r="L336">
        <v>2014</v>
      </c>
      <c r="M336" t="s">
        <v>2045</v>
      </c>
    </row>
    <row r="337" spans="1:13" x14ac:dyDescent="0.3">
      <c r="A337">
        <v>335</v>
      </c>
      <c r="B337">
        <v>1095</v>
      </c>
      <c r="C337" t="s">
        <v>2049</v>
      </c>
      <c r="D337" t="s">
        <v>2052</v>
      </c>
      <c r="E337" s="6" t="s">
        <v>3206</v>
      </c>
      <c r="F337" s="1">
        <v>44774</v>
      </c>
      <c r="G337">
        <v>789</v>
      </c>
      <c r="H337" t="s">
        <v>2047</v>
      </c>
      <c r="I337">
        <v>1</v>
      </c>
      <c r="J337" t="s">
        <v>3205</v>
      </c>
      <c r="K337" s="1">
        <v>41640</v>
      </c>
      <c r="L337">
        <v>2014</v>
      </c>
      <c r="M337" t="s">
        <v>2045</v>
      </c>
    </row>
    <row r="338" spans="1:13" x14ac:dyDescent="0.3">
      <c r="A338">
        <v>336</v>
      </c>
      <c r="B338">
        <v>534</v>
      </c>
      <c r="C338" t="s">
        <v>2049</v>
      </c>
      <c r="D338" t="s">
        <v>2052</v>
      </c>
      <c r="E338" s="6" t="s">
        <v>3070</v>
      </c>
      <c r="F338" s="1">
        <v>45383</v>
      </c>
      <c r="G338">
        <v>602</v>
      </c>
      <c r="H338" t="s">
        <v>2047</v>
      </c>
      <c r="I338">
        <v>2</v>
      </c>
      <c r="J338" t="s">
        <v>3069</v>
      </c>
      <c r="K338" s="1">
        <v>41640</v>
      </c>
      <c r="L338">
        <v>2014</v>
      </c>
      <c r="M338" t="s">
        <v>2045</v>
      </c>
    </row>
    <row r="339" spans="1:13" x14ac:dyDescent="0.3">
      <c r="A339">
        <v>337</v>
      </c>
      <c r="B339">
        <v>1589</v>
      </c>
      <c r="C339" t="s">
        <v>2049</v>
      </c>
      <c r="D339" t="s">
        <v>2052</v>
      </c>
      <c r="E339" s="6" t="s">
        <v>2820</v>
      </c>
      <c r="F339" s="1">
        <v>45200</v>
      </c>
      <c r="G339">
        <v>395</v>
      </c>
      <c r="H339" t="s">
        <v>2055</v>
      </c>
      <c r="I339">
        <v>1</v>
      </c>
      <c r="J339" t="s">
        <v>2819</v>
      </c>
      <c r="K339" s="1">
        <v>41640</v>
      </c>
      <c r="L339">
        <v>2014</v>
      </c>
      <c r="M339" t="s">
        <v>2045</v>
      </c>
    </row>
    <row r="340" spans="1:13" x14ac:dyDescent="0.3">
      <c r="A340">
        <v>338</v>
      </c>
      <c r="B340">
        <v>1071</v>
      </c>
      <c r="C340" t="s">
        <v>2049</v>
      </c>
      <c r="D340" t="s">
        <v>2052</v>
      </c>
      <c r="E340" s="6" t="s">
        <v>2816</v>
      </c>
      <c r="F340" s="1">
        <v>44136</v>
      </c>
      <c r="G340">
        <v>393</v>
      </c>
      <c r="H340" t="s">
        <v>2047</v>
      </c>
      <c r="I340">
        <v>1</v>
      </c>
      <c r="J340" t="s">
        <v>800</v>
      </c>
      <c r="K340" s="1">
        <v>41640</v>
      </c>
      <c r="L340">
        <v>2014</v>
      </c>
      <c r="M340" t="s">
        <v>2045</v>
      </c>
    </row>
    <row r="341" spans="1:13" x14ac:dyDescent="0.3">
      <c r="A341">
        <v>339</v>
      </c>
      <c r="B341">
        <v>1585</v>
      </c>
      <c r="C341" t="s">
        <v>2049</v>
      </c>
      <c r="D341" t="s">
        <v>2052</v>
      </c>
      <c r="E341" s="6" t="s">
        <v>2808</v>
      </c>
      <c r="F341" s="1">
        <v>45139</v>
      </c>
      <c r="G341">
        <v>63</v>
      </c>
      <c r="H341" t="s">
        <v>2055</v>
      </c>
      <c r="I341">
        <v>1</v>
      </c>
      <c r="J341" t="s">
        <v>2807</v>
      </c>
      <c r="K341" s="1">
        <v>41640</v>
      </c>
      <c r="L341">
        <v>2014</v>
      </c>
      <c r="M341" t="s">
        <v>2045</v>
      </c>
    </row>
    <row r="342" spans="1:13" x14ac:dyDescent="0.3">
      <c r="A342">
        <v>340</v>
      </c>
      <c r="B342">
        <v>814</v>
      </c>
      <c r="C342" t="s">
        <v>2049</v>
      </c>
      <c r="D342" t="s">
        <v>2048</v>
      </c>
      <c r="E342" s="6" t="s">
        <v>2182</v>
      </c>
      <c r="F342" s="1">
        <v>45474</v>
      </c>
      <c r="G342">
        <v>713</v>
      </c>
      <c r="H342" t="s">
        <v>2047</v>
      </c>
      <c r="I342">
        <v>2</v>
      </c>
      <c r="J342" t="s">
        <v>2181</v>
      </c>
      <c r="K342" s="1">
        <v>41640</v>
      </c>
      <c r="L342">
        <v>2014</v>
      </c>
      <c r="M342" t="s">
        <v>2045</v>
      </c>
    </row>
    <row r="343" spans="1:13" x14ac:dyDescent="0.3">
      <c r="A343">
        <v>341</v>
      </c>
      <c r="B343">
        <v>305</v>
      </c>
      <c r="C343" t="s">
        <v>2049</v>
      </c>
      <c r="D343" t="s">
        <v>2070</v>
      </c>
      <c r="E343" s="6" t="s">
        <v>2178</v>
      </c>
      <c r="F343" s="1">
        <v>43952</v>
      </c>
      <c r="G343">
        <v>86</v>
      </c>
      <c r="H343" t="s">
        <v>2047</v>
      </c>
      <c r="I343">
        <v>1</v>
      </c>
      <c r="J343" t="s">
        <v>2177</v>
      </c>
      <c r="K343" s="1">
        <v>41640</v>
      </c>
      <c r="L343">
        <v>2014</v>
      </c>
      <c r="M343" t="s">
        <v>2045</v>
      </c>
    </row>
    <row r="344" spans="1:13" x14ac:dyDescent="0.3">
      <c r="A344">
        <v>342</v>
      </c>
      <c r="B344">
        <v>1028</v>
      </c>
      <c r="C344" t="s">
        <v>2057</v>
      </c>
      <c r="D344" t="s">
        <v>2048</v>
      </c>
      <c r="E344" s="5">
        <v>355983307821258</v>
      </c>
      <c r="F344" s="1">
        <v>45200</v>
      </c>
      <c r="G344">
        <v>647</v>
      </c>
      <c r="H344" t="s">
        <v>2055</v>
      </c>
      <c r="I344">
        <v>2</v>
      </c>
      <c r="J344" t="s">
        <v>2353</v>
      </c>
      <c r="K344" s="1">
        <v>42005</v>
      </c>
      <c r="L344">
        <v>2015</v>
      </c>
      <c r="M344" t="s">
        <v>2045</v>
      </c>
    </row>
    <row r="345" spans="1:13" x14ac:dyDescent="0.3">
      <c r="A345">
        <v>343</v>
      </c>
      <c r="B345">
        <v>583</v>
      </c>
      <c r="C345" t="s">
        <v>2057</v>
      </c>
      <c r="D345" t="s">
        <v>2048</v>
      </c>
      <c r="E345" s="5">
        <v>345109128105029</v>
      </c>
      <c r="F345" s="1">
        <v>45323</v>
      </c>
      <c r="G345">
        <v>963</v>
      </c>
      <c r="H345" t="s">
        <v>2047</v>
      </c>
      <c r="I345">
        <v>2</v>
      </c>
      <c r="J345" t="s">
        <v>2188</v>
      </c>
      <c r="K345" s="1">
        <v>42005</v>
      </c>
      <c r="L345">
        <v>2015</v>
      </c>
      <c r="M345" t="s">
        <v>2045</v>
      </c>
    </row>
    <row r="346" spans="1:13" x14ac:dyDescent="0.3">
      <c r="A346">
        <v>344</v>
      </c>
      <c r="B346">
        <v>1775</v>
      </c>
      <c r="C346" t="s">
        <v>2053</v>
      </c>
      <c r="D346" t="s">
        <v>2052</v>
      </c>
      <c r="E346" s="6" t="s">
        <v>3621</v>
      </c>
      <c r="F346" s="1">
        <v>43862</v>
      </c>
      <c r="G346">
        <v>924</v>
      </c>
      <c r="H346" t="s">
        <v>2047</v>
      </c>
      <c r="I346">
        <v>2</v>
      </c>
      <c r="J346" t="s">
        <v>3620</v>
      </c>
      <c r="K346" s="1">
        <v>42005</v>
      </c>
      <c r="L346">
        <v>2015</v>
      </c>
      <c r="M346" t="s">
        <v>2045</v>
      </c>
    </row>
    <row r="347" spans="1:13" x14ac:dyDescent="0.3">
      <c r="A347">
        <v>345</v>
      </c>
      <c r="B347">
        <v>1004</v>
      </c>
      <c r="C347" t="s">
        <v>2053</v>
      </c>
      <c r="D347" t="s">
        <v>2052</v>
      </c>
      <c r="E347" s="6" t="s">
        <v>3557</v>
      </c>
      <c r="F347" s="1">
        <v>42217</v>
      </c>
      <c r="G347">
        <v>246</v>
      </c>
      <c r="H347" t="s">
        <v>2047</v>
      </c>
      <c r="I347">
        <v>1</v>
      </c>
      <c r="J347" t="s">
        <v>3556</v>
      </c>
      <c r="K347" s="1">
        <v>42005</v>
      </c>
      <c r="L347">
        <v>2015</v>
      </c>
      <c r="M347" t="s">
        <v>2045</v>
      </c>
    </row>
    <row r="348" spans="1:13" x14ac:dyDescent="0.3">
      <c r="A348">
        <v>346</v>
      </c>
      <c r="B348">
        <v>657</v>
      </c>
      <c r="C348" t="s">
        <v>2053</v>
      </c>
      <c r="D348" t="s">
        <v>2052</v>
      </c>
      <c r="E348" s="6" t="s">
        <v>3519</v>
      </c>
      <c r="F348" s="1">
        <v>44228</v>
      </c>
      <c r="G348">
        <v>373</v>
      </c>
      <c r="H348" t="s">
        <v>2047</v>
      </c>
      <c r="I348">
        <v>1</v>
      </c>
      <c r="J348" t="s">
        <v>598</v>
      </c>
      <c r="K348" s="1">
        <v>42005</v>
      </c>
      <c r="L348">
        <v>2015</v>
      </c>
      <c r="M348" t="s">
        <v>2045</v>
      </c>
    </row>
    <row r="349" spans="1:13" x14ac:dyDescent="0.3">
      <c r="A349">
        <v>347</v>
      </c>
      <c r="B349">
        <v>784</v>
      </c>
      <c r="C349" t="s">
        <v>2053</v>
      </c>
      <c r="D349" t="s">
        <v>2070</v>
      </c>
      <c r="E349" s="6" t="s">
        <v>3200</v>
      </c>
      <c r="F349" s="1">
        <v>44866</v>
      </c>
      <c r="G349">
        <v>136</v>
      </c>
      <c r="H349" t="s">
        <v>2047</v>
      </c>
      <c r="I349">
        <v>2</v>
      </c>
      <c r="J349" t="s">
        <v>2640</v>
      </c>
      <c r="K349" s="1">
        <v>42005</v>
      </c>
      <c r="L349">
        <v>2015</v>
      </c>
      <c r="M349" t="s">
        <v>2045</v>
      </c>
    </row>
    <row r="350" spans="1:13" x14ac:dyDescent="0.3">
      <c r="A350">
        <v>348</v>
      </c>
      <c r="B350">
        <v>455</v>
      </c>
      <c r="C350" t="s">
        <v>2053</v>
      </c>
      <c r="D350" t="s">
        <v>2070</v>
      </c>
      <c r="E350" s="6" t="s">
        <v>2349</v>
      </c>
      <c r="F350" s="1">
        <v>44621</v>
      </c>
      <c r="G350">
        <v>662</v>
      </c>
      <c r="H350" t="s">
        <v>2047</v>
      </c>
      <c r="I350">
        <v>1</v>
      </c>
      <c r="J350" t="s">
        <v>2177</v>
      </c>
      <c r="K350" s="1">
        <v>42005</v>
      </c>
      <c r="L350">
        <v>2015</v>
      </c>
      <c r="M350" t="s">
        <v>2045</v>
      </c>
    </row>
    <row r="351" spans="1:13" x14ac:dyDescent="0.3">
      <c r="A351">
        <v>349</v>
      </c>
      <c r="B351">
        <v>121</v>
      </c>
      <c r="C351" t="s">
        <v>2053</v>
      </c>
      <c r="D351" t="s">
        <v>2048</v>
      </c>
      <c r="E351" s="6" t="s">
        <v>2140</v>
      </c>
      <c r="F351" s="1">
        <v>44531</v>
      </c>
      <c r="G351">
        <v>389</v>
      </c>
      <c r="H351" t="s">
        <v>2047</v>
      </c>
      <c r="I351">
        <v>1</v>
      </c>
      <c r="J351" t="s">
        <v>2139</v>
      </c>
      <c r="K351" s="1">
        <v>42005</v>
      </c>
      <c r="L351">
        <v>2015</v>
      </c>
      <c r="M351" t="s">
        <v>2045</v>
      </c>
    </row>
    <row r="352" spans="1:13" x14ac:dyDescent="0.3">
      <c r="A352">
        <v>350</v>
      </c>
      <c r="B352">
        <v>797</v>
      </c>
      <c r="C352" t="s">
        <v>2049</v>
      </c>
      <c r="D352" t="s">
        <v>2052</v>
      </c>
      <c r="E352" s="6" t="s">
        <v>3181</v>
      </c>
      <c r="F352" s="1">
        <v>44348</v>
      </c>
      <c r="G352">
        <v>920</v>
      </c>
      <c r="H352" t="s">
        <v>2047</v>
      </c>
      <c r="I352">
        <v>1</v>
      </c>
      <c r="J352" t="s">
        <v>3180</v>
      </c>
      <c r="K352" s="1">
        <v>42005</v>
      </c>
      <c r="L352">
        <v>2015</v>
      </c>
      <c r="M352" t="s">
        <v>2045</v>
      </c>
    </row>
    <row r="353" spans="1:13" x14ac:dyDescent="0.3">
      <c r="A353">
        <v>351</v>
      </c>
      <c r="B353">
        <v>449</v>
      </c>
      <c r="C353" t="s">
        <v>2049</v>
      </c>
      <c r="D353" t="s">
        <v>2052</v>
      </c>
      <c r="E353" s="6" t="s">
        <v>2962</v>
      </c>
      <c r="F353" s="1">
        <v>44317</v>
      </c>
      <c r="G353">
        <v>994</v>
      </c>
      <c r="H353" t="s">
        <v>2047</v>
      </c>
      <c r="I353">
        <v>2</v>
      </c>
      <c r="J353" t="s">
        <v>2961</v>
      </c>
      <c r="K353" s="1">
        <v>42005</v>
      </c>
      <c r="L353">
        <v>2015</v>
      </c>
      <c r="M353" t="s">
        <v>2045</v>
      </c>
    </row>
    <row r="354" spans="1:13" x14ac:dyDescent="0.3">
      <c r="A354">
        <v>352</v>
      </c>
      <c r="B354">
        <v>1544</v>
      </c>
      <c r="C354" t="s">
        <v>2057</v>
      </c>
      <c r="D354" t="s">
        <v>2048</v>
      </c>
      <c r="E354" s="5">
        <v>391180215396039</v>
      </c>
      <c r="F354" s="1">
        <v>44593</v>
      </c>
      <c r="G354">
        <v>329</v>
      </c>
      <c r="H354" t="s">
        <v>2047</v>
      </c>
      <c r="I354">
        <v>2</v>
      </c>
      <c r="J354" t="s">
        <v>2774</v>
      </c>
      <c r="K354" s="1">
        <v>42370</v>
      </c>
      <c r="L354">
        <v>2016</v>
      </c>
      <c r="M354" t="s">
        <v>2045</v>
      </c>
    </row>
    <row r="355" spans="1:13" x14ac:dyDescent="0.3">
      <c r="A355">
        <v>353</v>
      </c>
      <c r="B355">
        <v>335</v>
      </c>
      <c r="C355" t="s">
        <v>2053</v>
      </c>
      <c r="D355" t="s">
        <v>2052</v>
      </c>
      <c r="E355" s="6" t="s">
        <v>3299</v>
      </c>
      <c r="F355" s="1">
        <v>44013</v>
      </c>
      <c r="G355">
        <v>830</v>
      </c>
      <c r="H355" t="s">
        <v>2047</v>
      </c>
      <c r="I355">
        <v>1</v>
      </c>
      <c r="J355" t="s">
        <v>3298</v>
      </c>
      <c r="K355" s="1">
        <v>42370</v>
      </c>
      <c r="L355">
        <v>2016</v>
      </c>
      <c r="M355" t="s">
        <v>2045</v>
      </c>
    </row>
    <row r="356" spans="1:13" x14ac:dyDescent="0.3">
      <c r="A356">
        <v>354</v>
      </c>
      <c r="B356">
        <v>890</v>
      </c>
      <c r="C356" t="s">
        <v>2053</v>
      </c>
      <c r="D356" t="s">
        <v>2052</v>
      </c>
      <c r="E356" s="6" t="s">
        <v>3187</v>
      </c>
      <c r="F356" s="1">
        <v>45170</v>
      </c>
      <c r="G356">
        <v>75</v>
      </c>
      <c r="H356" t="s">
        <v>2047</v>
      </c>
      <c r="I356">
        <v>1</v>
      </c>
      <c r="J356" t="s">
        <v>1359</v>
      </c>
      <c r="K356" s="1">
        <v>42370</v>
      </c>
      <c r="L356">
        <v>2016</v>
      </c>
      <c r="M356" t="s">
        <v>2045</v>
      </c>
    </row>
    <row r="357" spans="1:13" x14ac:dyDescent="0.3">
      <c r="A357">
        <v>355</v>
      </c>
      <c r="B357">
        <v>1221</v>
      </c>
      <c r="C357" t="s">
        <v>2053</v>
      </c>
      <c r="D357" t="s">
        <v>2052</v>
      </c>
      <c r="E357" s="6" t="s">
        <v>3154</v>
      </c>
      <c r="F357" s="1">
        <v>43891</v>
      </c>
      <c r="G357">
        <v>650</v>
      </c>
      <c r="H357" t="s">
        <v>2047</v>
      </c>
      <c r="I357">
        <v>1</v>
      </c>
      <c r="J357" t="s">
        <v>3153</v>
      </c>
      <c r="K357" s="1">
        <v>42370</v>
      </c>
      <c r="L357">
        <v>2016</v>
      </c>
      <c r="M357" t="s">
        <v>2045</v>
      </c>
    </row>
    <row r="358" spans="1:13" x14ac:dyDescent="0.3">
      <c r="A358">
        <v>356</v>
      </c>
      <c r="B358">
        <v>1829</v>
      </c>
      <c r="C358" t="s">
        <v>2053</v>
      </c>
      <c r="D358" t="s">
        <v>2052</v>
      </c>
      <c r="E358" s="6" t="s">
        <v>2678</v>
      </c>
      <c r="F358" s="1">
        <v>44197</v>
      </c>
      <c r="G358">
        <v>784</v>
      </c>
      <c r="H358" t="s">
        <v>2055</v>
      </c>
      <c r="I358">
        <v>1</v>
      </c>
      <c r="J358" t="s">
        <v>2677</v>
      </c>
      <c r="K358" s="1">
        <v>42370</v>
      </c>
      <c r="L358">
        <v>2016</v>
      </c>
      <c r="M358" t="s">
        <v>2045</v>
      </c>
    </row>
    <row r="359" spans="1:13" x14ac:dyDescent="0.3">
      <c r="A359">
        <v>357</v>
      </c>
      <c r="B359">
        <v>1730</v>
      </c>
      <c r="C359" t="s">
        <v>2053</v>
      </c>
      <c r="D359" t="s">
        <v>2052</v>
      </c>
      <c r="E359" s="6" t="s">
        <v>2591</v>
      </c>
      <c r="F359" s="1">
        <v>44228</v>
      </c>
      <c r="G359">
        <v>271</v>
      </c>
      <c r="H359" t="s">
        <v>2047</v>
      </c>
      <c r="I359">
        <v>1</v>
      </c>
      <c r="J359" t="s">
        <v>2590</v>
      </c>
      <c r="K359" s="1">
        <v>42370</v>
      </c>
      <c r="L359">
        <v>2016</v>
      </c>
      <c r="M359" t="s">
        <v>2045</v>
      </c>
    </row>
    <row r="360" spans="1:13" x14ac:dyDescent="0.3">
      <c r="A360">
        <v>358</v>
      </c>
      <c r="B360">
        <v>259</v>
      </c>
      <c r="C360" t="s">
        <v>2049</v>
      </c>
      <c r="D360" t="s">
        <v>2052</v>
      </c>
      <c r="E360" s="6" t="s">
        <v>2720</v>
      </c>
      <c r="F360" s="1">
        <v>45047</v>
      </c>
      <c r="G360">
        <v>694</v>
      </c>
      <c r="H360" t="s">
        <v>2047</v>
      </c>
      <c r="I360">
        <v>1</v>
      </c>
      <c r="J360" t="s">
        <v>2719</v>
      </c>
      <c r="K360" s="1">
        <v>42370</v>
      </c>
      <c r="L360">
        <v>2016</v>
      </c>
      <c r="M360" t="s">
        <v>2045</v>
      </c>
    </row>
    <row r="361" spans="1:13" x14ac:dyDescent="0.3">
      <c r="A361">
        <v>359</v>
      </c>
      <c r="B361">
        <v>1881</v>
      </c>
      <c r="C361" t="s">
        <v>2049</v>
      </c>
      <c r="D361" t="s">
        <v>2052</v>
      </c>
      <c r="E361" s="6" t="s">
        <v>2670</v>
      </c>
      <c r="F361" s="1">
        <v>44256</v>
      </c>
      <c r="G361">
        <v>249</v>
      </c>
      <c r="H361" t="s">
        <v>2047</v>
      </c>
      <c r="I361">
        <v>2</v>
      </c>
      <c r="J361" t="s">
        <v>2669</v>
      </c>
      <c r="K361" s="1">
        <v>42370</v>
      </c>
      <c r="L361">
        <v>2016</v>
      </c>
      <c r="M361" t="s">
        <v>2045</v>
      </c>
    </row>
    <row r="362" spans="1:13" x14ac:dyDescent="0.3">
      <c r="A362">
        <v>360</v>
      </c>
      <c r="B362">
        <v>1662</v>
      </c>
      <c r="C362" t="s">
        <v>2053</v>
      </c>
      <c r="D362" t="s">
        <v>2052</v>
      </c>
      <c r="E362" s="6" t="s">
        <v>2997</v>
      </c>
      <c r="F362" s="1">
        <v>44197</v>
      </c>
      <c r="G362">
        <v>702</v>
      </c>
      <c r="H362" t="s">
        <v>2047</v>
      </c>
      <c r="I362">
        <v>1</v>
      </c>
      <c r="J362" t="s">
        <v>1225</v>
      </c>
      <c r="K362" s="1">
        <v>42736</v>
      </c>
      <c r="L362">
        <v>2017</v>
      </c>
      <c r="M362" t="s">
        <v>2045</v>
      </c>
    </row>
    <row r="363" spans="1:13" x14ac:dyDescent="0.3">
      <c r="A363">
        <v>361</v>
      </c>
      <c r="B363">
        <v>96</v>
      </c>
      <c r="C363" t="s">
        <v>2049</v>
      </c>
      <c r="D363" t="s">
        <v>2048</v>
      </c>
      <c r="E363" s="6" t="s">
        <v>2904</v>
      </c>
      <c r="F363" s="1">
        <v>44105</v>
      </c>
      <c r="G363">
        <v>370</v>
      </c>
      <c r="H363" t="s">
        <v>2047</v>
      </c>
      <c r="I363">
        <v>2</v>
      </c>
      <c r="J363" t="s">
        <v>2903</v>
      </c>
      <c r="K363" s="1">
        <v>42736</v>
      </c>
      <c r="L363">
        <v>2017</v>
      </c>
      <c r="M363" t="s">
        <v>2045</v>
      </c>
    </row>
    <row r="364" spans="1:13" x14ac:dyDescent="0.3">
      <c r="A364">
        <v>362</v>
      </c>
      <c r="B364">
        <v>1118</v>
      </c>
      <c r="C364" t="s">
        <v>2049</v>
      </c>
      <c r="D364" t="s">
        <v>2048</v>
      </c>
      <c r="E364" s="6" t="s">
        <v>2566</v>
      </c>
      <c r="F364" s="1">
        <v>45078</v>
      </c>
      <c r="G364">
        <v>461</v>
      </c>
      <c r="H364" t="s">
        <v>2047</v>
      </c>
      <c r="I364">
        <v>1</v>
      </c>
      <c r="J364" t="s">
        <v>2161</v>
      </c>
      <c r="K364" s="1">
        <v>42736</v>
      </c>
      <c r="L364">
        <v>2017</v>
      </c>
      <c r="M364" t="s">
        <v>2045</v>
      </c>
    </row>
    <row r="365" spans="1:13" x14ac:dyDescent="0.3">
      <c r="A365">
        <v>363</v>
      </c>
      <c r="B365">
        <v>1717</v>
      </c>
      <c r="C365" t="s">
        <v>2049</v>
      </c>
      <c r="D365" t="s">
        <v>2052</v>
      </c>
      <c r="E365" s="6" t="s">
        <v>2401</v>
      </c>
      <c r="F365" s="1">
        <v>43862</v>
      </c>
      <c r="G365">
        <v>194</v>
      </c>
      <c r="H365" t="s">
        <v>2047</v>
      </c>
      <c r="I365">
        <v>1</v>
      </c>
      <c r="J365" t="s">
        <v>2400</v>
      </c>
      <c r="K365" s="1">
        <v>42736</v>
      </c>
      <c r="L365">
        <v>2017</v>
      </c>
      <c r="M365" t="s">
        <v>2045</v>
      </c>
    </row>
    <row r="366" spans="1:13" x14ac:dyDescent="0.3">
      <c r="A366">
        <v>364</v>
      </c>
      <c r="B366">
        <v>1282</v>
      </c>
      <c r="C366" t="s">
        <v>2049</v>
      </c>
      <c r="D366" t="s">
        <v>2052</v>
      </c>
      <c r="E366" s="6" t="s">
        <v>2336</v>
      </c>
      <c r="F366" s="1">
        <v>45231</v>
      </c>
      <c r="G366">
        <v>109</v>
      </c>
      <c r="H366" t="s">
        <v>2047</v>
      </c>
      <c r="I366">
        <v>1</v>
      </c>
      <c r="J366" t="s">
        <v>2335</v>
      </c>
      <c r="K366" s="1">
        <v>42736</v>
      </c>
      <c r="L366">
        <v>2017</v>
      </c>
      <c r="M366" t="s">
        <v>2045</v>
      </c>
    </row>
    <row r="367" spans="1:13" x14ac:dyDescent="0.3">
      <c r="A367">
        <v>365</v>
      </c>
      <c r="B367">
        <v>701</v>
      </c>
      <c r="C367" t="s">
        <v>2057</v>
      </c>
      <c r="D367" t="s">
        <v>2048</v>
      </c>
      <c r="E367" s="5">
        <v>302701760602871</v>
      </c>
      <c r="F367" s="1">
        <v>43709</v>
      </c>
      <c r="G367">
        <v>163</v>
      </c>
      <c r="H367" t="s">
        <v>2055</v>
      </c>
      <c r="I367">
        <v>2</v>
      </c>
      <c r="J367" t="s">
        <v>2572</v>
      </c>
      <c r="K367" s="1">
        <v>43101</v>
      </c>
      <c r="L367">
        <v>2018</v>
      </c>
      <c r="M367" t="s">
        <v>2045</v>
      </c>
    </row>
    <row r="368" spans="1:13" x14ac:dyDescent="0.3">
      <c r="A368">
        <v>366</v>
      </c>
      <c r="B368">
        <v>878</v>
      </c>
      <c r="C368" t="s">
        <v>2057</v>
      </c>
      <c r="D368" t="s">
        <v>2048</v>
      </c>
      <c r="E368" s="5">
        <v>314664594016772</v>
      </c>
      <c r="F368" s="1">
        <v>45047</v>
      </c>
      <c r="G368">
        <v>957</v>
      </c>
      <c r="H368" t="s">
        <v>2047</v>
      </c>
      <c r="I368">
        <v>2</v>
      </c>
      <c r="J368" t="s">
        <v>433</v>
      </c>
      <c r="K368" s="1">
        <v>43101</v>
      </c>
      <c r="L368">
        <v>2018</v>
      </c>
      <c r="M368" t="s">
        <v>2045</v>
      </c>
    </row>
    <row r="369" spans="1:13" x14ac:dyDescent="0.3">
      <c r="A369">
        <v>367</v>
      </c>
      <c r="B369">
        <v>1789</v>
      </c>
      <c r="C369" t="s">
        <v>2053</v>
      </c>
      <c r="D369" t="s">
        <v>2052</v>
      </c>
      <c r="E369" s="6" t="s">
        <v>3401</v>
      </c>
      <c r="F369" s="1">
        <v>45352</v>
      </c>
      <c r="G369">
        <v>832</v>
      </c>
      <c r="H369" t="s">
        <v>2047</v>
      </c>
      <c r="I369">
        <v>1</v>
      </c>
      <c r="J369" t="s">
        <v>3400</v>
      </c>
      <c r="K369" s="1">
        <v>43101</v>
      </c>
      <c r="L369">
        <v>2018</v>
      </c>
      <c r="M369" t="s">
        <v>2045</v>
      </c>
    </row>
    <row r="370" spans="1:13" x14ac:dyDescent="0.3">
      <c r="A370">
        <v>368</v>
      </c>
      <c r="B370">
        <v>1522</v>
      </c>
      <c r="C370" t="s">
        <v>2053</v>
      </c>
      <c r="D370" t="s">
        <v>2048</v>
      </c>
      <c r="E370" s="6" t="s">
        <v>3341</v>
      </c>
      <c r="F370" s="1">
        <v>43862</v>
      </c>
      <c r="G370">
        <v>101</v>
      </c>
      <c r="H370" t="s">
        <v>2047</v>
      </c>
      <c r="I370">
        <v>2</v>
      </c>
      <c r="J370" t="s">
        <v>2269</v>
      </c>
      <c r="K370" s="1">
        <v>43101</v>
      </c>
      <c r="L370">
        <v>2018</v>
      </c>
      <c r="M370" t="s">
        <v>2045</v>
      </c>
    </row>
    <row r="371" spans="1:13" x14ac:dyDescent="0.3">
      <c r="A371">
        <v>369</v>
      </c>
      <c r="B371">
        <v>575</v>
      </c>
      <c r="C371" t="s">
        <v>2053</v>
      </c>
      <c r="D371" t="s">
        <v>2052</v>
      </c>
      <c r="E371" s="6" t="s">
        <v>3302</v>
      </c>
      <c r="F371" s="1">
        <v>43344</v>
      </c>
      <c r="G371">
        <v>764</v>
      </c>
      <c r="H371" t="s">
        <v>2047</v>
      </c>
      <c r="I371">
        <v>1</v>
      </c>
      <c r="J371" t="s">
        <v>3301</v>
      </c>
      <c r="K371" s="1">
        <v>43101</v>
      </c>
      <c r="L371">
        <v>2018</v>
      </c>
      <c r="M371" t="s">
        <v>2045</v>
      </c>
    </row>
    <row r="372" spans="1:13" x14ac:dyDescent="0.3">
      <c r="A372">
        <v>370</v>
      </c>
      <c r="B372">
        <v>1809</v>
      </c>
      <c r="C372" t="s">
        <v>2053</v>
      </c>
      <c r="D372" t="s">
        <v>2070</v>
      </c>
      <c r="E372" s="6" t="s">
        <v>3251</v>
      </c>
      <c r="F372" s="1">
        <v>43466</v>
      </c>
      <c r="G372">
        <v>842</v>
      </c>
      <c r="H372" t="s">
        <v>2047</v>
      </c>
      <c r="I372">
        <v>1</v>
      </c>
      <c r="J372" t="s">
        <v>2613</v>
      </c>
      <c r="K372" s="1">
        <v>43101</v>
      </c>
      <c r="L372">
        <v>2018</v>
      </c>
      <c r="M372" t="s">
        <v>2045</v>
      </c>
    </row>
    <row r="373" spans="1:13" x14ac:dyDescent="0.3">
      <c r="A373">
        <v>371</v>
      </c>
      <c r="B373">
        <v>368</v>
      </c>
      <c r="C373" t="s">
        <v>2053</v>
      </c>
      <c r="D373" t="s">
        <v>2052</v>
      </c>
      <c r="E373" s="6" t="s">
        <v>2951</v>
      </c>
      <c r="F373" s="1">
        <v>43862</v>
      </c>
      <c r="G373">
        <v>831</v>
      </c>
      <c r="H373" t="s">
        <v>2047</v>
      </c>
      <c r="I373">
        <v>2</v>
      </c>
      <c r="J373" t="s">
        <v>2950</v>
      </c>
      <c r="K373" s="1">
        <v>43101</v>
      </c>
      <c r="L373">
        <v>2018</v>
      </c>
      <c r="M373" t="s">
        <v>2045</v>
      </c>
    </row>
    <row r="374" spans="1:13" x14ac:dyDescent="0.3">
      <c r="A374">
        <v>372</v>
      </c>
      <c r="B374">
        <v>944</v>
      </c>
      <c r="C374" t="s">
        <v>2053</v>
      </c>
      <c r="D374" t="s">
        <v>2052</v>
      </c>
      <c r="E374" s="6" t="s">
        <v>2852</v>
      </c>
      <c r="F374" s="1">
        <v>43952</v>
      </c>
      <c r="G374">
        <v>134</v>
      </c>
      <c r="H374" t="s">
        <v>2047</v>
      </c>
      <c r="I374">
        <v>2</v>
      </c>
      <c r="J374" t="s">
        <v>2851</v>
      </c>
      <c r="K374" s="1">
        <v>43101</v>
      </c>
      <c r="L374">
        <v>2018</v>
      </c>
      <c r="M374" t="s">
        <v>2045</v>
      </c>
    </row>
    <row r="375" spans="1:13" x14ac:dyDescent="0.3">
      <c r="A375">
        <v>373</v>
      </c>
      <c r="B375">
        <v>987</v>
      </c>
      <c r="C375" t="s">
        <v>2053</v>
      </c>
      <c r="D375" t="s">
        <v>2052</v>
      </c>
      <c r="E375" s="6" t="s">
        <v>2456</v>
      </c>
      <c r="F375" s="1">
        <v>44409</v>
      </c>
      <c r="G375">
        <v>420</v>
      </c>
      <c r="H375" t="s">
        <v>2047</v>
      </c>
      <c r="I375">
        <v>1</v>
      </c>
      <c r="J375" t="s">
        <v>2455</v>
      </c>
      <c r="K375" s="1">
        <v>43101</v>
      </c>
      <c r="L375">
        <v>2018</v>
      </c>
      <c r="M375" t="s">
        <v>2045</v>
      </c>
    </row>
    <row r="376" spans="1:13" x14ac:dyDescent="0.3">
      <c r="A376">
        <v>374</v>
      </c>
      <c r="B376">
        <v>1115</v>
      </c>
      <c r="C376" t="s">
        <v>2049</v>
      </c>
      <c r="D376" t="s">
        <v>2052</v>
      </c>
      <c r="E376" s="6" t="s">
        <v>3603</v>
      </c>
      <c r="F376" s="1">
        <v>44958</v>
      </c>
      <c r="G376">
        <v>579</v>
      </c>
      <c r="H376" t="s">
        <v>2047</v>
      </c>
      <c r="I376">
        <v>1</v>
      </c>
      <c r="J376" t="s">
        <v>3602</v>
      </c>
      <c r="K376" s="1">
        <v>43101</v>
      </c>
      <c r="L376">
        <v>2018</v>
      </c>
      <c r="M376" t="s">
        <v>2045</v>
      </c>
    </row>
    <row r="377" spans="1:13" x14ac:dyDescent="0.3">
      <c r="A377">
        <v>375</v>
      </c>
      <c r="B377">
        <v>1769</v>
      </c>
      <c r="C377" t="s">
        <v>2049</v>
      </c>
      <c r="D377" t="s">
        <v>2048</v>
      </c>
      <c r="E377" s="6" t="s">
        <v>3587</v>
      </c>
      <c r="F377" s="1">
        <v>45200</v>
      </c>
      <c r="G377">
        <v>598</v>
      </c>
      <c r="H377" t="s">
        <v>2047</v>
      </c>
      <c r="I377">
        <v>2</v>
      </c>
      <c r="J377" t="s">
        <v>2229</v>
      </c>
      <c r="K377" s="1">
        <v>43101</v>
      </c>
      <c r="L377">
        <v>2018</v>
      </c>
      <c r="M377" t="s">
        <v>2045</v>
      </c>
    </row>
    <row r="378" spans="1:13" x14ac:dyDescent="0.3">
      <c r="A378">
        <v>376</v>
      </c>
      <c r="B378">
        <v>20</v>
      </c>
      <c r="C378" t="s">
        <v>2049</v>
      </c>
      <c r="D378" t="s">
        <v>2048</v>
      </c>
      <c r="E378" s="6" t="s">
        <v>2752</v>
      </c>
      <c r="F378" s="1">
        <v>44593</v>
      </c>
      <c r="G378">
        <v>213</v>
      </c>
      <c r="H378" t="s">
        <v>2047</v>
      </c>
      <c r="I378">
        <v>1</v>
      </c>
      <c r="J378" t="s">
        <v>2278</v>
      </c>
      <c r="K378" s="1">
        <v>43101</v>
      </c>
      <c r="L378">
        <v>2018</v>
      </c>
      <c r="M378" t="s">
        <v>2045</v>
      </c>
    </row>
    <row r="379" spans="1:13" x14ac:dyDescent="0.3">
      <c r="A379">
        <v>377</v>
      </c>
      <c r="B379">
        <v>1759</v>
      </c>
      <c r="C379" t="s">
        <v>2049</v>
      </c>
      <c r="D379" t="s">
        <v>2052</v>
      </c>
      <c r="E379" s="6" t="s">
        <v>2595</v>
      </c>
      <c r="F379" s="1">
        <v>45078</v>
      </c>
      <c r="G379">
        <v>343</v>
      </c>
      <c r="H379" t="s">
        <v>2047</v>
      </c>
      <c r="I379">
        <v>2</v>
      </c>
      <c r="J379" t="s">
        <v>2594</v>
      </c>
      <c r="K379" s="1">
        <v>43101</v>
      </c>
      <c r="L379">
        <v>2018</v>
      </c>
      <c r="M379" t="s">
        <v>2045</v>
      </c>
    </row>
    <row r="380" spans="1:13" x14ac:dyDescent="0.3">
      <c r="A380">
        <v>378</v>
      </c>
      <c r="B380">
        <v>1301</v>
      </c>
      <c r="C380" t="s">
        <v>2053</v>
      </c>
      <c r="D380" t="s">
        <v>2052</v>
      </c>
      <c r="E380" s="6" t="s">
        <v>3625</v>
      </c>
      <c r="F380" s="1">
        <v>44409</v>
      </c>
      <c r="G380">
        <v>627</v>
      </c>
      <c r="H380" t="s">
        <v>2047</v>
      </c>
      <c r="I380">
        <v>2</v>
      </c>
      <c r="J380" t="s">
        <v>3624</v>
      </c>
      <c r="K380" s="1">
        <v>43466</v>
      </c>
      <c r="L380">
        <v>2019</v>
      </c>
      <c r="M380" t="s">
        <v>2045</v>
      </c>
    </row>
    <row r="381" spans="1:13" x14ac:dyDescent="0.3">
      <c r="A381">
        <v>379</v>
      </c>
      <c r="B381">
        <v>119</v>
      </c>
      <c r="C381" t="s">
        <v>2053</v>
      </c>
      <c r="D381" t="s">
        <v>2052</v>
      </c>
      <c r="E381" s="6" t="s">
        <v>3492</v>
      </c>
      <c r="F381" s="1">
        <v>44075</v>
      </c>
      <c r="G381">
        <v>400</v>
      </c>
      <c r="H381" t="s">
        <v>2055</v>
      </c>
      <c r="I381">
        <v>2</v>
      </c>
      <c r="J381" t="s">
        <v>3491</v>
      </c>
      <c r="K381" s="1">
        <v>43466</v>
      </c>
      <c r="L381">
        <v>2019</v>
      </c>
      <c r="M381" t="s">
        <v>2045</v>
      </c>
    </row>
    <row r="382" spans="1:13" x14ac:dyDescent="0.3">
      <c r="A382">
        <v>380</v>
      </c>
      <c r="B382">
        <v>1576</v>
      </c>
      <c r="C382" t="s">
        <v>2053</v>
      </c>
      <c r="D382" t="s">
        <v>2052</v>
      </c>
      <c r="E382" s="6" t="s">
        <v>3485</v>
      </c>
      <c r="F382" s="1">
        <v>45505</v>
      </c>
      <c r="G382">
        <v>601</v>
      </c>
      <c r="H382" t="s">
        <v>2047</v>
      </c>
      <c r="I382">
        <v>2</v>
      </c>
      <c r="J382" t="s">
        <v>2376</v>
      </c>
      <c r="K382" s="1">
        <v>43466</v>
      </c>
      <c r="L382">
        <v>2019</v>
      </c>
      <c r="M382" t="s">
        <v>2045</v>
      </c>
    </row>
    <row r="383" spans="1:13" x14ac:dyDescent="0.3">
      <c r="A383">
        <v>381</v>
      </c>
      <c r="B383">
        <v>1635</v>
      </c>
      <c r="C383" t="s">
        <v>2053</v>
      </c>
      <c r="D383" t="s">
        <v>2052</v>
      </c>
      <c r="E383" s="6" t="s">
        <v>2870</v>
      </c>
      <c r="F383" s="1">
        <v>45017</v>
      </c>
      <c r="G383">
        <v>587</v>
      </c>
      <c r="H383" t="s">
        <v>2047</v>
      </c>
      <c r="I383">
        <v>1</v>
      </c>
      <c r="J383" t="s">
        <v>2869</v>
      </c>
      <c r="K383" s="1">
        <v>43466</v>
      </c>
      <c r="L383">
        <v>2019</v>
      </c>
      <c r="M383" t="s">
        <v>2045</v>
      </c>
    </row>
    <row r="384" spans="1:13" x14ac:dyDescent="0.3">
      <c r="A384">
        <v>382</v>
      </c>
      <c r="B384">
        <v>1008</v>
      </c>
      <c r="C384" t="s">
        <v>2053</v>
      </c>
      <c r="D384" t="s">
        <v>2052</v>
      </c>
      <c r="E384" s="6" t="s">
        <v>2532</v>
      </c>
      <c r="F384" s="1">
        <v>45627</v>
      </c>
      <c r="G384">
        <v>88</v>
      </c>
      <c r="H384" t="s">
        <v>2047</v>
      </c>
      <c r="I384">
        <v>2</v>
      </c>
      <c r="J384" t="s">
        <v>2531</v>
      </c>
      <c r="K384" s="1">
        <v>43466</v>
      </c>
      <c r="L384">
        <v>2019</v>
      </c>
      <c r="M384" t="s">
        <v>2045</v>
      </c>
    </row>
    <row r="385" spans="1:13" x14ac:dyDescent="0.3">
      <c r="A385">
        <v>383</v>
      </c>
      <c r="B385">
        <v>1178</v>
      </c>
      <c r="C385" t="s">
        <v>2049</v>
      </c>
      <c r="D385" t="s">
        <v>2052</v>
      </c>
      <c r="E385" s="6" t="s">
        <v>3667</v>
      </c>
      <c r="F385" s="1">
        <v>44562</v>
      </c>
      <c r="G385">
        <v>279</v>
      </c>
      <c r="H385" t="s">
        <v>2047</v>
      </c>
      <c r="I385">
        <v>2</v>
      </c>
      <c r="J385" t="s">
        <v>3666</v>
      </c>
      <c r="K385" s="1">
        <v>43466</v>
      </c>
      <c r="L385">
        <v>2019</v>
      </c>
      <c r="M385" t="s">
        <v>2045</v>
      </c>
    </row>
    <row r="386" spans="1:13" x14ac:dyDescent="0.3">
      <c r="A386">
        <v>384</v>
      </c>
      <c r="B386">
        <v>1223</v>
      </c>
      <c r="C386" t="s">
        <v>2049</v>
      </c>
      <c r="D386" t="s">
        <v>2052</v>
      </c>
      <c r="E386" s="6" t="s">
        <v>3304</v>
      </c>
      <c r="F386" s="1">
        <v>45323</v>
      </c>
      <c r="G386">
        <v>741</v>
      </c>
      <c r="H386" t="s">
        <v>2047</v>
      </c>
      <c r="I386">
        <v>2</v>
      </c>
      <c r="J386" t="s">
        <v>3303</v>
      </c>
      <c r="K386" s="1">
        <v>43466</v>
      </c>
      <c r="L386">
        <v>2019</v>
      </c>
      <c r="M386" t="s">
        <v>2045</v>
      </c>
    </row>
    <row r="387" spans="1:13" x14ac:dyDescent="0.3">
      <c r="A387">
        <v>385</v>
      </c>
      <c r="B387">
        <v>207</v>
      </c>
      <c r="C387" t="s">
        <v>2049</v>
      </c>
      <c r="D387" t="s">
        <v>2048</v>
      </c>
      <c r="E387" s="6" t="s">
        <v>3199</v>
      </c>
      <c r="F387" s="1">
        <v>44805</v>
      </c>
      <c r="G387">
        <v>929</v>
      </c>
      <c r="H387" t="s">
        <v>2047</v>
      </c>
      <c r="I387">
        <v>1</v>
      </c>
      <c r="J387" t="s">
        <v>2474</v>
      </c>
      <c r="K387" s="1">
        <v>43466</v>
      </c>
      <c r="L387">
        <v>2019</v>
      </c>
      <c r="M387" t="s">
        <v>2045</v>
      </c>
    </row>
    <row r="388" spans="1:13" x14ac:dyDescent="0.3">
      <c r="A388">
        <v>386</v>
      </c>
      <c r="B388">
        <v>1229</v>
      </c>
      <c r="C388" t="s">
        <v>2049</v>
      </c>
      <c r="D388" t="s">
        <v>2052</v>
      </c>
      <c r="E388" s="6" t="s">
        <v>3094</v>
      </c>
      <c r="F388" s="1">
        <v>43891</v>
      </c>
      <c r="G388">
        <v>509</v>
      </c>
      <c r="H388" t="s">
        <v>2055</v>
      </c>
      <c r="I388">
        <v>1</v>
      </c>
      <c r="J388" t="s">
        <v>3093</v>
      </c>
      <c r="K388" s="1">
        <v>43466</v>
      </c>
      <c r="L388">
        <v>2019</v>
      </c>
      <c r="M388" t="s">
        <v>2045</v>
      </c>
    </row>
    <row r="389" spans="1:13" x14ac:dyDescent="0.3">
      <c r="A389">
        <v>387</v>
      </c>
      <c r="B389">
        <v>811</v>
      </c>
      <c r="C389" t="s">
        <v>2057</v>
      </c>
      <c r="D389" t="s">
        <v>2048</v>
      </c>
      <c r="E389" s="5">
        <v>399966116933253</v>
      </c>
      <c r="F389" s="1">
        <v>45292</v>
      </c>
      <c r="G389">
        <v>343</v>
      </c>
      <c r="H389" t="s">
        <v>2047</v>
      </c>
      <c r="I389">
        <v>1</v>
      </c>
      <c r="J389" t="s">
        <v>105</v>
      </c>
      <c r="K389" s="1">
        <v>43831</v>
      </c>
      <c r="L389">
        <v>2020</v>
      </c>
      <c r="M389" t="s">
        <v>2045</v>
      </c>
    </row>
    <row r="390" spans="1:13" x14ac:dyDescent="0.3">
      <c r="A390">
        <v>388</v>
      </c>
      <c r="B390">
        <v>1134</v>
      </c>
      <c r="C390" t="s">
        <v>2057</v>
      </c>
      <c r="D390" t="s">
        <v>2048</v>
      </c>
      <c r="E390" s="5">
        <v>324640473359364</v>
      </c>
      <c r="F390" s="1">
        <v>45352</v>
      </c>
      <c r="G390">
        <v>659</v>
      </c>
      <c r="H390" t="s">
        <v>2047</v>
      </c>
      <c r="I390">
        <v>2</v>
      </c>
      <c r="J390" t="s">
        <v>2104</v>
      </c>
      <c r="K390" s="1">
        <v>43831</v>
      </c>
      <c r="L390">
        <v>2020</v>
      </c>
      <c r="M390" t="s">
        <v>2045</v>
      </c>
    </row>
    <row r="391" spans="1:13" x14ac:dyDescent="0.3">
      <c r="A391">
        <v>389</v>
      </c>
      <c r="B391">
        <v>749</v>
      </c>
      <c r="C391" t="s">
        <v>2057</v>
      </c>
      <c r="D391" t="s">
        <v>2048</v>
      </c>
      <c r="E391" s="5">
        <v>363305614201313</v>
      </c>
      <c r="F391" s="1">
        <v>45170</v>
      </c>
      <c r="G391">
        <v>943</v>
      </c>
      <c r="H391" t="s">
        <v>2055</v>
      </c>
      <c r="I391">
        <v>1</v>
      </c>
      <c r="J391" t="s">
        <v>2096</v>
      </c>
      <c r="K391" s="1">
        <v>43831</v>
      </c>
      <c r="L391">
        <v>2020</v>
      </c>
      <c r="M391" t="s">
        <v>2045</v>
      </c>
    </row>
    <row r="392" spans="1:13" x14ac:dyDescent="0.3">
      <c r="A392">
        <v>390</v>
      </c>
      <c r="B392">
        <v>1301</v>
      </c>
      <c r="C392" t="s">
        <v>2057</v>
      </c>
      <c r="D392" t="s">
        <v>2048</v>
      </c>
      <c r="E392" s="5">
        <v>308100975355379</v>
      </c>
      <c r="F392" s="1">
        <v>45383</v>
      </c>
      <c r="G392">
        <v>881</v>
      </c>
      <c r="H392" t="s">
        <v>2047</v>
      </c>
      <c r="I392">
        <v>1</v>
      </c>
      <c r="J392" t="s">
        <v>1527</v>
      </c>
      <c r="K392" s="1">
        <v>43831</v>
      </c>
      <c r="L392">
        <v>2020</v>
      </c>
      <c r="M392" t="s">
        <v>2045</v>
      </c>
    </row>
    <row r="393" spans="1:13" x14ac:dyDescent="0.3">
      <c r="A393">
        <v>391</v>
      </c>
      <c r="B393">
        <v>66</v>
      </c>
      <c r="C393" t="s">
        <v>2057</v>
      </c>
      <c r="D393" t="s">
        <v>2048</v>
      </c>
      <c r="E393" s="5">
        <v>306900138857551</v>
      </c>
      <c r="F393" s="1">
        <v>43983</v>
      </c>
      <c r="G393">
        <v>741</v>
      </c>
      <c r="H393" t="s">
        <v>2047</v>
      </c>
      <c r="I393">
        <v>1</v>
      </c>
      <c r="J393" t="s">
        <v>2142</v>
      </c>
      <c r="K393" s="1">
        <v>43831</v>
      </c>
      <c r="L393">
        <v>2020</v>
      </c>
      <c r="M393" t="s">
        <v>2045</v>
      </c>
    </row>
    <row r="394" spans="1:13" x14ac:dyDescent="0.3">
      <c r="A394">
        <v>392</v>
      </c>
      <c r="B394">
        <v>1133</v>
      </c>
      <c r="C394" t="s">
        <v>2057</v>
      </c>
      <c r="D394" t="s">
        <v>2048</v>
      </c>
      <c r="E394" s="5">
        <v>364782097416183</v>
      </c>
      <c r="F394" s="1">
        <v>45536</v>
      </c>
      <c r="G394">
        <v>787</v>
      </c>
      <c r="H394" t="s">
        <v>2047</v>
      </c>
      <c r="I394">
        <v>2</v>
      </c>
      <c r="J394" t="s">
        <v>2449</v>
      </c>
      <c r="K394" s="1">
        <v>43831</v>
      </c>
      <c r="L394">
        <v>2020</v>
      </c>
      <c r="M394" t="s">
        <v>2045</v>
      </c>
    </row>
    <row r="395" spans="1:13" x14ac:dyDescent="0.3">
      <c r="A395">
        <v>393</v>
      </c>
      <c r="B395">
        <v>423</v>
      </c>
      <c r="C395" t="s">
        <v>2057</v>
      </c>
      <c r="D395" t="s">
        <v>2048</v>
      </c>
      <c r="E395" s="5">
        <v>380507615759333</v>
      </c>
      <c r="F395" s="1">
        <v>44378</v>
      </c>
      <c r="G395">
        <v>194</v>
      </c>
      <c r="H395" t="s">
        <v>2047</v>
      </c>
      <c r="I395">
        <v>1</v>
      </c>
      <c r="J395" t="s">
        <v>2079</v>
      </c>
      <c r="K395" s="1">
        <v>43831</v>
      </c>
      <c r="L395">
        <v>2020</v>
      </c>
      <c r="M395" t="s">
        <v>2045</v>
      </c>
    </row>
    <row r="396" spans="1:13" x14ac:dyDescent="0.3">
      <c r="A396">
        <v>394</v>
      </c>
      <c r="B396">
        <v>1149</v>
      </c>
      <c r="C396" t="s">
        <v>2057</v>
      </c>
      <c r="D396" t="s">
        <v>2048</v>
      </c>
      <c r="E396" s="5">
        <v>325863166103877</v>
      </c>
      <c r="F396" s="1">
        <v>43831</v>
      </c>
      <c r="G396">
        <v>936</v>
      </c>
      <c r="H396" t="s">
        <v>2047</v>
      </c>
      <c r="I396">
        <v>2</v>
      </c>
      <c r="J396" t="s">
        <v>2765</v>
      </c>
      <c r="K396" s="1">
        <v>43831</v>
      </c>
      <c r="L396">
        <v>2020</v>
      </c>
      <c r="M396" t="s">
        <v>2045</v>
      </c>
    </row>
    <row r="397" spans="1:13" x14ac:dyDescent="0.3">
      <c r="A397">
        <v>395</v>
      </c>
      <c r="B397">
        <v>829</v>
      </c>
      <c r="C397" t="s">
        <v>2057</v>
      </c>
      <c r="D397" t="s">
        <v>2048</v>
      </c>
      <c r="E397" s="5">
        <v>336470004427582</v>
      </c>
      <c r="F397" s="1">
        <v>44652</v>
      </c>
      <c r="G397">
        <v>487</v>
      </c>
      <c r="H397" t="s">
        <v>2047</v>
      </c>
      <c r="I397">
        <v>1</v>
      </c>
      <c r="J397" t="s">
        <v>2092</v>
      </c>
      <c r="K397" s="1">
        <v>43831</v>
      </c>
      <c r="L397">
        <v>2020</v>
      </c>
      <c r="M397" t="s">
        <v>2045</v>
      </c>
    </row>
    <row r="398" spans="1:13" x14ac:dyDescent="0.3">
      <c r="A398">
        <v>396</v>
      </c>
      <c r="B398">
        <v>1111</v>
      </c>
      <c r="C398" t="s">
        <v>2057</v>
      </c>
      <c r="D398" t="s">
        <v>2048</v>
      </c>
      <c r="E398" s="5">
        <v>396462574931667</v>
      </c>
      <c r="F398" s="1">
        <v>44197</v>
      </c>
      <c r="G398">
        <v>620</v>
      </c>
      <c r="H398" t="s">
        <v>2047</v>
      </c>
      <c r="I398">
        <v>2</v>
      </c>
      <c r="J398" t="s">
        <v>2203</v>
      </c>
      <c r="K398" s="1">
        <v>43831</v>
      </c>
      <c r="L398">
        <v>2020</v>
      </c>
      <c r="M398" t="s">
        <v>2045</v>
      </c>
    </row>
    <row r="399" spans="1:13" x14ac:dyDescent="0.3">
      <c r="A399">
        <v>397</v>
      </c>
      <c r="B399">
        <v>63</v>
      </c>
      <c r="C399" t="s">
        <v>2057</v>
      </c>
      <c r="D399" t="s">
        <v>2048</v>
      </c>
      <c r="E399" s="5">
        <v>356226851008135</v>
      </c>
      <c r="F399" s="1">
        <v>43831</v>
      </c>
      <c r="G399">
        <v>792</v>
      </c>
      <c r="H399" t="s">
        <v>2055</v>
      </c>
      <c r="I399">
        <v>1</v>
      </c>
      <c r="J399" t="s">
        <v>2306</v>
      </c>
      <c r="K399" s="1">
        <v>43831</v>
      </c>
      <c r="L399">
        <v>2020</v>
      </c>
      <c r="M399" t="s">
        <v>2045</v>
      </c>
    </row>
    <row r="400" spans="1:13" x14ac:dyDescent="0.3">
      <c r="A400">
        <v>398</v>
      </c>
      <c r="B400">
        <v>610</v>
      </c>
      <c r="C400" t="s">
        <v>2057</v>
      </c>
      <c r="D400" t="s">
        <v>2048</v>
      </c>
      <c r="E400" s="5">
        <v>394664650626942</v>
      </c>
      <c r="F400" s="1">
        <v>43831</v>
      </c>
      <c r="G400">
        <v>643</v>
      </c>
      <c r="H400" t="s">
        <v>2047</v>
      </c>
      <c r="I400">
        <v>1</v>
      </c>
      <c r="J400" t="s">
        <v>2098</v>
      </c>
      <c r="K400" s="1">
        <v>43831</v>
      </c>
      <c r="L400">
        <v>2020</v>
      </c>
      <c r="M400" t="s">
        <v>2045</v>
      </c>
    </row>
    <row r="401" spans="1:13" x14ac:dyDescent="0.3">
      <c r="A401">
        <v>399</v>
      </c>
      <c r="B401">
        <v>1795</v>
      </c>
      <c r="C401" t="s">
        <v>2057</v>
      </c>
      <c r="D401" t="s">
        <v>2048</v>
      </c>
      <c r="E401" s="5">
        <v>392063695403858</v>
      </c>
      <c r="F401" s="1">
        <v>45292</v>
      </c>
      <c r="G401">
        <v>497</v>
      </c>
      <c r="H401" t="s">
        <v>2047</v>
      </c>
      <c r="I401">
        <v>2</v>
      </c>
      <c r="J401" t="s">
        <v>2363</v>
      </c>
      <c r="K401" s="1">
        <v>43831</v>
      </c>
      <c r="L401">
        <v>2020</v>
      </c>
      <c r="M401" t="s">
        <v>2045</v>
      </c>
    </row>
    <row r="402" spans="1:13" x14ac:dyDescent="0.3">
      <c r="A402">
        <v>400</v>
      </c>
      <c r="B402">
        <v>1063</v>
      </c>
      <c r="C402" t="s">
        <v>2057</v>
      </c>
      <c r="D402" t="s">
        <v>2048</v>
      </c>
      <c r="E402" s="5">
        <v>321238694524282</v>
      </c>
      <c r="F402" s="1">
        <v>44866</v>
      </c>
      <c r="G402">
        <v>959</v>
      </c>
      <c r="H402" t="s">
        <v>2047</v>
      </c>
      <c r="I402">
        <v>2</v>
      </c>
      <c r="J402" t="s">
        <v>2487</v>
      </c>
      <c r="K402" s="1">
        <v>43831</v>
      </c>
      <c r="L402">
        <v>2020</v>
      </c>
      <c r="M402" t="s">
        <v>2045</v>
      </c>
    </row>
    <row r="403" spans="1:13" x14ac:dyDescent="0.3">
      <c r="A403">
        <v>401</v>
      </c>
      <c r="B403">
        <v>1040</v>
      </c>
      <c r="C403" t="s">
        <v>2057</v>
      </c>
      <c r="D403" t="s">
        <v>2048</v>
      </c>
      <c r="E403" s="5">
        <v>373001607540829</v>
      </c>
      <c r="F403" s="1">
        <v>44013</v>
      </c>
      <c r="G403">
        <v>141</v>
      </c>
      <c r="H403" t="s">
        <v>2047</v>
      </c>
      <c r="I403">
        <v>2</v>
      </c>
      <c r="J403" t="s">
        <v>2094</v>
      </c>
      <c r="K403" s="1">
        <v>43831</v>
      </c>
      <c r="L403">
        <v>2020</v>
      </c>
      <c r="M403" t="s">
        <v>2045</v>
      </c>
    </row>
    <row r="404" spans="1:13" x14ac:dyDescent="0.3">
      <c r="A404">
        <v>402</v>
      </c>
      <c r="B404">
        <v>1647</v>
      </c>
      <c r="C404" t="s">
        <v>2057</v>
      </c>
      <c r="D404" t="s">
        <v>2048</v>
      </c>
      <c r="E404" s="5">
        <v>393079452928936</v>
      </c>
      <c r="F404" s="1">
        <v>45352</v>
      </c>
      <c r="G404">
        <v>826</v>
      </c>
      <c r="H404" t="s">
        <v>2047</v>
      </c>
      <c r="I404">
        <v>2</v>
      </c>
      <c r="J404" t="s">
        <v>2273</v>
      </c>
      <c r="K404" s="1">
        <v>43831</v>
      </c>
      <c r="L404">
        <v>2020</v>
      </c>
      <c r="M404" t="s">
        <v>2045</v>
      </c>
    </row>
    <row r="405" spans="1:13" x14ac:dyDescent="0.3">
      <c r="A405">
        <v>403</v>
      </c>
      <c r="B405">
        <v>1013</v>
      </c>
      <c r="C405" t="s">
        <v>2057</v>
      </c>
      <c r="D405" t="s">
        <v>2048</v>
      </c>
      <c r="E405" s="5">
        <v>330378740053511</v>
      </c>
      <c r="F405" s="1">
        <v>43983</v>
      </c>
      <c r="G405">
        <v>959</v>
      </c>
      <c r="H405" t="s">
        <v>2047</v>
      </c>
      <c r="I405">
        <v>1</v>
      </c>
      <c r="J405" t="s">
        <v>2166</v>
      </c>
      <c r="K405" s="1">
        <v>43831</v>
      </c>
      <c r="L405">
        <v>2020</v>
      </c>
      <c r="M405" t="s">
        <v>2045</v>
      </c>
    </row>
    <row r="406" spans="1:13" x14ac:dyDescent="0.3">
      <c r="A406">
        <v>404</v>
      </c>
      <c r="B406">
        <v>1081</v>
      </c>
      <c r="C406" t="s">
        <v>2057</v>
      </c>
      <c r="D406" t="s">
        <v>2048</v>
      </c>
      <c r="E406" s="5">
        <v>308645722065737</v>
      </c>
      <c r="F406" s="1">
        <v>44348</v>
      </c>
      <c r="G406">
        <v>218</v>
      </c>
      <c r="H406" t="s">
        <v>2047</v>
      </c>
      <c r="I406">
        <v>2</v>
      </c>
      <c r="J406" t="s">
        <v>2897</v>
      </c>
      <c r="K406" s="1">
        <v>43831</v>
      </c>
      <c r="L406">
        <v>2020</v>
      </c>
      <c r="M406" t="s">
        <v>2045</v>
      </c>
    </row>
    <row r="407" spans="1:13" x14ac:dyDescent="0.3">
      <c r="A407">
        <v>405</v>
      </c>
      <c r="B407">
        <v>1125</v>
      </c>
      <c r="C407" t="s">
        <v>2057</v>
      </c>
      <c r="D407" t="s">
        <v>2048</v>
      </c>
      <c r="E407" s="5">
        <v>394025181428995</v>
      </c>
      <c r="F407" s="1">
        <v>44075</v>
      </c>
      <c r="G407">
        <v>465</v>
      </c>
      <c r="H407" t="s">
        <v>2047</v>
      </c>
      <c r="I407">
        <v>1</v>
      </c>
      <c r="J407" t="s">
        <v>2896</v>
      </c>
      <c r="K407" s="1">
        <v>43831</v>
      </c>
      <c r="L407">
        <v>2020</v>
      </c>
      <c r="M407" t="s">
        <v>2045</v>
      </c>
    </row>
    <row r="408" spans="1:13" x14ac:dyDescent="0.3">
      <c r="A408">
        <v>406</v>
      </c>
      <c r="B408">
        <v>1020</v>
      </c>
      <c r="C408" t="s">
        <v>2057</v>
      </c>
      <c r="D408" t="s">
        <v>2048</v>
      </c>
      <c r="E408" s="5">
        <v>375947824371679</v>
      </c>
      <c r="F408" s="1">
        <v>45413</v>
      </c>
      <c r="G408">
        <v>928</v>
      </c>
      <c r="H408" t="s">
        <v>2047</v>
      </c>
      <c r="I408">
        <v>1</v>
      </c>
      <c r="J408" t="s">
        <v>2064</v>
      </c>
      <c r="K408" s="1">
        <v>43831</v>
      </c>
      <c r="L408">
        <v>2020</v>
      </c>
      <c r="M408" t="s">
        <v>2045</v>
      </c>
    </row>
    <row r="409" spans="1:13" x14ac:dyDescent="0.3">
      <c r="A409">
        <v>407</v>
      </c>
      <c r="B409">
        <v>1337</v>
      </c>
      <c r="C409" t="s">
        <v>2057</v>
      </c>
      <c r="D409" t="s">
        <v>2048</v>
      </c>
      <c r="E409" s="5">
        <v>372011647566495</v>
      </c>
      <c r="F409" s="1">
        <v>44896</v>
      </c>
      <c r="G409">
        <v>533</v>
      </c>
      <c r="H409" t="s">
        <v>2047</v>
      </c>
      <c r="I409">
        <v>1</v>
      </c>
      <c r="J409" t="s">
        <v>2163</v>
      </c>
      <c r="K409" s="1">
        <v>43831</v>
      </c>
      <c r="L409">
        <v>2020</v>
      </c>
      <c r="M409" t="s">
        <v>2045</v>
      </c>
    </row>
    <row r="410" spans="1:13" x14ac:dyDescent="0.3">
      <c r="A410">
        <v>408</v>
      </c>
      <c r="B410">
        <v>1038</v>
      </c>
      <c r="C410" t="s">
        <v>2057</v>
      </c>
      <c r="D410" t="s">
        <v>2048</v>
      </c>
      <c r="E410" s="5">
        <v>335883869377870</v>
      </c>
      <c r="F410" s="1">
        <v>45413</v>
      </c>
      <c r="G410">
        <v>701</v>
      </c>
      <c r="H410" t="s">
        <v>2047</v>
      </c>
      <c r="I410">
        <v>1</v>
      </c>
      <c r="J410" t="s">
        <v>2238</v>
      </c>
      <c r="K410" s="1">
        <v>43831</v>
      </c>
      <c r="L410">
        <v>2020</v>
      </c>
      <c r="M410" t="s">
        <v>2045</v>
      </c>
    </row>
    <row r="411" spans="1:13" x14ac:dyDescent="0.3">
      <c r="A411">
        <v>409</v>
      </c>
      <c r="B411">
        <v>761</v>
      </c>
      <c r="C411" t="s">
        <v>2057</v>
      </c>
      <c r="D411" t="s">
        <v>2048</v>
      </c>
      <c r="E411" s="5">
        <v>318070021444265</v>
      </c>
      <c r="F411" s="1">
        <v>44896</v>
      </c>
      <c r="G411">
        <v>160</v>
      </c>
      <c r="H411" t="s">
        <v>2047</v>
      </c>
      <c r="I411">
        <v>1</v>
      </c>
      <c r="J411" t="s">
        <v>2238</v>
      </c>
      <c r="K411" s="1">
        <v>43831</v>
      </c>
      <c r="L411">
        <v>2020</v>
      </c>
      <c r="M411" t="s">
        <v>2045</v>
      </c>
    </row>
    <row r="412" spans="1:13" x14ac:dyDescent="0.3">
      <c r="A412">
        <v>410</v>
      </c>
      <c r="B412">
        <v>1706</v>
      </c>
      <c r="C412" t="s">
        <v>2057</v>
      </c>
      <c r="D412" t="s">
        <v>2048</v>
      </c>
      <c r="E412" s="5">
        <v>348111868266561</v>
      </c>
      <c r="F412" s="1">
        <v>44440</v>
      </c>
      <c r="G412">
        <v>246</v>
      </c>
      <c r="H412" t="s">
        <v>2047</v>
      </c>
      <c r="I412">
        <v>1</v>
      </c>
      <c r="J412" t="s">
        <v>2272</v>
      </c>
      <c r="K412" s="1">
        <v>43831</v>
      </c>
      <c r="L412">
        <v>2020</v>
      </c>
      <c r="M412" t="s">
        <v>2045</v>
      </c>
    </row>
    <row r="413" spans="1:13" x14ac:dyDescent="0.3">
      <c r="A413">
        <v>411</v>
      </c>
      <c r="B413">
        <v>531</v>
      </c>
      <c r="C413" t="s">
        <v>2057</v>
      </c>
      <c r="D413" t="s">
        <v>2048</v>
      </c>
      <c r="E413" s="5">
        <v>334781877942824</v>
      </c>
      <c r="F413" s="1">
        <v>45170</v>
      </c>
      <c r="G413">
        <v>660</v>
      </c>
      <c r="H413" t="s">
        <v>2047</v>
      </c>
      <c r="I413">
        <v>1</v>
      </c>
      <c r="J413" t="s">
        <v>2633</v>
      </c>
      <c r="K413" s="1">
        <v>43831</v>
      </c>
      <c r="L413">
        <v>2020</v>
      </c>
      <c r="M413" t="s">
        <v>2045</v>
      </c>
    </row>
    <row r="414" spans="1:13" x14ac:dyDescent="0.3">
      <c r="A414">
        <v>412</v>
      </c>
      <c r="B414">
        <v>1556</v>
      </c>
      <c r="C414" t="s">
        <v>2057</v>
      </c>
      <c r="D414" t="s">
        <v>2048</v>
      </c>
      <c r="E414" s="5">
        <v>384780807062464</v>
      </c>
      <c r="F414" s="1">
        <v>43862</v>
      </c>
      <c r="G414">
        <v>476</v>
      </c>
      <c r="H414" t="s">
        <v>2047</v>
      </c>
      <c r="I414">
        <v>2</v>
      </c>
      <c r="J414" t="s">
        <v>2269</v>
      </c>
      <c r="K414" s="1">
        <v>43831</v>
      </c>
      <c r="L414">
        <v>2020</v>
      </c>
      <c r="M414" t="s">
        <v>2045</v>
      </c>
    </row>
    <row r="415" spans="1:13" x14ac:dyDescent="0.3">
      <c r="A415">
        <v>413</v>
      </c>
      <c r="B415">
        <v>155</v>
      </c>
      <c r="C415" t="s">
        <v>2057</v>
      </c>
      <c r="D415" t="s">
        <v>2048</v>
      </c>
      <c r="E415" s="5">
        <v>304990666285186</v>
      </c>
      <c r="F415" s="1">
        <v>44958</v>
      </c>
      <c r="G415">
        <v>972</v>
      </c>
      <c r="H415" t="s">
        <v>2047</v>
      </c>
      <c r="I415">
        <v>2</v>
      </c>
      <c r="J415" t="s">
        <v>2223</v>
      </c>
      <c r="K415" s="1">
        <v>43831</v>
      </c>
      <c r="L415">
        <v>2020</v>
      </c>
      <c r="M415" t="s">
        <v>2045</v>
      </c>
    </row>
    <row r="416" spans="1:13" x14ac:dyDescent="0.3">
      <c r="A416">
        <v>414</v>
      </c>
      <c r="B416">
        <v>231</v>
      </c>
      <c r="C416" t="s">
        <v>2057</v>
      </c>
      <c r="D416" t="s">
        <v>2048</v>
      </c>
      <c r="E416" s="5">
        <v>310400555625656</v>
      </c>
      <c r="F416" s="1">
        <v>43862</v>
      </c>
      <c r="G416">
        <v>226</v>
      </c>
      <c r="H416" t="s">
        <v>2047</v>
      </c>
      <c r="I416">
        <v>2</v>
      </c>
      <c r="J416" t="s">
        <v>2080</v>
      </c>
      <c r="K416" s="1">
        <v>43831</v>
      </c>
      <c r="L416">
        <v>2020</v>
      </c>
      <c r="M416" t="s">
        <v>2045</v>
      </c>
    </row>
    <row r="417" spans="1:13" x14ac:dyDescent="0.3">
      <c r="A417">
        <v>415</v>
      </c>
      <c r="B417">
        <v>1400</v>
      </c>
      <c r="C417" t="s">
        <v>2057</v>
      </c>
      <c r="D417" t="s">
        <v>2048</v>
      </c>
      <c r="E417" s="5">
        <v>383475654382335</v>
      </c>
      <c r="F417" s="1">
        <v>45413</v>
      </c>
      <c r="G417">
        <v>835</v>
      </c>
      <c r="H417" t="s">
        <v>2055</v>
      </c>
      <c r="I417">
        <v>2</v>
      </c>
      <c r="J417" t="s">
        <v>2075</v>
      </c>
      <c r="K417" s="1">
        <v>43831</v>
      </c>
      <c r="L417">
        <v>2020</v>
      </c>
      <c r="M417" t="s">
        <v>2045</v>
      </c>
    </row>
    <row r="418" spans="1:13" x14ac:dyDescent="0.3">
      <c r="A418">
        <v>416</v>
      </c>
      <c r="B418">
        <v>614</v>
      </c>
      <c r="C418" t="s">
        <v>2057</v>
      </c>
      <c r="D418" t="s">
        <v>2048</v>
      </c>
      <c r="E418" s="5">
        <v>376263258046959</v>
      </c>
      <c r="F418" s="1">
        <v>43862</v>
      </c>
      <c r="G418">
        <v>498</v>
      </c>
      <c r="H418" t="s">
        <v>2047</v>
      </c>
      <c r="I418">
        <v>1</v>
      </c>
      <c r="J418" t="s">
        <v>2131</v>
      </c>
      <c r="K418" s="1">
        <v>43831</v>
      </c>
      <c r="L418">
        <v>2020</v>
      </c>
      <c r="M418" t="s">
        <v>2045</v>
      </c>
    </row>
    <row r="419" spans="1:13" x14ac:dyDescent="0.3">
      <c r="A419">
        <v>417</v>
      </c>
      <c r="B419">
        <v>8</v>
      </c>
      <c r="C419" t="s">
        <v>2057</v>
      </c>
      <c r="D419" t="s">
        <v>2048</v>
      </c>
      <c r="E419" s="5">
        <v>366949625918264</v>
      </c>
      <c r="F419" s="1">
        <v>44743</v>
      </c>
      <c r="G419">
        <v>960</v>
      </c>
      <c r="H419" t="s">
        <v>2047</v>
      </c>
      <c r="I419">
        <v>1</v>
      </c>
      <c r="J419" t="s">
        <v>2167</v>
      </c>
      <c r="K419" s="1">
        <v>43831</v>
      </c>
      <c r="L419">
        <v>2020</v>
      </c>
      <c r="M419" t="s">
        <v>2045</v>
      </c>
    </row>
    <row r="420" spans="1:13" x14ac:dyDescent="0.3">
      <c r="A420">
        <v>418</v>
      </c>
      <c r="B420">
        <v>8</v>
      </c>
      <c r="C420" t="s">
        <v>2057</v>
      </c>
      <c r="D420" t="s">
        <v>2048</v>
      </c>
      <c r="E420" s="5">
        <v>351563977299905</v>
      </c>
      <c r="F420" s="1">
        <v>44652</v>
      </c>
      <c r="G420">
        <v>915</v>
      </c>
      <c r="H420" t="s">
        <v>2047</v>
      </c>
      <c r="I420">
        <v>2</v>
      </c>
      <c r="J420" t="s">
        <v>2166</v>
      </c>
      <c r="K420" s="1">
        <v>43831</v>
      </c>
      <c r="L420">
        <v>2020</v>
      </c>
      <c r="M420" t="s">
        <v>2045</v>
      </c>
    </row>
    <row r="421" spans="1:13" x14ac:dyDescent="0.3">
      <c r="A421">
        <v>419</v>
      </c>
      <c r="B421">
        <v>1545</v>
      </c>
      <c r="C421" t="s">
        <v>2057</v>
      </c>
      <c r="D421" t="s">
        <v>2048</v>
      </c>
      <c r="E421" s="5">
        <v>349828182407923</v>
      </c>
      <c r="F421" s="1">
        <v>43831</v>
      </c>
      <c r="G421">
        <v>939</v>
      </c>
      <c r="H421" t="s">
        <v>2047</v>
      </c>
      <c r="I421">
        <v>1</v>
      </c>
      <c r="J421" t="s">
        <v>1075</v>
      </c>
      <c r="K421" s="1">
        <v>43831</v>
      </c>
      <c r="L421">
        <v>2020</v>
      </c>
      <c r="M421" t="s">
        <v>2045</v>
      </c>
    </row>
    <row r="422" spans="1:13" x14ac:dyDescent="0.3">
      <c r="A422">
        <v>420</v>
      </c>
      <c r="B422">
        <v>121</v>
      </c>
      <c r="C422" t="s">
        <v>2057</v>
      </c>
      <c r="D422" t="s">
        <v>2048</v>
      </c>
      <c r="E422" s="5">
        <v>378254419416636</v>
      </c>
      <c r="F422" s="1">
        <v>44044</v>
      </c>
      <c r="G422">
        <v>484</v>
      </c>
      <c r="H422" t="s">
        <v>2047</v>
      </c>
      <c r="I422">
        <v>3</v>
      </c>
      <c r="J422" t="s">
        <v>2141</v>
      </c>
      <c r="K422" s="1">
        <v>43831</v>
      </c>
      <c r="L422">
        <v>2020</v>
      </c>
      <c r="M422" t="s">
        <v>2045</v>
      </c>
    </row>
    <row r="423" spans="1:13" x14ac:dyDescent="0.3">
      <c r="A423">
        <v>421</v>
      </c>
      <c r="B423">
        <v>429</v>
      </c>
      <c r="C423" t="s">
        <v>2061</v>
      </c>
      <c r="D423" t="s">
        <v>2048</v>
      </c>
      <c r="E423" s="6" t="s">
        <v>3689</v>
      </c>
      <c r="F423" s="1">
        <v>44013</v>
      </c>
      <c r="G423">
        <v>675</v>
      </c>
      <c r="H423" t="s">
        <v>2047</v>
      </c>
      <c r="I423">
        <v>2</v>
      </c>
      <c r="J423" t="s">
        <v>2730</v>
      </c>
      <c r="K423" s="1">
        <v>43831</v>
      </c>
      <c r="L423">
        <v>2020</v>
      </c>
      <c r="M423" t="s">
        <v>2045</v>
      </c>
    </row>
    <row r="424" spans="1:13" x14ac:dyDescent="0.3">
      <c r="A424">
        <v>422</v>
      </c>
      <c r="B424">
        <v>1938</v>
      </c>
      <c r="C424" t="s">
        <v>2061</v>
      </c>
      <c r="D424" t="s">
        <v>2048</v>
      </c>
      <c r="E424" s="6" t="s">
        <v>3658</v>
      </c>
      <c r="F424" s="1">
        <v>45413</v>
      </c>
      <c r="G424">
        <v>97</v>
      </c>
      <c r="H424" t="s">
        <v>2047</v>
      </c>
      <c r="I424">
        <v>1</v>
      </c>
      <c r="J424" t="s">
        <v>2611</v>
      </c>
      <c r="K424" s="1">
        <v>43831</v>
      </c>
      <c r="L424">
        <v>2020</v>
      </c>
      <c r="M424" t="s">
        <v>2045</v>
      </c>
    </row>
    <row r="425" spans="1:13" x14ac:dyDescent="0.3">
      <c r="A425">
        <v>423</v>
      </c>
      <c r="B425">
        <v>1775</v>
      </c>
      <c r="C425" t="s">
        <v>2061</v>
      </c>
      <c r="D425" t="s">
        <v>2048</v>
      </c>
      <c r="E425" s="6" t="s">
        <v>3619</v>
      </c>
      <c r="F425" s="1">
        <v>44409</v>
      </c>
      <c r="G425">
        <v>894</v>
      </c>
      <c r="H425" t="s">
        <v>2047</v>
      </c>
      <c r="I425">
        <v>1</v>
      </c>
      <c r="J425" t="s">
        <v>2276</v>
      </c>
      <c r="K425" s="1">
        <v>43831</v>
      </c>
      <c r="L425">
        <v>2020</v>
      </c>
      <c r="M425" t="s">
        <v>2045</v>
      </c>
    </row>
    <row r="426" spans="1:13" x14ac:dyDescent="0.3">
      <c r="A426">
        <v>424</v>
      </c>
      <c r="B426">
        <v>147</v>
      </c>
      <c r="C426" t="s">
        <v>2061</v>
      </c>
      <c r="D426" t="s">
        <v>2048</v>
      </c>
      <c r="E426" s="6" t="s">
        <v>3528</v>
      </c>
      <c r="F426" s="1">
        <v>43831</v>
      </c>
      <c r="G426">
        <v>482</v>
      </c>
      <c r="H426" t="s">
        <v>2047</v>
      </c>
      <c r="I426">
        <v>1</v>
      </c>
      <c r="J426" t="s">
        <v>2387</v>
      </c>
      <c r="K426" s="1">
        <v>43831</v>
      </c>
      <c r="L426">
        <v>2020</v>
      </c>
      <c r="M426" t="s">
        <v>2045</v>
      </c>
    </row>
    <row r="427" spans="1:13" x14ac:dyDescent="0.3">
      <c r="A427">
        <v>425</v>
      </c>
      <c r="B427">
        <v>936</v>
      </c>
      <c r="C427" t="s">
        <v>2061</v>
      </c>
      <c r="D427" t="s">
        <v>2048</v>
      </c>
      <c r="E427" s="6" t="s">
        <v>3431</v>
      </c>
      <c r="F427" s="1">
        <v>44621</v>
      </c>
      <c r="G427">
        <v>371</v>
      </c>
      <c r="H427" t="s">
        <v>2047</v>
      </c>
      <c r="I427">
        <v>1</v>
      </c>
      <c r="J427" t="s">
        <v>2320</v>
      </c>
      <c r="K427" s="1">
        <v>43831</v>
      </c>
      <c r="L427">
        <v>2020</v>
      </c>
      <c r="M427" t="s">
        <v>2045</v>
      </c>
    </row>
    <row r="428" spans="1:13" x14ac:dyDescent="0.3">
      <c r="A428">
        <v>426</v>
      </c>
      <c r="B428">
        <v>1304</v>
      </c>
      <c r="C428" t="s">
        <v>2061</v>
      </c>
      <c r="D428" t="s">
        <v>2048</v>
      </c>
      <c r="E428" s="6" t="s">
        <v>3376</v>
      </c>
      <c r="F428" s="1">
        <v>44348</v>
      </c>
      <c r="G428">
        <v>565</v>
      </c>
      <c r="H428" t="s">
        <v>2047</v>
      </c>
      <c r="I428">
        <v>2</v>
      </c>
      <c r="J428" t="s">
        <v>2467</v>
      </c>
      <c r="K428" s="1">
        <v>43831</v>
      </c>
      <c r="L428">
        <v>2020</v>
      </c>
      <c r="M428" t="s">
        <v>2045</v>
      </c>
    </row>
    <row r="429" spans="1:13" x14ac:dyDescent="0.3">
      <c r="A429">
        <v>427</v>
      </c>
      <c r="B429">
        <v>562</v>
      </c>
      <c r="C429" t="s">
        <v>2061</v>
      </c>
      <c r="D429" t="s">
        <v>2048</v>
      </c>
      <c r="E429" s="6" t="s">
        <v>3305</v>
      </c>
      <c r="F429" s="1">
        <v>44958</v>
      </c>
      <c r="G429">
        <v>834</v>
      </c>
      <c r="H429" t="s">
        <v>2047</v>
      </c>
      <c r="I429">
        <v>2</v>
      </c>
      <c r="J429" t="s">
        <v>2104</v>
      </c>
      <c r="K429" s="1">
        <v>43831</v>
      </c>
      <c r="L429">
        <v>2020</v>
      </c>
      <c r="M429" t="s">
        <v>2045</v>
      </c>
    </row>
    <row r="430" spans="1:13" x14ac:dyDescent="0.3">
      <c r="A430">
        <v>428</v>
      </c>
      <c r="B430">
        <v>407</v>
      </c>
      <c r="C430" t="s">
        <v>2061</v>
      </c>
      <c r="D430" t="s">
        <v>2048</v>
      </c>
      <c r="E430" s="6" t="s">
        <v>3193</v>
      </c>
      <c r="F430" s="1">
        <v>43862</v>
      </c>
      <c r="G430">
        <v>65</v>
      </c>
      <c r="H430" t="s">
        <v>2047</v>
      </c>
      <c r="I430">
        <v>1</v>
      </c>
      <c r="J430" t="s">
        <v>2142</v>
      </c>
      <c r="K430" s="1">
        <v>43831</v>
      </c>
      <c r="L430">
        <v>2020</v>
      </c>
      <c r="M430" t="s">
        <v>2045</v>
      </c>
    </row>
    <row r="431" spans="1:13" x14ac:dyDescent="0.3">
      <c r="A431">
        <v>429</v>
      </c>
      <c r="B431">
        <v>610</v>
      </c>
      <c r="C431" t="s">
        <v>2061</v>
      </c>
      <c r="D431" t="s">
        <v>2048</v>
      </c>
      <c r="E431" s="6" t="s">
        <v>3177</v>
      </c>
      <c r="F431" s="1">
        <v>43831</v>
      </c>
      <c r="G431">
        <v>302</v>
      </c>
      <c r="H431" t="s">
        <v>2047</v>
      </c>
      <c r="I431">
        <v>2</v>
      </c>
      <c r="J431" t="s">
        <v>2510</v>
      </c>
      <c r="K431" s="1">
        <v>43831</v>
      </c>
      <c r="L431">
        <v>2020</v>
      </c>
      <c r="M431" t="s">
        <v>2045</v>
      </c>
    </row>
    <row r="432" spans="1:13" x14ac:dyDescent="0.3">
      <c r="A432">
        <v>430</v>
      </c>
      <c r="B432">
        <v>949</v>
      </c>
      <c r="C432" t="s">
        <v>2061</v>
      </c>
      <c r="D432" t="s">
        <v>2048</v>
      </c>
      <c r="E432" s="6" t="s">
        <v>3100</v>
      </c>
      <c r="F432" s="1">
        <v>44166</v>
      </c>
      <c r="G432">
        <v>869</v>
      </c>
      <c r="H432" t="s">
        <v>2047</v>
      </c>
      <c r="I432">
        <v>2</v>
      </c>
      <c r="J432" t="s">
        <v>2639</v>
      </c>
      <c r="K432" s="1">
        <v>43831</v>
      </c>
      <c r="L432">
        <v>2020</v>
      </c>
      <c r="M432" t="s">
        <v>2045</v>
      </c>
    </row>
    <row r="433" spans="1:13" x14ac:dyDescent="0.3">
      <c r="A433">
        <v>431</v>
      </c>
      <c r="B433">
        <v>351</v>
      </c>
      <c r="C433" t="s">
        <v>2061</v>
      </c>
      <c r="D433" t="s">
        <v>2048</v>
      </c>
      <c r="E433" s="6" t="s">
        <v>3041</v>
      </c>
      <c r="F433" s="1">
        <v>43831</v>
      </c>
      <c r="G433">
        <v>897</v>
      </c>
      <c r="H433" t="s">
        <v>2047</v>
      </c>
      <c r="I433">
        <v>1</v>
      </c>
      <c r="J433" t="s">
        <v>3040</v>
      </c>
      <c r="K433" s="1">
        <v>43831</v>
      </c>
      <c r="L433">
        <v>2020</v>
      </c>
      <c r="M433" t="s">
        <v>2045</v>
      </c>
    </row>
    <row r="434" spans="1:13" x14ac:dyDescent="0.3">
      <c r="A434">
        <v>432</v>
      </c>
      <c r="B434">
        <v>225</v>
      </c>
      <c r="C434" t="s">
        <v>2061</v>
      </c>
      <c r="D434" t="s">
        <v>2048</v>
      </c>
      <c r="E434" s="6" t="s">
        <v>2940</v>
      </c>
      <c r="F434" s="1">
        <v>45170</v>
      </c>
      <c r="G434">
        <v>953</v>
      </c>
      <c r="H434" t="s">
        <v>2047</v>
      </c>
      <c r="I434">
        <v>2</v>
      </c>
      <c r="J434" t="s">
        <v>2189</v>
      </c>
      <c r="K434" s="1">
        <v>43831</v>
      </c>
      <c r="L434">
        <v>2020</v>
      </c>
      <c r="M434" t="s">
        <v>2045</v>
      </c>
    </row>
    <row r="435" spans="1:13" x14ac:dyDescent="0.3">
      <c r="A435">
        <v>433</v>
      </c>
      <c r="B435">
        <v>239</v>
      </c>
      <c r="C435" t="s">
        <v>2061</v>
      </c>
      <c r="D435" t="s">
        <v>2048</v>
      </c>
      <c r="E435" s="6" t="s">
        <v>2791</v>
      </c>
      <c r="F435" s="1">
        <v>43831</v>
      </c>
      <c r="G435">
        <v>41</v>
      </c>
      <c r="H435" t="s">
        <v>2047</v>
      </c>
      <c r="I435">
        <v>1</v>
      </c>
      <c r="J435" t="s">
        <v>2765</v>
      </c>
      <c r="K435" s="1">
        <v>43831</v>
      </c>
      <c r="L435">
        <v>2020</v>
      </c>
      <c r="M435" t="s">
        <v>2045</v>
      </c>
    </row>
    <row r="436" spans="1:13" x14ac:dyDescent="0.3">
      <c r="A436">
        <v>434</v>
      </c>
      <c r="B436">
        <v>418</v>
      </c>
      <c r="C436" t="s">
        <v>2061</v>
      </c>
      <c r="D436" t="s">
        <v>2048</v>
      </c>
      <c r="E436" s="6" t="s">
        <v>2724</v>
      </c>
      <c r="F436" s="1">
        <v>45352</v>
      </c>
      <c r="G436">
        <v>945</v>
      </c>
      <c r="H436" t="s">
        <v>2047</v>
      </c>
      <c r="I436">
        <v>2</v>
      </c>
      <c r="J436" t="s">
        <v>239</v>
      </c>
      <c r="K436" s="1">
        <v>43831</v>
      </c>
      <c r="L436">
        <v>2020</v>
      </c>
      <c r="M436" t="s">
        <v>2045</v>
      </c>
    </row>
    <row r="437" spans="1:13" x14ac:dyDescent="0.3">
      <c r="A437">
        <v>435</v>
      </c>
      <c r="B437">
        <v>574</v>
      </c>
      <c r="C437" t="s">
        <v>2061</v>
      </c>
      <c r="D437" t="s">
        <v>2048</v>
      </c>
      <c r="E437" s="6" t="s">
        <v>2486</v>
      </c>
      <c r="F437" s="1">
        <v>43922</v>
      </c>
      <c r="G437">
        <v>360</v>
      </c>
      <c r="H437" t="s">
        <v>2055</v>
      </c>
      <c r="I437">
        <v>2</v>
      </c>
      <c r="J437" t="s">
        <v>2471</v>
      </c>
      <c r="K437" s="1">
        <v>43831</v>
      </c>
      <c r="L437">
        <v>2020</v>
      </c>
      <c r="M437" t="s">
        <v>2045</v>
      </c>
    </row>
    <row r="438" spans="1:13" x14ac:dyDescent="0.3">
      <c r="A438">
        <v>436</v>
      </c>
      <c r="B438">
        <v>1316</v>
      </c>
      <c r="C438" t="s">
        <v>2061</v>
      </c>
      <c r="D438" t="s">
        <v>2048</v>
      </c>
      <c r="E438" s="6" t="s">
        <v>2424</v>
      </c>
      <c r="F438" s="1">
        <v>43862</v>
      </c>
      <c r="G438">
        <v>669</v>
      </c>
      <c r="H438" t="s">
        <v>2047</v>
      </c>
      <c r="I438">
        <v>1</v>
      </c>
      <c r="J438" t="s">
        <v>2275</v>
      </c>
      <c r="K438" s="1">
        <v>43831</v>
      </c>
      <c r="L438">
        <v>2020</v>
      </c>
      <c r="M438" t="s">
        <v>2045</v>
      </c>
    </row>
    <row r="439" spans="1:13" x14ac:dyDescent="0.3">
      <c r="A439">
        <v>437</v>
      </c>
      <c r="B439">
        <v>1831</v>
      </c>
      <c r="C439" t="s">
        <v>2061</v>
      </c>
      <c r="D439" t="s">
        <v>2048</v>
      </c>
      <c r="E439" s="6" t="s">
        <v>2418</v>
      </c>
      <c r="F439" s="1">
        <v>45200</v>
      </c>
      <c r="G439">
        <v>681</v>
      </c>
      <c r="H439" t="s">
        <v>2047</v>
      </c>
      <c r="I439">
        <v>2</v>
      </c>
      <c r="J439" t="s">
        <v>2058</v>
      </c>
      <c r="K439" s="1">
        <v>43831</v>
      </c>
      <c r="L439">
        <v>2020</v>
      </c>
      <c r="M439" t="s">
        <v>2045</v>
      </c>
    </row>
    <row r="440" spans="1:13" x14ac:dyDescent="0.3">
      <c r="A440">
        <v>438</v>
      </c>
      <c r="B440">
        <v>77</v>
      </c>
      <c r="C440" t="s">
        <v>2061</v>
      </c>
      <c r="D440" t="s">
        <v>2048</v>
      </c>
      <c r="E440" s="6" t="s">
        <v>2130</v>
      </c>
      <c r="F440" s="1">
        <v>43922</v>
      </c>
      <c r="G440">
        <v>731</v>
      </c>
      <c r="H440" t="s">
        <v>2047</v>
      </c>
      <c r="I440">
        <v>1</v>
      </c>
      <c r="J440" t="s">
        <v>2129</v>
      </c>
      <c r="K440" s="1">
        <v>43831</v>
      </c>
      <c r="L440">
        <v>2020</v>
      </c>
      <c r="M440" t="s">
        <v>2045</v>
      </c>
    </row>
    <row r="441" spans="1:13" x14ac:dyDescent="0.3">
      <c r="A441">
        <v>439</v>
      </c>
      <c r="B441">
        <v>588</v>
      </c>
      <c r="C441" t="s">
        <v>2061</v>
      </c>
      <c r="D441" t="s">
        <v>2048</v>
      </c>
      <c r="E441" s="6" t="s">
        <v>2065</v>
      </c>
      <c r="F441" s="1">
        <v>43831</v>
      </c>
      <c r="G441">
        <v>916</v>
      </c>
      <c r="H441" t="s">
        <v>2047</v>
      </c>
      <c r="I441">
        <v>2</v>
      </c>
      <c r="J441" t="s">
        <v>2064</v>
      </c>
      <c r="K441" s="1">
        <v>43831</v>
      </c>
      <c r="L441">
        <v>2020</v>
      </c>
      <c r="M441" t="s">
        <v>2045</v>
      </c>
    </row>
    <row r="442" spans="1:13" x14ac:dyDescent="0.3">
      <c r="A442">
        <v>440</v>
      </c>
      <c r="B442">
        <v>153</v>
      </c>
      <c r="C442" t="s">
        <v>2053</v>
      </c>
      <c r="D442" t="s">
        <v>2052</v>
      </c>
      <c r="E442" s="6" t="s">
        <v>3693</v>
      </c>
      <c r="F442" s="1">
        <v>43862</v>
      </c>
      <c r="G442">
        <v>217</v>
      </c>
      <c r="H442" t="s">
        <v>2047</v>
      </c>
      <c r="I442">
        <v>1</v>
      </c>
      <c r="J442" t="s">
        <v>3692</v>
      </c>
      <c r="K442" s="1">
        <v>43831</v>
      </c>
      <c r="L442">
        <v>2020</v>
      </c>
      <c r="M442" t="s">
        <v>2045</v>
      </c>
    </row>
    <row r="443" spans="1:13" x14ac:dyDescent="0.3">
      <c r="A443">
        <v>441</v>
      </c>
      <c r="B443">
        <v>777</v>
      </c>
      <c r="C443" t="s">
        <v>2053</v>
      </c>
      <c r="D443" t="s">
        <v>2052</v>
      </c>
      <c r="E443" s="6" t="s">
        <v>3682</v>
      </c>
      <c r="F443" s="1">
        <v>45017</v>
      </c>
      <c r="G443">
        <v>437</v>
      </c>
      <c r="H443" t="s">
        <v>2047</v>
      </c>
      <c r="I443">
        <v>2</v>
      </c>
      <c r="J443" t="s">
        <v>3681</v>
      </c>
      <c r="K443" s="1">
        <v>43831</v>
      </c>
      <c r="L443">
        <v>2020</v>
      </c>
      <c r="M443" t="s">
        <v>2045</v>
      </c>
    </row>
    <row r="444" spans="1:13" x14ac:dyDescent="0.3">
      <c r="A444">
        <v>442</v>
      </c>
      <c r="B444">
        <v>877</v>
      </c>
      <c r="C444" t="s">
        <v>2053</v>
      </c>
      <c r="D444" t="s">
        <v>2052</v>
      </c>
      <c r="E444" s="6" t="s">
        <v>3680</v>
      </c>
      <c r="F444" s="1">
        <v>43862</v>
      </c>
      <c r="G444">
        <v>931</v>
      </c>
      <c r="H444" t="s">
        <v>2047</v>
      </c>
      <c r="I444">
        <v>1</v>
      </c>
      <c r="J444" t="s">
        <v>2630</v>
      </c>
      <c r="K444" s="1">
        <v>43831</v>
      </c>
      <c r="L444">
        <v>2020</v>
      </c>
      <c r="M444" t="s">
        <v>2045</v>
      </c>
    </row>
    <row r="445" spans="1:13" x14ac:dyDescent="0.3">
      <c r="A445">
        <v>443</v>
      </c>
      <c r="B445">
        <v>1884</v>
      </c>
      <c r="C445" t="s">
        <v>2053</v>
      </c>
      <c r="D445" t="s">
        <v>2070</v>
      </c>
      <c r="E445" s="6" t="s">
        <v>3677</v>
      </c>
      <c r="F445" s="1">
        <v>43862</v>
      </c>
      <c r="G445">
        <v>788</v>
      </c>
      <c r="H445" t="s">
        <v>2047</v>
      </c>
      <c r="I445">
        <v>2</v>
      </c>
      <c r="J445" t="s">
        <v>2636</v>
      </c>
      <c r="K445" s="1">
        <v>43831</v>
      </c>
      <c r="L445">
        <v>2020</v>
      </c>
      <c r="M445" t="s">
        <v>2045</v>
      </c>
    </row>
    <row r="446" spans="1:13" x14ac:dyDescent="0.3">
      <c r="A446">
        <v>444</v>
      </c>
      <c r="B446">
        <v>811</v>
      </c>
      <c r="C446" t="s">
        <v>2053</v>
      </c>
      <c r="D446" t="s">
        <v>2052</v>
      </c>
      <c r="E446" s="6" t="s">
        <v>3674</v>
      </c>
      <c r="F446" s="1">
        <v>43862</v>
      </c>
      <c r="G446">
        <v>599</v>
      </c>
      <c r="H446" t="s">
        <v>2047</v>
      </c>
      <c r="I446">
        <v>2</v>
      </c>
      <c r="J446" t="s">
        <v>3673</v>
      </c>
      <c r="K446" s="1">
        <v>43831</v>
      </c>
      <c r="L446">
        <v>2020</v>
      </c>
      <c r="M446" t="s">
        <v>2045</v>
      </c>
    </row>
    <row r="447" spans="1:13" x14ac:dyDescent="0.3">
      <c r="A447">
        <v>445</v>
      </c>
      <c r="B447">
        <v>838</v>
      </c>
      <c r="C447" t="s">
        <v>2053</v>
      </c>
      <c r="D447" t="s">
        <v>2048</v>
      </c>
      <c r="E447" s="6" t="s">
        <v>3663</v>
      </c>
      <c r="F447" s="1">
        <v>44197</v>
      </c>
      <c r="G447">
        <v>591</v>
      </c>
      <c r="H447" t="s">
        <v>2047</v>
      </c>
      <c r="I447">
        <v>2</v>
      </c>
      <c r="J447" t="s">
        <v>2765</v>
      </c>
      <c r="K447" s="1">
        <v>43831</v>
      </c>
      <c r="L447">
        <v>2020</v>
      </c>
      <c r="M447" t="s">
        <v>2045</v>
      </c>
    </row>
    <row r="448" spans="1:13" x14ac:dyDescent="0.3">
      <c r="A448">
        <v>446</v>
      </c>
      <c r="B448">
        <v>1938</v>
      </c>
      <c r="C448" t="s">
        <v>2053</v>
      </c>
      <c r="D448" t="s">
        <v>2052</v>
      </c>
      <c r="E448" s="6" t="s">
        <v>3660</v>
      </c>
      <c r="F448" s="1">
        <v>44136</v>
      </c>
      <c r="G448">
        <v>856</v>
      </c>
      <c r="H448" t="s">
        <v>2047</v>
      </c>
      <c r="I448">
        <v>1</v>
      </c>
      <c r="J448" t="s">
        <v>3659</v>
      </c>
      <c r="K448" s="1">
        <v>43831</v>
      </c>
      <c r="L448">
        <v>2020</v>
      </c>
      <c r="M448" t="s">
        <v>2045</v>
      </c>
    </row>
    <row r="449" spans="1:13" x14ac:dyDescent="0.3">
      <c r="A449">
        <v>447</v>
      </c>
      <c r="B449">
        <v>713</v>
      </c>
      <c r="C449" t="s">
        <v>2053</v>
      </c>
      <c r="D449" t="s">
        <v>2052</v>
      </c>
      <c r="E449" s="6" t="s">
        <v>3649</v>
      </c>
      <c r="F449" s="1">
        <v>43891</v>
      </c>
      <c r="G449">
        <v>66</v>
      </c>
      <c r="H449" t="s">
        <v>2047</v>
      </c>
      <c r="I449">
        <v>1</v>
      </c>
      <c r="J449" t="s">
        <v>3648</v>
      </c>
      <c r="K449" s="1">
        <v>43831</v>
      </c>
      <c r="L449">
        <v>2020</v>
      </c>
      <c r="M449" t="s">
        <v>2045</v>
      </c>
    </row>
    <row r="450" spans="1:13" x14ac:dyDescent="0.3">
      <c r="A450">
        <v>448</v>
      </c>
      <c r="B450">
        <v>1631</v>
      </c>
      <c r="C450" t="s">
        <v>2053</v>
      </c>
      <c r="D450" t="s">
        <v>2048</v>
      </c>
      <c r="E450" s="6" t="s">
        <v>3647</v>
      </c>
      <c r="F450" s="1">
        <v>44501</v>
      </c>
      <c r="G450">
        <v>989</v>
      </c>
      <c r="H450" t="s">
        <v>2047</v>
      </c>
      <c r="I450">
        <v>1</v>
      </c>
      <c r="J450" t="s">
        <v>2467</v>
      </c>
      <c r="K450" s="1">
        <v>43831</v>
      </c>
      <c r="L450">
        <v>2020</v>
      </c>
      <c r="M450" t="s">
        <v>2045</v>
      </c>
    </row>
    <row r="451" spans="1:13" x14ac:dyDescent="0.3">
      <c r="A451">
        <v>449</v>
      </c>
      <c r="B451">
        <v>290</v>
      </c>
      <c r="C451" t="s">
        <v>2053</v>
      </c>
      <c r="D451" t="s">
        <v>2052</v>
      </c>
      <c r="E451" s="6" t="s">
        <v>3646</v>
      </c>
      <c r="F451" s="1">
        <v>43831</v>
      </c>
      <c r="G451">
        <v>533</v>
      </c>
      <c r="H451" t="s">
        <v>2047</v>
      </c>
      <c r="I451">
        <v>2</v>
      </c>
      <c r="J451" t="s">
        <v>3645</v>
      </c>
      <c r="K451" s="1">
        <v>43831</v>
      </c>
      <c r="L451">
        <v>2020</v>
      </c>
      <c r="M451" t="s">
        <v>2045</v>
      </c>
    </row>
    <row r="452" spans="1:13" x14ac:dyDescent="0.3">
      <c r="A452">
        <v>450</v>
      </c>
      <c r="B452">
        <v>800</v>
      </c>
      <c r="C452" t="s">
        <v>2053</v>
      </c>
      <c r="D452" t="s">
        <v>2052</v>
      </c>
      <c r="E452" s="6" t="s">
        <v>3635</v>
      </c>
      <c r="F452" s="1">
        <v>44317</v>
      </c>
      <c r="G452">
        <v>789</v>
      </c>
      <c r="H452" t="s">
        <v>2047</v>
      </c>
      <c r="I452">
        <v>1</v>
      </c>
      <c r="J452" t="s">
        <v>3634</v>
      </c>
      <c r="K452" s="1">
        <v>43831</v>
      </c>
      <c r="L452">
        <v>2020</v>
      </c>
      <c r="M452" t="s">
        <v>2045</v>
      </c>
    </row>
    <row r="453" spans="1:13" x14ac:dyDescent="0.3">
      <c r="A453">
        <v>451</v>
      </c>
      <c r="B453">
        <v>1734</v>
      </c>
      <c r="C453" t="s">
        <v>2053</v>
      </c>
      <c r="D453" t="s">
        <v>2052</v>
      </c>
      <c r="E453" s="6" t="s">
        <v>3629</v>
      </c>
      <c r="F453" s="1">
        <v>43831</v>
      </c>
      <c r="G453">
        <v>843</v>
      </c>
      <c r="H453" t="s">
        <v>2055</v>
      </c>
      <c r="I453">
        <v>2</v>
      </c>
      <c r="J453" t="s">
        <v>609</v>
      </c>
      <c r="K453" s="1">
        <v>43831</v>
      </c>
      <c r="L453">
        <v>2020</v>
      </c>
      <c r="M453" t="s">
        <v>2045</v>
      </c>
    </row>
    <row r="454" spans="1:13" x14ac:dyDescent="0.3">
      <c r="A454">
        <v>452</v>
      </c>
      <c r="B454">
        <v>1399</v>
      </c>
      <c r="C454" t="s">
        <v>2053</v>
      </c>
      <c r="D454" t="s">
        <v>2052</v>
      </c>
      <c r="E454" s="6" t="s">
        <v>3622</v>
      </c>
      <c r="F454" s="1">
        <v>44317</v>
      </c>
      <c r="G454">
        <v>767</v>
      </c>
      <c r="H454" t="s">
        <v>2047</v>
      </c>
      <c r="I454">
        <v>1</v>
      </c>
      <c r="J454" t="s">
        <v>3309</v>
      </c>
      <c r="K454" s="1">
        <v>43831</v>
      </c>
      <c r="L454">
        <v>2020</v>
      </c>
      <c r="M454" t="s">
        <v>2045</v>
      </c>
    </row>
    <row r="455" spans="1:13" x14ac:dyDescent="0.3">
      <c r="A455">
        <v>453</v>
      </c>
      <c r="B455">
        <v>1033</v>
      </c>
      <c r="C455" t="s">
        <v>2053</v>
      </c>
      <c r="D455" t="s">
        <v>2052</v>
      </c>
      <c r="E455" s="6" t="s">
        <v>3618</v>
      </c>
      <c r="F455" s="1">
        <v>45566</v>
      </c>
      <c r="G455">
        <v>228</v>
      </c>
      <c r="H455" t="s">
        <v>2047</v>
      </c>
      <c r="I455">
        <v>2</v>
      </c>
      <c r="J455" t="s">
        <v>3617</v>
      </c>
      <c r="K455" s="1">
        <v>43831</v>
      </c>
      <c r="L455">
        <v>2020</v>
      </c>
      <c r="M455" t="s">
        <v>2045</v>
      </c>
    </row>
    <row r="456" spans="1:13" x14ac:dyDescent="0.3">
      <c r="A456">
        <v>454</v>
      </c>
      <c r="B456">
        <v>1033</v>
      </c>
      <c r="C456" t="s">
        <v>2053</v>
      </c>
      <c r="D456" t="s">
        <v>2052</v>
      </c>
      <c r="E456" s="6" t="s">
        <v>3616</v>
      </c>
      <c r="F456" s="1">
        <v>45474</v>
      </c>
      <c r="G456">
        <v>464</v>
      </c>
      <c r="H456" t="s">
        <v>2047</v>
      </c>
      <c r="I456">
        <v>2</v>
      </c>
      <c r="J456" t="s">
        <v>161</v>
      </c>
      <c r="K456" s="1">
        <v>43831</v>
      </c>
      <c r="L456">
        <v>2020</v>
      </c>
      <c r="M456" t="s">
        <v>2045</v>
      </c>
    </row>
    <row r="457" spans="1:13" x14ac:dyDescent="0.3">
      <c r="A457">
        <v>455</v>
      </c>
      <c r="B457">
        <v>431</v>
      </c>
      <c r="C457" t="s">
        <v>2053</v>
      </c>
      <c r="D457" t="s">
        <v>2052</v>
      </c>
      <c r="E457" s="6" t="s">
        <v>3615</v>
      </c>
      <c r="F457" s="1">
        <v>43952</v>
      </c>
      <c r="G457">
        <v>719</v>
      </c>
      <c r="H457" t="s">
        <v>2047</v>
      </c>
      <c r="I457">
        <v>1</v>
      </c>
      <c r="J457" t="s">
        <v>1887</v>
      </c>
      <c r="K457" s="1">
        <v>43831</v>
      </c>
      <c r="L457">
        <v>2020</v>
      </c>
      <c r="M457" t="s">
        <v>2045</v>
      </c>
    </row>
    <row r="458" spans="1:13" x14ac:dyDescent="0.3">
      <c r="A458">
        <v>456</v>
      </c>
      <c r="B458">
        <v>431</v>
      </c>
      <c r="C458" t="s">
        <v>2053</v>
      </c>
      <c r="D458" t="s">
        <v>2052</v>
      </c>
      <c r="E458" s="6" t="s">
        <v>3614</v>
      </c>
      <c r="F458" s="1">
        <v>43831</v>
      </c>
      <c r="G458">
        <v>570</v>
      </c>
      <c r="H458" t="s">
        <v>2055</v>
      </c>
      <c r="I458">
        <v>1</v>
      </c>
      <c r="J458" t="s">
        <v>3613</v>
      </c>
      <c r="K458" s="1">
        <v>43831</v>
      </c>
      <c r="L458">
        <v>2020</v>
      </c>
      <c r="M458" t="s">
        <v>2045</v>
      </c>
    </row>
    <row r="459" spans="1:13" x14ac:dyDescent="0.3">
      <c r="A459">
        <v>457</v>
      </c>
      <c r="B459">
        <v>1943</v>
      </c>
      <c r="C459" t="s">
        <v>2053</v>
      </c>
      <c r="D459" t="s">
        <v>2070</v>
      </c>
      <c r="E459" s="6" t="s">
        <v>3612</v>
      </c>
      <c r="F459" s="1">
        <v>44197</v>
      </c>
      <c r="G459">
        <v>310</v>
      </c>
      <c r="H459" t="s">
        <v>2047</v>
      </c>
      <c r="I459">
        <v>1</v>
      </c>
      <c r="J459" t="s">
        <v>2069</v>
      </c>
      <c r="K459" s="1">
        <v>43831</v>
      </c>
      <c r="L459">
        <v>2020</v>
      </c>
      <c r="M459" t="s">
        <v>2045</v>
      </c>
    </row>
    <row r="460" spans="1:13" x14ac:dyDescent="0.3">
      <c r="A460">
        <v>458</v>
      </c>
      <c r="B460">
        <v>1943</v>
      </c>
      <c r="C460" t="s">
        <v>2053</v>
      </c>
      <c r="D460" t="s">
        <v>2052</v>
      </c>
      <c r="E460" s="6" t="s">
        <v>3611</v>
      </c>
      <c r="F460" s="1">
        <v>43862</v>
      </c>
      <c r="G460">
        <v>16</v>
      </c>
      <c r="H460" t="s">
        <v>2047</v>
      </c>
      <c r="I460">
        <v>1</v>
      </c>
      <c r="J460" t="s">
        <v>3610</v>
      </c>
      <c r="K460" s="1">
        <v>43831</v>
      </c>
      <c r="L460">
        <v>2020</v>
      </c>
      <c r="M460" t="s">
        <v>2045</v>
      </c>
    </row>
    <row r="461" spans="1:13" x14ac:dyDescent="0.3">
      <c r="A461">
        <v>459</v>
      </c>
      <c r="B461">
        <v>1159</v>
      </c>
      <c r="C461" t="s">
        <v>2053</v>
      </c>
      <c r="D461" t="s">
        <v>2052</v>
      </c>
      <c r="E461" s="6" t="s">
        <v>3608</v>
      </c>
      <c r="F461" s="1">
        <v>45536</v>
      </c>
      <c r="G461">
        <v>795</v>
      </c>
      <c r="H461" t="s">
        <v>2047</v>
      </c>
      <c r="I461">
        <v>1</v>
      </c>
      <c r="J461" t="s">
        <v>3607</v>
      </c>
      <c r="K461" s="1">
        <v>43831</v>
      </c>
      <c r="L461">
        <v>2020</v>
      </c>
      <c r="M461" t="s">
        <v>2045</v>
      </c>
    </row>
    <row r="462" spans="1:13" x14ac:dyDescent="0.3">
      <c r="A462">
        <v>460</v>
      </c>
      <c r="B462">
        <v>1159</v>
      </c>
      <c r="C462" t="s">
        <v>2053</v>
      </c>
      <c r="D462" t="s">
        <v>2052</v>
      </c>
      <c r="E462" s="6" t="s">
        <v>3606</v>
      </c>
      <c r="F462" s="1">
        <v>45505</v>
      </c>
      <c r="G462">
        <v>58</v>
      </c>
      <c r="H462" t="s">
        <v>2047</v>
      </c>
      <c r="I462">
        <v>1</v>
      </c>
      <c r="J462" t="s">
        <v>3605</v>
      </c>
      <c r="K462" s="1">
        <v>43831</v>
      </c>
      <c r="L462">
        <v>2020</v>
      </c>
      <c r="M462" t="s">
        <v>2045</v>
      </c>
    </row>
    <row r="463" spans="1:13" x14ac:dyDescent="0.3">
      <c r="A463">
        <v>461</v>
      </c>
      <c r="B463">
        <v>593</v>
      </c>
      <c r="C463" t="s">
        <v>2053</v>
      </c>
      <c r="D463" t="s">
        <v>2048</v>
      </c>
      <c r="E463" s="6" t="s">
        <v>3597</v>
      </c>
      <c r="F463" s="1">
        <v>43862</v>
      </c>
      <c r="G463">
        <v>777</v>
      </c>
      <c r="H463" t="s">
        <v>2047</v>
      </c>
      <c r="I463">
        <v>1</v>
      </c>
      <c r="J463" t="s">
        <v>2092</v>
      </c>
      <c r="K463" s="1">
        <v>43831</v>
      </c>
      <c r="L463">
        <v>2020</v>
      </c>
      <c r="M463" t="s">
        <v>2045</v>
      </c>
    </row>
    <row r="464" spans="1:13" x14ac:dyDescent="0.3">
      <c r="A464">
        <v>462</v>
      </c>
      <c r="B464">
        <v>417</v>
      </c>
      <c r="C464" t="s">
        <v>2053</v>
      </c>
      <c r="D464" t="s">
        <v>2048</v>
      </c>
      <c r="E464" s="6" t="s">
        <v>3594</v>
      </c>
      <c r="F464" s="1">
        <v>43831</v>
      </c>
      <c r="G464">
        <v>704</v>
      </c>
      <c r="H464" t="s">
        <v>2047</v>
      </c>
      <c r="I464">
        <v>1</v>
      </c>
      <c r="J464" t="s">
        <v>3019</v>
      </c>
      <c r="K464" s="1">
        <v>43831</v>
      </c>
      <c r="L464">
        <v>2020</v>
      </c>
      <c r="M464" t="s">
        <v>2045</v>
      </c>
    </row>
    <row r="465" spans="1:13" x14ac:dyDescent="0.3">
      <c r="A465">
        <v>463</v>
      </c>
      <c r="B465">
        <v>306</v>
      </c>
      <c r="C465" t="s">
        <v>2053</v>
      </c>
      <c r="D465" t="s">
        <v>2052</v>
      </c>
      <c r="E465" s="6" t="s">
        <v>3593</v>
      </c>
      <c r="F465" s="1">
        <v>45413</v>
      </c>
      <c r="G465">
        <v>684</v>
      </c>
      <c r="H465" t="s">
        <v>2047</v>
      </c>
      <c r="I465">
        <v>2</v>
      </c>
      <c r="J465" t="s">
        <v>3592</v>
      </c>
      <c r="K465" s="1">
        <v>43831</v>
      </c>
      <c r="L465">
        <v>2020</v>
      </c>
      <c r="M465" t="s">
        <v>2045</v>
      </c>
    </row>
    <row r="466" spans="1:13" x14ac:dyDescent="0.3">
      <c r="A466">
        <v>464</v>
      </c>
      <c r="B466">
        <v>306</v>
      </c>
      <c r="C466" t="s">
        <v>2053</v>
      </c>
      <c r="D466" t="s">
        <v>2052</v>
      </c>
      <c r="E466" s="6" t="s">
        <v>3591</v>
      </c>
      <c r="F466" s="1">
        <v>44228</v>
      </c>
      <c r="G466">
        <v>998</v>
      </c>
      <c r="H466" t="s">
        <v>2047</v>
      </c>
      <c r="I466">
        <v>1</v>
      </c>
      <c r="J466" t="s">
        <v>3590</v>
      </c>
      <c r="K466" s="1">
        <v>43831</v>
      </c>
      <c r="L466">
        <v>2020</v>
      </c>
      <c r="M466" t="s">
        <v>2045</v>
      </c>
    </row>
    <row r="467" spans="1:13" x14ac:dyDescent="0.3">
      <c r="A467">
        <v>465</v>
      </c>
      <c r="B467">
        <v>352</v>
      </c>
      <c r="C467" t="s">
        <v>2053</v>
      </c>
      <c r="D467" t="s">
        <v>2052</v>
      </c>
      <c r="E467" s="6" t="s">
        <v>3579</v>
      </c>
      <c r="F467" s="1">
        <v>43831</v>
      </c>
      <c r="G467">
        <v>454</v>
      </c>
      <c r="H467" t="s">
        <v>2047</v>
      </c>
      <c r="I467">
        <v>1</v>
      </c>
      <c r="J467" t="s">
        <v>3578</v>
      </c>
      <c r="K467" s="1">
        <v>43831</v>
      </c>
      <c r="L467">
        <v>2020</v>
      </c>
      <c r="M467" t="s">
        <v>2045</v>
      </c>
    </row>
    <row r="468" spans="1:13" x14ac:dyDescent="0.3">
      <c r="A468">
        <v>466</v>
      </c>
      <c r="B468">
        <v>352</v>
      </c>
      <c r="C468" t="s">
        <v>2053</v>
      </c>
      <c r="D468" t="s">
        <v>2052</v>
      </c>
      <c r="E468" s="6" t="s">
        <v>3577</v>
      </c>
      <c r="F468" s="1">
        <v>44896</v>
      </c>
      <c r="G468">
        <v>211</v>
      </c>
      <c r="H468" t="s">
        <v>2047</v>
      </c>
      <c r="I468">
        <v>1</v>
      </c>
      <c r="J468" t="s">
        <v>1775</v>
      </c>
      <c r="K468" s="1">
        <v>43831</v>
      </c>
      <c r="L468">
        <v>2020</v>
      </c>
      <c r="M468" t="s">
        <v>2045</v>
      </c>
    </row>
    <row r="469" spans="1:13" x14ac:dyDescent="0.3">
      <c r="A469">
        <v>467</v>
      </c>
      <c r="B469">
        <v>1745</v>
      </c>
      <c r="C469" t="s">
        <v>2053</v>
      </c>
      <c r="D469" t="s">
        <v>2052</v>
      </c>
      <c r="E469" s="6" t="s">
        <v>3571</v>
      </c>
      <c r="F469" s="1">
        <v>44621</v>
      </c>
      <c r="G469">
        <v>907</v>
      </c>
      <c r="H469" t="s">
        <v>2047</v>
      </c>
      <c r="I469">
        <v>1</v>
      </c>
      <c r="J469" t="s">
        <v>3570</v>
      </c>
      <c r="K469" s="1">
        <v>43831</v>
      </c>
      <c r="L469">
        <v>2020</v>
      </c>
      <c r="M469" t="s">
        <v>2045</v>
      </c>
    </row>
    <row r="470" spans="1:13" x14ac:dyDescent="0.3">
      <c r="A470">
        <v>468</v>
      </c>
      <c r="B470">
        <v>299</v>
      </c>
      <c r="C470" t="s">
        <v>2053</v>
      </c>
      <c r="D470" t="s">
        <v>2052</v>
      </c>
      <c r="E470" s="6" t="s">
        <v>3560</v>
      </c>
      <c r="F470" s="1">
        <v>45627</v>
      </c>
      <c r="G470">
        <v>696</v>
      </c>
      <c r="H470" t="s">
        <v>2047</v>
      </c>
      <c r="I470">
        <v>2</v>
      </c>
      <c r="J470" t="s">
        <v>3559</v>
      </c>
      <c r="K470" s="1">
        <v>43831</v>
      </c>
      <c r="L470">
        <v>2020</v>
      </c>
      <c r="M470" t="s">
        <v>2045</v>
      </c>
    </row>
    <row r="471" spans="1:13" x14ac:dyDescent="0.3">
      <c r="A471">
        <v>469</v>
      </c>
      <c r="B471">
        <v>820</v>
      </c>
      <c r="C471" t="s">
        <v>2053</v>
      </c>
      <c r="D471" t="s">
        <v>2048</v>
      </c>
      <c r="E471" s="6" t="s">
        <v>3553</v>
      </c>
      <c r="F471" s="1">
        <v>44470</v>
      </c>
      <c r="G471">
        <v>490</v>
      </c>
      <c r="H471" t="s">
        <v>2047</v>
      </c>
      <c r="I471">
        <v>1</v>
      </c>
      <c r="J471" t="s">
        <v>2058</v>
      </c>
      <c r="K471" s="1">
        <v>43831</v>
      </c>
      <c r="L471">
        <v>2020</v>
      </c>
      <c r="M471" t="s">
        <v>2045</v>
      </c>
    </row>
    <row r="472" spans="1:13" x14ac:dyDescent="0.3">
      <c r="A472">
        <v>470</v>
      </c>
      <c r="B472">
        <v>1188</v>
      </c>
      <c r="C472" t="s">
        <v>2053</v>
      </c>
      <c r="D472" t="s">
        <v>2070</v>
      </c>
      <c r="E472" s="6" t="s">
        <v>3552</v>
      </c>
      <c r="F472" s="1">
        <v>44682</v>
      </c>
      <c r="G472">
        <v>85</v>
      </c>
      <c r="H472" t="s">
        <v>2047</v>
      </c>
      <c r="I472">
        <v>2</v>
      </c>
      <c r="J472" t="s">
        <v>2227</v>
      </c>
      <c r="K472" s="1">
        <v>43831</v>
      </c>
      <c r="L472">
        <v>2020</v>
      </c>
      <c r="M472" t="s">
        <v>2045</v>
      </c>
    </row>
    <row r="473" spans="1:13" x14ac:dyDescent="0.3">
      <c r="A473">
        <v>471</v>
      </c>
      <c r="B473">
        <v>340</v>
      </c>
      <c r="C473" t="s">
        <v>2053</v>
      </c>
      <c r="D473" t="s">
        <v>2070</v>
      </c>
      <c r="E473" s="6" t="s">
        <v>3551</v>
      </c>
      <c r="F473" s="1">
        <v>44044</v>
      </c>
      <c r="G473">
        <v>626</v>
      </c>
      <c r="H473" t="s">
        <v>2047</v>
      </c>
      <c r="I473">
        <v>1</v>
      </c>
      <c r="J473" t="s">
        <v>2137</v>
      </c>
      <c r="K473" s="1">
        <v>43831</v>
      </c>
      <c r="L473">
        <v>2020</v>
      </c>
      <c r="M473" t="s">
        <v>2045</v>
      </c>
    </row>
    <row r="474" spans="1:13" x14ac:dyDescent="0.3">
      <c r="A474">
        <v>472</v>
      </c>
      <c r="B474">
        <v>1061</v>
      </c>
      <c r="C474" t="s">
        <v>2053</v>
      </c>
      <c r="D474" t="s">
        <v>2052</v>
      </c>
      <c r="E474" s="6" t="s">
        <v>3550</v>
      </c>
      <c r="F474" s="1">
        <v>43862</v>
      </c>
      <c r="G474">
        <v>674</v>
      </c>
      <c r="H474" t="s">
        <v>2047</v>
      </c>
      <c r="I474">
        <v>1</v>
      </c>
      <c r="J474" t="s">
        <v>3549</v>
      </c>
      <c r="K474" s="1">
        <v>43831</v>
      </c>
      <c r="L474">
        <v>2020</v>
      </c>
      <c r="M474" t="s">
        <v>2045</v>
      </c>
    </row>
    <row r="475" spans="1:13" x14ac:dyDescent="0.3">
      <c r="A475">
        <v>473</v>
      </c>
      <c r="B475">
        <v>824</v>
      </c>
      <c r="C475" t="s">
        <v>2053</v>
      </c>
      <c r="D475" t="s">
        <v>2052</v>
      </c>
      <c r="E475" s="6" t="s">
        <v>3541</v>
      </c>
      <c r="F475" s="1">
        <v>44013</v>
      </c>
      <c r="G475">
        <v>98</v>
      </c>
      <c r="H475" t="s">
        <v>2047</v>
      </c>
      <c r="I475">
        <v>1</v>
      </c>
      <c r="J475" t="s">
        <v>3540</v>
      </c>
      <c r="K475" s="1">
        <v>43831</v>
      </c>
      <c r="L475">
        <v>2020</v>
      </c>
      <c r="M475" t="s">
        <v>2045</v>
      </c>
    </row>
    <row r="476" spans="1:13" x14ac:dyDescent="0.3">
      <c r="A476">
        <v>474</v>
      </c>
      <c r="B476">
        <v>963</v>
      </c>
      <c r="C476" t="s">
        <v>2053</v>
      </c>
      <c r="D476" t="s">
        <v>2052</v>
      </c>
      <c r="E476" s="6" t="s">
        <v>3539</v>
      </c>
      <c r="F476" s="1">
        <v>45047</v>
      </c>
      <c r="G476">
        <v>686</v>
      </c>
      <c r="H476" t="s">
        <v>2047</v>
      </c>
      <c r="I476">
        <v>1</v>
      </c>
      <c r="J476" t="s">
        <v>3538</v>
      </c>
      <c r="K476" s="1">
        <v>43831</v>
      </c>
      <c r="L476">
        <v>2020</v>
      </c>
      <c r="M476" t="s">
        <v>2045</v>
      </c>
    </row>
    <row r="477" spans="1:13" x14ac:dyDescent="0.3">
      <c r="A477">
        <v>475</v>
      </c>
      <c r="B477">
        <v>904</v>
      </c>
      <c r="C477" t="s">
        <v>2053</v>
      </c>
      <c r="D477" t="s">
        <v>2048</v>
      </c>
      <c r="E477" s="6" t="s">
        <v>3537</v>
      </c>
      <c r="F477" s="1">
        <v>44044</v>
      </c>
      <c r="G477">
        <v>821</v>
      </c>
      <c r="H477" t="s">
        <v>2047</v>
      </c>
      <c r="I477">
        <v>2</v>
      </c>
      <c r="J477" t="s">
        <v>2096</v>
      </c>
      <c r="K477" s="1">
        <v>43831</v>
      </c>
      <c r="L477">
        <v>2020</v>
      </c>
      <c r="M477" t="s">
        <v>2045</v>
      </c>
    </row>
    <row r="478" spans="1:13" x14ac:dyDescent="0.3">
      <c r="A478">
        <v>476</v>
      </c>
      <c r="B478">
        <v>1804</v>
      </c>
      <c r="C478" t="s">
        <v>2053</v>
      </c>
      <c r="D478" t="s">
        <v>2052</v>
      </c>
      <c r="E478" s="6" t="s">
        <v>3533</v>
      </c>
      <c r="F478" s="1">
        <v>44835</v>
      </c>
      <c r="G478">
        <v>565</v>
      </c>
      <c r="H478" t="s">
        <v>2047</v>
      </c>
      <c r="I478">
        <v>1</v>
      </c>
      <c r="J478" t="s">
        <v>3532</v>
      </c>
      <c r="K478" s="1">
        <v>43831</v>
      </c>
      <c r="L478">
        <v>2020</v>
      </c>
      <c r="M478" t="s">
        <v>2045</v>
      </c>
    </row>
    <row r="479" spans="1:13" x14ac:dyDescent="0.3">
      <c r="A479">
        <v>477</v>
      </c>
      <c r="B479">
        <v>12</v>
      </c>
      <c r="C479" t="s">
        <v>2053</v>
      </c>
      <c r="D479" t="s">
        <v>2052</v>
      </c>
      <c r="E479" s="6" t="s">
        <v>3524</v>
      </c>
      <c r="F479" s="1">
        <v>43862</v>
      </c>
      <c r="G479">
        <v>101</v>
      </c>
      <c r="H479" t="s">
        <v>2047</v>
      </c>
      <c r="I479">
        <v>2</v>
      </c>
      <c r="J479" t="s">
        <v>934</v>
      </c>
      <c r="K479" s="1">
        <v>43831</v>
      </c>
      <c r="L479">
        <v>2020</v>
      </c>
      <c r="M479" t="s">
        <v>2045</v>
      </c>
    </row>
    <row r="480" spans="1:13" x14ac:dyDescent="0.3">
      <c r="A480">
        <v>478</v>
      </c>
      <c r="B480">
        <v>1792</v>
      </c>
      <c r="C480" t="s">
        <v>2053</v>
      </c>
      <c r="D480" t="s">
        <v>2052</v>
      </c>
      <c r="E480" s="6" t="s">
        <v>3516</v>
      </c>
      <c r="F480" s="1">
        <v>44562</v>
      </c>
      <c r="G480">
        <v>648</v>
      </c>
      <c r="H480" t="s">
        <v>2055</v>
      </c>
      <c r="I480">
        <v>2</v>
      </c>
      <c r="J480" t="s">
        <v>3515</v>
      </c>
      <c r="K480" s="1">
        <v>43831</v>
      </c>
      <c r="L480">
        <v>2020</v>
      </c>
      <c r="M480" t="s">
        <v>2045</v>
      </c>
    </row>
    <row r="481" spans="1:13" x14ac:dyDescent="0.3">
      <c r="A481">
        <v>479</v>
      </c>
      <c r="B481">
        <v>1323</v>
      </c>
      <c r="C481" t="s">
        <v>2053</v>
      </c>
      <c r="D481" t="s">
        <v>2052</v>
      </c>
      <c r="E481" s="6" t="s">
        <v>3508</v>
      </c>
      <c r="F481" s="1">
        <v>45474</v>
      </c>
      <c r="G481">
        <v>774</v>
      </c>
      <c r="H481" t="s">
        <v>2047</v>
      </c>
      <c r="I481">
        <v>1</v>
      </c>
      <c r="J481" t="s">
        <v>3507</v>
      </c>
      <c r="K481" s="1">
        <v>43831</v>
      </c>
      <c r="L481">
        <v>2020</v>
      </c>
      <c r="M481" t="s">
        <v>2045</v>
      </c>
    </row>
    <row r="482" spans="1:13" x14ac:dyDescent="0.3">
      <c r="A482">
        <v>480</v>
      </c>
      <c r="B482">
        <v>934</v>
      </c>
      <c r="C482" t="s">
        <v>2053</v>
      </c>
      <c r="D482" t="s">
        <v>2052</v>
      </c>
      <c r="E482" s="6" t="s">
        <v>3505</v>
      </c>
      <c r="F482" s="1">
        <v>43862</v>
      </c>
      <c r="G482">
        <v>399</v>
      </c>
      <c r="H482" t="s">
        <v>2055</v>
      </c>
      <c r="I482">
        <v>2</v>
      </c>
      <c r="J482" t="s">
        <v>3504</v>
      </c>
      <c r="K482" s="1">
        <v>43831</v>
      </c>
      <c r="L482">
        <v>2020</v>
      </c>
      <c r="M482" t="s">
        <v>2045</v>
      </c>
    </row>
    <row r="483" spans="1:13" x14ac:dyDescent="0.3">
      <c r="A483">
        <v>481</v>
      </c>
      <c r="B483">
        <v>1402</v>
      </c>
      <c r="C483" t="s">
        <v>2053</v>
      </c>
      <c r="D483" t="s">
        <v>2052</v>
      </c>
      <c r="E483" s="6" t="s">
        <v>3501</v>
      </c>
      <c r="F483" s="1">
        <v>45536</v>
      </c>
      <c r="G483">
        <v>515</v>
      </c>
      <c r="H483" t="s">
        <v>2047</v>
      </c>
      <c r="I483">
        <v>2</v>
      </c>
      <c r="J483" t="s">
        <v>3500</v>
      </c>
      <c r="K483" s="1">
        <v>43831</v>
      </c>
      <c r="L483">
        <v>2020</v>
      </c>
      <c r="M483" t="s">
        <v>2045</v>
      </c>
    </row>
    <row r="484" spans="1:13" x14ac:dyDescent="0.3">
      <c r="A484">
        <v>482</v>
      </c>
      <c r="B484">
        <v>1650</v>
      </c>
      <c r="C484" t="s">
        <v>2053</v>
      </c>
      <c r="D484" t="s">
        <v>2052</v>
      </c>
      <c r="E484" s="6" t="s">
        <v>3498</v>
      </c>
      <c r="F484" s="1">
        <v>43831</v>
      </c>
      <c r="G484">
        <v>461</v>
      </c>
      <c r="H484" t="s">
        <v>2047</v>
      </c>
      <c r="I484">
        <v>2</v>
      </c>
      <c r="J484" t="s">
        <v>3497</v>
      </c>
      <c r="K484" s="1">
        <v>43831</v>
      </c>
      <c r="L484">
        <v>2020</v>
      </c>
      <c r="M484" t="s">
        <v>2045</v>
      </c>
    </row>
    <row r="485" spans="1:13" x14ac:dyDescent="0.3">
      <c r="A485">
        <v>483</v>
      </c>
      <c r="B485">
        <v>1650</v>
      </c>
      <c r="C485" t="s">
        <v>2053</v>
      </c>
      <c r="D485" t="s">
        <v>2048</v>
      </c>
      <c r="E485" s="6" t="s">
        <v>3496</v>
      </c>
      <c r="F485" s="1">
        <v>44378</v>
      </c>
      <c r="G485">
        <v>589</v>
      </c>
      <c r="H485" t="s">
        <v>2047</v>
      </c>
      <c r="I485">
        <v>2</v>
      </c>
      <c r="J485" t="s">
        <v>2209</v>
      </c>
      <c r="K485" s="1">
        <v>43831</v>
      </c>
      <c r="L485">
        <v>2020</v>
      </c>
      <c r="M485" t="s">
        <v>2045</v>
      </c>
    </row>
    <row r="486" spans="1:13" x14ac:dyDescent="0.3">
      <c r="A486">
        <v>484</v>
      </c>
      <c r="B486">
        <v>1457</v>
      </c>
      <c r="C486" t="s">
        <v>2053</v>
      </c>
      <c r="D486" t="s">
        <v>2052</v>
      </c>
      <c r="E486" s="6" t="s">
        <v>3495</v>
      </c>
      <c r="F486" s="1">
        <v>43952</v>
      </c>
      <c r="G486">
        <v>881</v>
      </c>
      <c r="H486" t="s">
        <v>2047</v>
      </c>
      <c r="I486">
        <v>1</v>
      </c>
      <c r="J486" t="s">
        <v>3494</v>
      </c>
      <c r="K486" s="1">
        <v>43831</v>
      </c>
      <c r="L486">
        <v>2020</v>
      </c>
      <c r="M486" t="s">
        <v>2045</v>
      </c>
    </row>
    <row r="487" spans="1:13" x14ac:dyDescent="0.3">
      <c r="A487">
        <v>485</v>
      </c>
      <c r="B487">
        <v>945</v>
      </c>
      <c r="C487" t="s">
        <v>2053</v>
      </c>
      <c r="D487" t="s">
        <v>2048</v>
      </c>
      <c r="E487" s="6" t="s">
        <v>3493</v>
      </c>
      <c r="F487" s="1">
        <v>44287</v>
      </c>
      <c r="G487">
        <v>410</v>
      </c>
      <c r="H487" t="s">
        <v>2047</v>
      </c>
      <c r="I487">
        <v>1</v>
      </c>
      <c r="J487" t="s">
        <v>2095</v>
      </c>
      <c r="K487" s="1">
        <v>43831</v>
      </c>
      <c r="L487">
        <v>2020</v>
      </c>
      <c r="M487" t="s">
        <v>2045</v>
      </c>
    </row>
    <row r="488" spans="1:13" x14ac:dyDescent="0.3">
      <c r="A488">
        <v>486</v>
      </c>
      <c r="B488">
        <v>1576</v>
      </c>
      <c r="C488" t="s">
        <v>2053</v>
      </c>
      <c r="D488" t="s">
        <v>2052</v>
      </c>
      <c r="E488" s="6" t="s">
        <v>3487</v>
      </c>
      <c r="F488" s="1">
        <v>44743</v>
      </c>
      <c r="G488">
        <v>404</v>
      </c>
      <c r="H488" t="s">
        <v>2047</v>
      </c>
      <c r="I488">
        <v>3</v>
      </c>
      <c r="J488" t="s">
        <v>3486</v>
      </c>
      <c r="K488" s="1">
        <v>43831</v>
      </c>
      <c r="L488">
        <v>2020</v>
      </c>
      <c r="M488" t="s">
        <v>2045</v>
      </c>
    </row>
    <row r="489" spans="1:13" x14ac:dyDescent="0.3">
      <c r="A489">
        <v>487</v>
      </c>
      <c r="B489">
        <v>1424</v>
      </c>
      <c r="C489" t="s">
        <v>2053</v>
      </c>
      <c r="D489" t="s">
        <v>2052</v>
      </c>
      <c r="E489" s="6" t="s">
        <v>3484</v>
      </c>
      <c r="F489" s="1">
        <v>43891</v>
      </c>
      <c r="G489">
        <v>489</v>
      </c>
      <c r="H489" t="s">
        <v>2055</v>
      </c>
      <c r="I489">
        <v>1</v>
      </c>
      <c r="J489" t="s">
        <v>3483</v>
      </c>
      <c r="K489" s="1">
        <v>43831</v>
      </c>
      <c r="L489">
        <v>2020</v>
      </c>
      <c r="M489" t="s">
        <v>2045</v>
      </c>
    </row>
    <row r="490" spans="1:13" x14ac:dyDescent="0.3">
      <c r="A490">
        <v>488</v>
      </c>
      <c r="B490">
        <v>1643</v>
      </c>
      <c r="C490" t="s">
        <v>2053</v>
      </c>
      <c r="D490" t="s">
        <v>2070</v>
      </c>
      <c r="E490" s="6" t="s">
        <v>3479</v>
      </c>
      <c r="F490" s="1">
        <v>43862</v>
      </c>
      <c r="G490">
        <v>821</v>
      </c>
      <c r="H490" t="s">
        <v>2047</v>
      </c>
      <c r="I490">
        <v>2</v>
      </c>
      <c r="J490" t="s">
        <v>2466</v>
      </c>
      <c r="K490" s="1">
        <v>43831</v>
      </c>
      <c r="L490">
        <v>2020</v>
      </c>
      <c r="M490" t="s">
        <v>2045</v>
      </c>
    </row>
    <row r="491" spans="1:13" x14ac:dyDescent="0.3">
      <c r="A491">
        <v>489</v>
      </c>
      <c r="B491">
        <v>1591</v>
      </c>
      <c r="C491" t="s">
        <v>2053</v>
      </c>
      <c r="D491" t="s">
        <v>2052</v>
      </c>
      <c r="E491" s="6" t="s">
        <v>3476</v>
      </c>
      <c r="F491" s="1">
        <v>43922</v>
      </c>
      <c r="G491">
        <v>708</v>
      </c>
      <c r="H491" t="s">
        <v>2047</v>
      </c>
      <c r="I491">
        <v>1</v>
      </c>
      <c r="J491" t="s">
        <v>3475</v>
      </c>
      <c r="K491" s="1">
        <v>43831</v>
      </c>
      <c r="L491">
        <v>2020</v>
      </c>
      <c r="M491" t="s">
        <v>2045</v>
      </c>
    </row>
    <row r="492" spans="1:13" x14ac:dyDescent="0.3">
      <c r="A492">
        <v>490</v>
      </c>
      <c r="B492">
        <v>817</v>
      </c>
      <c r="C492" t="s">
        <v>2053</v>
      </c>
      <c r="D492" t="s">
        <v>2052</v>
      </c>
      <c r="E492" s="6" t="s">
        <v>3470</v>
      </c>
      <c r="F492" s="1">
        <v>44409</v>
      </c>
      <c r="G492">
        <v>852</v>
      </c>
      <c r="H492" t="s">
        <v>2047</v>
      </c>
      <c r="I492">
        <v>2</v>
      </c>
      <c r="J492" t="s">
        <v>3469</v>
      </c>
      <c r="K492" s="1">
        <v>43831</v>
      </c>
      <c r="L492">
        <v>2020</v>
      </c>
      <c r="M492" t="s">
        <v>2045</v>
      </c>
    </row>
    <row r="493" spans="1:13" x14ac:dyDescent="0.3">
      <c r="A493">
        <v>491</v>
      </c>
      <c r="B493">
        <v>817</v>
      </c>
      <c r="C493" t="s">
        <v>2053</v>
      </c>
      <c r="D493" t="s">
        <v>2052</v>
      </c>
      <c r="E493" s="6" t="s">
        <v>3468</v>
      </c>
      <c r="F493" s="1">
        <v>44440</v>
      </c>
      <c r="G493">
        <v>792</v>
      </c>
      <c r="H493" t="s">
        <v>2047</v>
      </c>
      <c r="I493">
        <v>1</v>
      </c>
      <c r="J493" t="s">
        <v>3467</v>
      </c>
      <c r="K493" s="1">
        <v>43831</v>
      </c>
      <c r="L493">
        <v>2020</v>
      </c>
      <c r="M493" t="s">
        <v>2045</v>
      </c>
    </row>
    <row r="494" spans="1:13" x14ac:dyDescent="0.3">
      <c r="A494">
        <v>492</v>
      </c>
      <c r="B494">
        <v>1927</v>
      </c>
      <c r="C494" t="s">
        <v>2053</v>
      </c>
      <c r="D494" t="s">
        <v>2070</v>
      </c>
      <c r="E494" s="6" t="s">
        <v>3462</v>
      </c>
      <c r="F494" s="1">
        <v>43831</v>
      </c>
      <c r="G494">
        <v>940</v>
      </c>
      <c r="H494" t="s">
        <v>2047</v>
      </c>
      <c r="I494">
        <v>1</v>
      </c>
      <c r="J494" t="s">
        <v>2175</v>
      </c>
      <c r="K494" s="1">
        <v>43831</v>
      </c>
      <c r="L494">
        <v>2020</v>
      </c>
      <c r="M494" t="s">
        <v>2045</v>
      </c>
    </row>
    <row r="495" spans="1:13" x14ac:dyDescent="0.3">
      <c r="A495">
        <v>493</v>
      </c>
      <c r="B495">
        <v>1658</v>
      </c>
      <c r="C495" t="s">
        <v>2053</v>
      </c>
      <c r="D495" t="s">
        <v>2052</v>
      </c>
      <c r="E495" s="6" t="s">
        <v>3461</v>
      </c>
      <c r="F495" s="1">
        <v>43831</v>
      </c>
      <c r="G495">
        <v>798</v>
      </c>
      <c r="H495" t="s">
        <v>2047</v>
      </c>
      <c r="I495">
        <v>2</v>
      </c>
      <c r="J495" t="s">
        <v>3460</v>
      </c>
      <c r="K495" s="1">
        <v>43831</v>
      </c>
      <c r="L495">
        <v>2020</v>
      </c>
      <c r="M495" t="s">
        <v>2045</v>
      </c>
    </row>
    <row r="496" spans="1:13" x14ac:dyDescent="0.3">
      <c r="A496">
        <v>494</v>
      </c>
      <c r="B496">
        <v>1255</v>
      </c>
      <c r="C496" t="s">
        <v>2053</v>
      </c>
      <c r="D496" t="s">
        <v>2052</v>
      </c>
      <c r="E496" s="6" t="s">
        <v>3458</v>
      </c>
      <c r="F496" s="1">
        <v>45078</v>
      </c>
      <c r="G496">
        <v>803</v>
      </c>
      <c r="H496" t="s">
        <v>2047</v>
      </c>
      <c r="I496">
        <v>1</v>
      </c>
      <c r="J496" t="s">
        <v>3457</v>
      </c>
      <c r="K496" s="1">
        <v>43831</v>
      </c>
      <c r="L496">
        <v>2020</v>
      </c>
      <c r="M496" t="s">
        <v>2045</v>
      </c>
    </row>
    <row r="497" spans="1:13" x14ac:dyDescent="0.3">
      <c r="A497">
        <v>495</v>
      </c>
      <c r="B497">
        <v>85</v>
      </c>
      <c r="C497" t="s">
        <v>2053</v>
      </c>
      <c r="D497" t="s">
        <v>2052</v>
      </c>
      <c r="E497" s="6" t="s">
        <v>3456</v>
      </c>
      <c r="F497" s="1">
        <v>45200</v>
      </c>
      <c r="G497">
        <v>617</v>
      </c>
      <c r="H497" t="s">
        <v>2047</v>
      </c>
      <c r="I497">
        <v>2</v>
      </c>
      <c r="J497" t="s">
        <v>3455</v>
      </c>
      <c r="K497" s="1">
        <v>43831</v>
      </c>
      <c r="L497">
        <v>2020</v>
      </c>
      <c r="M497" t="s">
        <v>2045</v>
      </c>
    </row>
    <row r="498" spans="1:13" x14ac:dyDescent="0.3">
      <c r="A498">
        <v>496</v>
      </c>
      <c r="B498">
        <v>875</v>
      </c>
      <c r="C498" t="s">
        <v>2053</v>
      </c>
      <c r="D498" t="s">
        <v>2052</v>
      </c>
      <c r="E498" s="6" t="s">
        <v>3448</v>
      </c>
      <c r="F498" s="1">
        <v>44774</v>
      </c>
      <c r="G498">
        <v>408</v>
      </c>
      <c r="H498" t="s">
        <v>2047</v>
      </c>
      <c r="I498">
        <v>1</v>
      </c>
      <c r="J498" t="s">
        <v>3447</v>
      </c>
      <c r="K498" s="1">
        <v>43831</v>
      </c>
      <c r="L498">
        <v>2020</v>
      </c>
      <c r="M498" t="s">
        <v>2045</v>
      </c>
    </row>
    <row r="499" spans="1:13" x14ac:dyDescent="0.3">
      <c r="A499">
        <v>497</v>
      </c>
      <c r="B499">
        <v>422</v>
      </c>
      <c r="C499" t="s">
        <v>2053</v>
      </c>
      <c r="D499" t="s">
        <v>2070</v>
      </c>
      <c r="E499" s="6" t="s">
        <v>3444</v>
      </c>
      <c r="F499" s="1">
        <v>45292</v>
      </c>
      <c r="G499">
        <v>196</v>
      </c>
      <c r="H499" t="s">
        <v>2055</v>
      </c>
      <c r="I499">
        <v>2</v>
      </c>
      <c r="J499" t="s">
        <v>2529</v>
      </c>
      <c r="K499" s="1">
        <v>43831</v>
      </c>
      <c r="L499">
        <v>2020</v>
      </c>
      <c r="M499" t="s">
        <v>2045</v>
      </c>
    </row>
    <row r="500" spans="1:13" x14ac:dyDescent="0.3">
      <c r="A500">
        <v>498</v>
      </c>
      <c r="B500">
        <v>422</v>
      </c>
      <c r="C500" t="s">
        <v>2053</v>
      </c>
      <c r="D500" t="s">
        <v>2048</v>
      </c>
      <c r="E500" s="6" t="s">
        <v>3443</v>
      </c>
      <c r="F500" s="1">
        <v>44682</v>
      </c>
      <c r="G500">
        <v>123</v>
      </c>
      <c r="H500" t="s">
        <v>2047</v>
      </c>
      <c r="I500">
        <v>1</v>
      </c>
      <c r="J500" t="s">
        <v>2223</v>
      </c>
      <c r="K500" s="1">
        <v>43831</v>
      </c>
      <c r="L500">
        <v>2020</v>
      </c>
      <c r="M500" t="s">
        <v>2045</v>
      </c>
    </row>
    <row r="501" spans="1:13" x14ac:dyDescent="0.3">
      <c r="A501">
        <v>499</v>
      </c>
      <c r="B501">
        <v>936</v>
      </c>
      <c r="C501" t="s">
        <v>2053</v>
      </c>
      <c r="D501" t="s">
        <v>2052</v>
      </c>
      <c r="E501" s="6" t="s">
        <v>3434</v>
      </c>
      <c r="F501" s="1">
        <v>44044</v>
      </c>
      <c r="G501">
        <v>655</v>
      </c>
      <c r="H501" t="s">
        <v>2047</v>
      </c>
      <c r="I501">
        <v>1</v>
      </c>
      <c r="J501" t="s">
        <v>3433</v>
      </c>
      <c r="K501" s="1">
        <v>43831</v>
      </c>
      <c r="L501">
        <v>2020</v>
      </c>
      <c r="M501" t="s">
        <v>2045</v>
      </c>
    </row>
    <row r="502" spans="1:13" x14ac:dyDescent="0.3">
      <c r="A502">
        <v>500</v>
      </c>
      <c r="B502">
        <v>258</v>
      </c>
      <c r="C502" t="s">
        <v>2053</v>
      </c>
      <c r="D502" t="s">
        <v>2052</v>
      </c>
      <c r="E502" s="6" t="s">
        <v>3430</v>
      </c>
      <c r="F502" s="1">
        <v>43831</v>
      </c>
      <c r="G502">
        <v>949</v>
      </c>
      <c r="H502" t="s">
        <v>2047</v>
      </c>
      <c r="I502">
        <v>1</v>
      </c>
      <c r="J502" t="s">
        <v>3429</v>
      </c>
      <c r="K502" s="1">
        <v>43831</v>
      </c>
      <c r="L502">
        <v>2020</v>
      </c>
      <c r="M502" t="s">
        <v>2045</v>
      </c>
    </row>
    <row r="503" spans="1:13" x14ac:dyDescent="0.3">
      <c r="A503">
        <v>501</v>
      </c>
      <c r="B503">
        <v>1978</v>
      </c>
      <c r="C503" t="s">
        <v>2053</v>
      </c>
      <c r="D503" t="s">
        <v>2052</v>
      </c>
      <c r="E503" s="6" t="s">
        <v>3428</v>
      </c>
      <c r="F503" s="1">
        <v>43831</v>
      </c>
      <c r="G503">
        <v>795</v>
      </c>
      <c r="H503" t="s">
        <v>2047</v>
      </c>
      <c r="I503">
        <v>2</v>
      </c>
      <c r="J503" t="s">
        <v>2709</v>
      </c>
      <c r="K503" s="1">
        <v>43831</v>
      </c>
      <c r="L503">
        <v>2020</v>
      </c>
      <c r="M503" t="s">
        <v>2045</v>
      </c>
    </row>
    <row r="504" spans="1:13" x14ac:dyDescent="0.3">
      <c r="A504">
        <v>502</v>
      </c>
      <c r="B504">
        <v>1976</v>
      </c>
      <c r="C504" t="s">
        <v>2053</v>
      </c>
      <c r="D504" t="s">
        <v>2052</v>
      </c>
      <c r="E504" s="6" t="s">
        <v>3427</v>
      </c>
      <c r="F504" s="1">
        <v>44531</v>
      </c>
      <c r="G504">
        <v>914</v>
      </c>
      <c r="H504" t="s">
        <v>2055</v>
      </c>
      <c r="I504">
        <v>2</v>
      </c>
      <c r="J504" t="s">
        <v>3426</v>
      </c>
      <c r="K504" s="1">
        <v>43831</v>
      </c>
      <c r="L504">
        <v>2020</v>
      </c>
      <c r="M504" t="s">
        <v>2045</v>
      </c>
    </row>
    <row r="505" spans="1:13" x14ac:dyDescent="0.3">
      <c r="A505">
        <v>503</v>
      </c>
      <c r="B505">
        <v>1887</v>
      </c>
      <c r="C505" t="s">
        <v>2053</v>
      </c>
      <c r="D505" t="s">
        <v>2048</v>
      </c>
      <c r="E505" s="6" t="s">
        <v>3423</v>
      </c>
      <c r="F505" s="1">
        <v>43862</v>
      </c>
      <c r="G505">
        <v>298</v>
      </c>
      <c r="H505" t="s">
        <v>2047</v>
      </c>
      <c r="I505">
        <v>1</v>
      </c>
      <c r="J505" t="s">
        <v>2453</v>
      </c>
      <c r="K505" s="1">
        <v>43831</v>
      </c>
      <c r="L505">
        <v>2020</v>
      </c>
      <c r="M505" t="s">
        <v>2045</v>
      </c>
    </row>
    <row r="506" spans="1:13" x14ac:dyDescent="0.3">
      <c r="A506">
        <v>504</v>
      </c>
      <c r="B506">
        <v>1887</v>
      </c>
      <c r="C506" t="s">
        <v>2053</v>
      </c>
      <c r="D506" t="s">
        <v>2048</v>
      </c>
      <c r="E506" s="6" t="s">
        <v>3422</v>
      </c>
      <c r="F506" s="1">
        <v>44713</v>
      </c>
      <c r="G506">
        <v>926</v>
      </c>
      <c r="H506" t="s">
        <v>2047</v>
      </c>
      <c r="I506">
        <v>1</v>
      </c>
      <c r="J506" t="s">
        <v>2369</v>
      </c>
      <c r="K506" s="1">
        <v>43831</v>
      </c>
      <c r="L506">
        <v>2020</v>
      </c>
      <c r="M506" t="s">
        <v>2045</v>
      </c>
    </row>
    <row r="507" spans="1:13" x14ac:dyDescent="0.3">
      <c r="A507">
        <v>505</v>
      </c>
      <c r="B507">
        <v>195</v>
      </c>
      <c r="C507" t="s">
        <v>2053</v>
      </c>
      <c r="D507" t="s">
        <v>2052</v>
      </c>
      <c r="E507" s="6" t="s">
        <v>3421</v>
      </c>
      <c r="F507" s="1">
        <v>43831</v>
      </c>
      <c r="G507">
        <v>643</v>
      </c>
      <c r="H507" t="s">
        <v>2047</v>
      </c>
      <c r="I507">
        <v>1</v>
      </c>
      <c r="J507" t="s">
        <v>3420</v>
      </c>
      <c r="K507" s="1">
        <v>43831</v>
      </c>
      <c r="L507">
        <v>2020</v>
      </c>
      <c r="M507" t="s">
        <v>2045</v>
      </c>
    </row>
    <row r="508" spans="1:13" x14ac:dyDescent="0.3">
      <c r="A508">
        <v>506</v>
      </c>
      <c r="B508">
        <v>874</v>
      </c>
      <c r="C508" t="s">
        <v>2053</v>
      </c>
      <c r="D508" t="s">
        <v>2048</v>
      </c>
      <c r="E508" s="6" t="s">
        <v>3418</v>
      </c>
      <c r="F508" s="1">
        <v>43922</v>
      </c>
      <c r="G508">
        <v>47</v>
      </c>
      <c r="H508" t="s">
        <v>2047</v>
      </c>
      <c r="I508">
        <v>1</v>
      </c>
      <c r="J508" t="s">
        <v>2098</v>
      </c>
      <c r="K508" s="1">
        <v>43831</v>
      </c>
      <c r="L508">
        <v>2020</v>
      </c>
      <c r="M508" t="s">
        <v>2045</v>
      </c>
    </row>
    <row r="509" spans="1:13" x14ac:dyDescent="0.3">
      <c r="A509">
        <v>507</v>
      </c>
      <c r="B509">
        <v>785</v>
      </c>
      <c r="C509" t="s">
        <v>2053</v>
      </c>
      <c r="D509" t="s">
        <v>2048</v>
      </c>
      <c r="E509" s="6" t="s">
        <v>3417</v>
      </c>
      <c r="F509" s="1">
        <v>45627</v>
      </c>
      <c r="G509">
        <v>533</v>
      </c>
      <c r="H509" t="s">
        <v>2047</v>
      </c>
      <c r="I509">
        <v>1</v>
      </c>
      <c r="J509" t="s">
        <v>2465</v>
      </c>
      <c r="K509" s="1">
        <v>43831</v>
      </c>
      <c r="L509">
        <v>2020</v>
      </c>
      <c r="M509" t="s">
        <v>2045</v>
      </c>
    </row>
    <row r="510" spans="1:13" x14ac:dyDescent="0.3">
      <c r="A510">
        <v>508</v>
      </c>
      <c r="B510">
        <v>685</v>
      </c>
      <c r="C510" t="s">
        <v>2053</v>
      </c>
      <c r="D510" t="s">
        <v>2052</v>
      </c>
      <c r="E510" s="6" t="s">
        <v>3414</v>
      </c>
      <c r="F510" s="1">
        <v>43862</v>
      </c>
      <c r="G510">
        <v>205</v>
      </c>
      <c r="H510" t="s">
        <v>2047</v>
      </c>
      <c r="I510">
        <v>2</v>
      </c>
      <c r="J510" t="s">
        <v>3413</v>
      </c>
      <c r="K510" s="1">
        <v>43831</v>
      </c>
      <c r="L510">
        <v>2020</v>
      </c>
      <c r="M510" t="s">
        <v>2045</v>
      </c>
    </row>
    <row r="511" spans="1:13" x14ac:dyDescent="0.3">
      <c r="A511">
        <v>509</v>
      </c>
      <c r="B511">
        <v>736</v>
      </c>
      <c r="C511" t="s">
        <v>2053</v>
      </c>
      <c r="D511" t="s">
        <v>2070</v>
      </c>
      <c r="E511" s="6" t="s">
        <v>3407</v>
      </c>
      <c r="F511" s="1">
        <v>45597</v>
      </c>
      <c r="G511">
        <v>462</v>
      </c>
      <c r="H511" t="s">
        <v>2047</v>
      </c>
      <c r="I511">
        <v>1</v>
      </c>
      <c r="J511" t="s">
        <v>2520</v>
      </c>
      <c r="K511" s="1">
        <v>43831</v>
      </c>
      <c r="L511">
        <v>2020</v>
      </c>
      <c r="M511" t="s">
        <v>2045</v>
      </c>
    </row>
    <row r="512" spans="1:13" x14ac:dyDescent="0.3">
      <c r="A512">
        <v>510</v>
      </c>
      <c r="B512">
        <v>736</v>
      </c>
      <c r="C512" t="s">
        <v>2053</v>
      </c>
      <c r="D512" t="s">
        <v>2070</v>
      </c>
      <c r="E512" s="6" t="s">
        <v>3406</v>
      </c>
      <c r="F512" s="1">
        <v>45536</v>
      </c>
      <c r="G512">
        <v>397</v>
      </c>
      <c r="H512" t="s">
        <v>2047</v>
      </c>
      <c r="I512">
        <v>2</v>
      </c>
      <c r="J512" t="s">
        <v>2413</v>
      </c>
      <c r="K512" s="1">
        <v>43831</v>
      </c>
      <c r="L512">
        <v>2020</v>
      </c>
      <c r="M512" t="s">
        <v>2045</v>
      </c>
    </row>
    <row r="513" spans="1:13" x14ac:dyDescent="0.3">
      <c r="A513">
        <v>511</v>
      </c>
      <c r="B513">
        <v>1776</v>
      </c>
      <c r="C513" t="s">
        <v>2053</v>
      </c>
      <c r="D513" t="s">
        <v>2052</v>
      </c>
      <c r="E513" s="6" t="s">
        <v>3405</v>
      </c>
      <c r="F513" s="1">
        <v>43862</v>
      </c>
      <c r="G513">
        <v>625</v>
      </c>
      <c r="H513" t="s">
        <v>2047</v>
      </c>
      <c r="I513">
        <v>2</v>
      </c>
      <c r="J513" t="s">
        <v>3404</v>
      </c>
      <c r="K513" s="1">
        <v>43831</v>
      </c>
      <c r="L513">
        <v>2020</v>
      </c>
      <c r="M513" t="s">
        <v>2045</v>
      </c>
    </row>
    <row r="514" spans="1:13" x14ac:dyDescent="0.3">
      <c r="A514">
        <v>512</v>
      </c>
      <c r="B514">
        <v>1524</v>
      </c>
      <c r="C514" t="s">
        <v>2053</v>
      </c>
      <c r="D514" t="s">
        <v>2052</v>
      </c>
      <c r="E514" s="6" t="s">
        <v>3403</v>
      </c>
      <c r="F514" s="1">
        <v>44713</v>
      </c>
      <c r="G514">
        <v>451</v>
      </c>
      <c r="H514" t="s">
        <v>2047</v>
      </c>
      <c r="I514">
        <v>1</v>
      </c>
      <c r="J514" t="s">
        <v>3402</v>
      </c>
      <c r="K514" s="1">
        <v>43831</v>
      </c>
      <c r="L514">
        <v>2020</v>
      </c>
      <c r="M514" t="s">
        <v>2045</v>
      </c>
    </row>
    <row r="515" spans="1:13" x14ac:dyDescent="0.3">
      <c r="A515">
        <v>513</v>
      </c>
      <c r="B515">
        <v>767</v>
      </c>
      <c r="C515" t="s">
        <v>2053</v>
      </c>
      <c r="D515" t="s">
        <v>2070</v>
      </c>
      <c r="E515" s="6" t="s">
        <v>3399</v>
      </c>
      <c r="F515" s="1">
        <v>43831</v>
      </c>
      <c r="G515">
        <v>259</v>
      </c>
      <c r="H515" t="s">
        <v>2047</v>
      </c>
      <c r="I515">
        <v>2</v>
      </c>
      <c r="J515" t="s">
        <v>3134</v>
      </c>
      <c r="K515" s="1">
        <v>43831</v>
      </c>
      <c r="L515">
        <v>2020</v>
      </c>
      <c r="M515" t="s">
        <v>2045</v>
      </c>
    </row>
    <row r="516" spans="1:13" x14ac:dyDescent="0.3">
      <c r="A516">
        <v>514</v>
      </c>
      <c r="B516">
        <v>678</v>
      </c>
      <c r="C516" t="s">
        <v>2053</v>
      </c>
      <c r="D516" t="s">
        <v>2052</v>
      </c>
      <c r="E516" s="6" t="s">
        <v>3398</v>
      </c>
      <c r="F516" s="1">
        <v>45536</v>
      </c>
      <c r="G516">
        <v>157</v>
      </c>
      <c r="H516" t="s">
        <v>2047</v>
      </c>
      <c r="I516">
        <v>1</v>
      </c>
      <c r="J516" t="s">
        <v>2298</v>
      </c>
      <c r="K516" s="1">
        <v>43831</v>
      </c>
      <c r="L516">
        <v>2020</v>
      </c>
      <c r="M516" t="s">
        <v>2045</v>
      </c>
    </row>
    <row r="517" spans="1:13" x14ac:dyDescent="0.3">
      <c r="A517">
        <v>515</v>
      </c>
      <c r="B517">
        <v>1724</v>
      </c>
      <c r="C517" t="s">
        <v>2053</v>
      </c>
      <c r="D517" t="s">
        <v>2052</v>
      </c>
      <c r="E517" s="6" t="s">
        <v>3395</v>
      </c>
      <c r="F517" s="1">
        <v>44378</v>
      </c>
      <c r="G517">
        <v>136</v>
      </c>
      <c r="H517" t="s">
        <v>2047</v>
      </c>
      <c r="I517">
        <v>1</v>
      </c>
      <c r="J517" t="s">
        <v>1750</v>
      </c>
      <c r="K517" s="1">
        <v>43831</v>
      </c>
      <c r="L517">
        <v>2020</v>
      </c>
      <c r="M517" t="s">
        <v>2045</v>
      </c>
    </row>
    <row r="518" spans="1:13" x14ac:dyDescent="0.3">
      <c r="A518">
        <v>516</v>
      </c>
      <c r="B518">
        <v>158</v>
      </c>
      <c r="C518" t="s">
        <v>2053</v>
      </c>
      <c r="D518" t="s">
        <v>2052</v>
      </c>
      <c r="E518" s="6" t="s">
        <v>3394</v>
      </c>
      <c r="F518" s="1">
        <v>43862</v>
      </c>
      <c r="G518">
        <v>902</v>
      </c>
      <c r="H518" t="s">
        <v>2047</v>
      </c>
      <c r="I518">
        <v>1</v>
      </c>
      <c r="J518" t="s">
        <v>3006</v>
      </c>
      <c r="K518" s="1">
        <v>43831</v>
      </c>
      <c r="L518">
        <v>2020</v>
      </c>
      <c r="M518" t="s">
        <v>2045</v>
      </c>
    </row>
    <row r="519" spans="1:13" x14ac:dyDescent="0.3">
      <c r="A519">
        <v>517</v>
      </c>
      <c r="B519">
        <v>143</v>
      </c>
      <c r="C519" t="s">
        <v>2053</v>
      </c>
      <c r="D519" t="s">
        <v>2070</v>
      </c>
      <c r="E519" s="6" t="s">
        <v>3386</v>
      </c>
      <c r="F519" s="1">
        <v>43862</v>
      </c>
      <c r="G519">
        <v>91</v>
      </c>
      <c r="H519" t="s">
        <v>2047</v>
      </c>
      <c r="I519">
        <v>2</v>
      </c>
      <c r="J519" t="s">
        <v>2485</v>
      </c>
      <c r="K519" s="1">
        <v>43831</v>
      </c>
      <c r="L519">
        <v>2020</v>
      </c>
      <c r="M519" t="s">
        <v>2045</v>
      </c>
    </row>
    <row r="520" spans="1:13" x14ac:dyDescent="0.3">
      <c r="A520">
        <v>518</v>
      </c>
      <c r="B520">
        <v>1108</v>
      </c>
      <c r="C520" t="s">
        <v>2053</v>
      </c>
      <c r="D520" t="s">
        <v>2048</v>
      </c>
      <c r="E520" s="6" t="s">
        <v>3383</v>
      </c>
      <c r="F520" s="1">
        <v>43831</v>
      </c>
      <c r="G520">
        <v>662</v>
      </c>
      <c r="H520" t="s">
        <v>2047</v>
      </c>
      <c r="I520">
        <v>1</v>
      </c>
      <c r="J520" t="s">
        <v>2247</v>
      </c>
      <c r="K520" s="1">
        <v>43831</v>
      </c>
      <c r="L520">
        <v>2020</v>
      </c>
      <c r="M520" t="s">
        <v>2045</v>
      </c>
    </row>
    <row r="521" spans="1:13" x14ac:dyDescent="0.3">
      <c r="A521">
        <v>519</v>
      </c>
      <c r="B521">
        <v>270</v>
      </c>
      <c r="C521" t="s">
        <v>2053</v>
      </c>
      <c r="D521" t="s">
        <v>2070</v>
      </c>
      <c r="E521" s="6" t="s">
        <v>3380</v>
      </c>
      <c r="F521" s="1">
        <v>43862</v>
      </c>
      <c r="G521">
        <v>379</v>
      </c>
      <c r="H521" t="s">
        <v>2047</v>
      </c>
      <c r="I521">
        <v>1</v>
      </c>
      <c r="J521" t="s">
        <v>2948</v>
      </c>
      <c r="K521" s="1">
        <v>43831</v>
      </c>
      <c r="L521">
        <v>2020</v>
      </c>
      <c r="M521" t="s">
        <v>2045</v>
      </c>
    </row>
    <row r="522" spans="1:13" x14ac:dyDescent="0.3">
      <c r="A522">
        <v>520</v>
      </c>
      <c r="B522">
        <v>270</v>
      </c>
      <c r="C522" t="s">
        <v>2053</v>
      </c>
      <c r="D522" t="s">
        <v>2052</v>
      </c>
      <c r="E522" s="6" t="s">
        <v>3379</v>
      </c>
      <c r="F522" s="1">
        <v>43831</v>
      </c>
      <c r="G522">
        <v>217</v>
      </c>
      <c r="H522" t="s">
        <v>2055</v>
      </c>
      <c r="I522">
        <v>2</v>
      </c>
      <c r="J522" t="s">
        <v>2488</v>
      </c>
      <c r="K522" s="1">
        <v>43831</v>
      </c>
      <c r="L522">
        <v>2020</v>
      </c>
      <c r="M522" t="s">
        <v>2045</v>
      </c>
    </row>
    <row r="523" spans="1:13" x14ac:dyDescent="0.3">
      <c r="A523">
        <v>521</v>
      </c>
      <c r="B523">
        <v>1438</v>
      </c>
      <c r="C523" t="s">
        <v>2053</v>
      </c>
      <c r="D523" t="s">
        <v>2052</v>
      </c>
      <c r="E523" s="6" t="s">
        <v>3378</v>
      </c>
      <c r="F523" s="1">
        <v>44805</v>
      </c>
      <c r="G523">
        <v>80</v>
      </c>
      <c r="H523" t="s">
        <v>2047</v>
      </c>
      <c r="I523">
        <v>2</v>
      </c>
      <c r="J523" t="s">
        <v>3377</v>
      </c>
      <c r="K523" s="1">
        <v>43831</v>
      </c>
      <c r="L523">
        <v>2020</v>
      </c>
      <c r="M523" t="s">
        <v>2045</v>
      </c>
    </row>
    <row r="524" spans="1:13" x14ac:dyDescent="0.3">
      <c r="A524">
        <v>522</v>
      </c>
      <c r="B524">
        <v>1021</v>
      </c>
      <c r="C524" t="s">
        <v>2053</v>
      </c>
      <c r="D524" t="s">
        <v>2070</v>
      </c>
      <c r="E524" s="6" t="s">
        <v>3370</v>
      </c>
      <c r="F524" s="1">
        <v>45383</v>
      </c>
      <c r="G524">
        <v>905</v>
      </c>
      <c r="H524" t="s">
        <v>2047</v>
      </c>
      <c r="I524">
        <v>1</v>
      </c>
      <c r="J524" t="s">
        <v>2138</v>
      </c>
      <c r="K524" s="1">
        <v>43831</v>
      </c>
      <c r="L524">
        <v>2020</v>
      </c>
      <c r="M524" t="s">
        <v>2045</v>
      </c>
    </row>
    <row r="525" spans="1:13" x14ac:dyDescent="0.3">
      <c r="A525">
        <v>523</v>
      </c>
      <c r="B525">
        <v>829</v>
      </c>
      <c r="C525" t="s">
        <v>2053</v>
      </c>
      <c r="D525" t="s">
        <v>2052</v>
      </c>
      <c r="E525" s="6" t="s">
        <v>3363</v>
      </c>
      <c r="F525" s="1">
        <v>45200</v>
      </c>
      <c r="G525">
        <v>139</v>
      </c>
      <c r="H525" t="s">
        <v>2047</v>
      </c>
      <c r="I525">
        <v>3</v>
      </c>
      <c r="J525" t="s">
        <v>3362</v>
      </c>
      <c r="K525" s="1">
        <v>43831</v>
      </c>
      <c r="L525">
        <v>2020</v>
      </c>
      <c r="M525" t="s">
        <v>2045</v>
      </c>
    </row>
    <row r="526" spans="1:13" x14ac:dyDescent="0.3">
      <c r="A526">
        <v>524</v>
      </c>
      <c r="B526">
        <v>193</v>
      </c>
      <c r="C526" t="s">
        <v>2053</v>
      </c>
      <c r="D526" t="s">
        <v>2070</v>
      </c>
      <c r="E526" s="6" t="s">
        <v>3361</v>
      </c>
      <c r="F526" s="1">
        <v>44256</v>
      </c>
      <c r="G526">
        <v>587</v>
      </c>
      <c r="H526" t="s">
        <v>2047</v>
      </c>
      <c r="I526">
        <v>2</v>
      </c>
      <c r="J526" t="s">
        <v>2322</v>
      </c>
      <c r="K526" s="1">
        <v>43831</v>
      </c>
      <c r="L526">
        <v>2020</v>
      </c>
      <c r="M526" t="s">
        <v>2045</v>
      </c>
    </row>
    <row r="527" spans="1:13" x14ac:dyDescent="0.3">
      <c r="A527">
        <v>525</v>
      </c>
      <c r="B527">
        <v>1160</v>
      </c>
      <c r="C527" t="s">
        <v>2053</v>
      </c>
      <c r="D527" t="s">
        <v>2052</v>
      </c>
      <c r="E527" s="6" t="s">
        <v>3356</v>
      </c>
      <c r="F527" s="1">
        <v>45536</v>
      </c>
      <c r="G527">
        <v>948</v>
      </c>
      <c r="H527" t="s">
        <v>2047</v>
      </c>
      <c r="I527">
        <v>1</v>
      </c>
      <c r="J527" t="s">
        <v>3355</v>
      </c>
      <c r="K527" s="1">
        <v>43831</v>
      </c>
      <c r="L527">
        <v>2020</v>
      </c>
      <c r="M527" t="s">
        <v>2045</v>
      </c>
    </row>
    <row r="528" spans="1:13" x14ac:dyDescent="0.3">
      <c r="A528">
        <v>526</v>
      </c>
      <c r="B528">
        <v>507</v>
      </c>
      <c r="C528" t="s">
        <v>2053</v>
      </c>
      <c r="D528" t="s">
        <v>2070</v>
      </c>
      <c r="E528" s="6" t="s">
        <v>3342</v>
      </c>
      <c r="F528" s="1">
        <v>43862</v>
      </c>
      <c r="G528">
        <v>959</v>
      </c>
      <c r="H528" t="s">
        <v>2047</v>
      </c>
      <c r="I528">
        <v>3</v>
      </c>
      <c r="J528" t="s">
        <v>2636</v>
      </c>
      <c r="K528" s="1">
        <v>43831</v>
      </c>
      <c r="L528">
        <v>2020</v>
      </c>
      <c r="M528" t="s">
        <v>2045</v>
      </c>
    </row>
    <row r="529" spans="1:13" x14ac:dyDescent="0.3">
      <c r="A529">
        <v>527</v>
      </c>
      <c r="B529">
        <v>1465</v>
      </c>
      <c r="C529" t="s">
        <v>2053</v>
      </c>
      <c r="D529" t="s">
        <v>2048</v>
      </c>
      <c r="E529" s="6" t="s">
        <v>3335</v>
      </c>
      <c r="F529" s="1">
        <v>44927</v>
      </c>
      <c r="G529">
        <v>774</v>
      </c>
      <c r="H529" t="s">
        <v>2047</v>
      </c>
      <c r="I529">
        <v>1</v>
      </c>
      <c r="J529" t="s">
        <v>2173</v>
      </c>
      <c r="K529" s="1">
        <v>43831</v>
      </c>
      <c r="L529">
        <v>2020</v>
      </c>
      <c r="M529" t="s">
        <v>2045</v>
      </c>
    </row>
    <row r="530" spans="1:13" x14ac:dyDescent="0.3">
      <c r="A530">
        <v>528</v>
      </c>
      <c r="B530">
        <v>1396</v>
      </c>
      <c r="C530" t="s">
        <v>2053</v>
      </c>
      <c r="D530" t="s">
        <v>2070</v>
      </c>
      <c r="E530" s="6" t="s">
        <v>3332</v>
      </c>
      <c r="F530" s="1">
        <v>43862</v>
      </c>
      <c r="G530">
        <v>101</v>
      </c>
      <c r="H530" t="s">
        <v>2047</v>
      </c>
      <c r="I530">
        <v>1</v>
      </c>
      <c r="J530" t="s">
        <v>3331</v>
      </c>
      <c r="K530" s="1">
        <v>43831</v>
      </c>
      <c r="L530">
        <v>2020</v>
      </c>
      <c r="M530" t="s">
        <v>2045</v>
      </c>
    </row>
    <row r="531" spans="1:13" x14ac:dyDescent="0.3">
      <c r="A531">
        <v>529</v>
      </c>
      <c r="B531">
        <v>599</v>
      </c>
      <c r="C531" t="s">
        <v>2053</v>
      </c>
      <c r="D531" t="s">
        <v>2052</v>
      </c>
      <c r="E531" s="6" t="s">
        <v>3328</v>
      </c>
      <c r="F531" s="1">
        <v>43831</v>
      </c>
      <c r="G531">
        <v>475</v>
      </c>
      <c r="H531" t="s">
        <v>2047</v>
      </c>
      <c r="I531">
        <v>1</v>
      </c>
      <c r="J531" t="s">
        <v>3327</v>
      </c>
      <c r="K531" s="1">
        <v>43831</v>
      </c>
      <c r="L531">
        <v>2020</v>
      </c>
      <c r="M531" t="s">
        <v>2045</v>
      </c>
    </row>
    <row r="532" spans="1:13" x14ac:dyDescent="0.3">
      <c r="A532">
        <v>530</v>
      </c>
      <c r="B532">
        <v>1394</v>
      </c>
      <c r="C532" t="s">
        <v>2053</v>
      </c>
      <c r="D532" t="s">
        <v>2052</v>
      </c>
      <c r="E532" s="6" t="s">
        <v>3321</v>
      </c>
      <c r="F532" s="1">
        <v>45200</v>
      </c>
      <c r="G532">
        <v>951</v>
      </c>
      <c r="H532" t="s">
        <v>2047</v>
      </c>
      <c r="I532">
        <v>2</v>
      </c>
      <c r="J532" t="s">
        <v>3320</v>
      </c>
      <c r="K532" s="1">
        <v>43831</v>
      </c>
      <c r="L532">
        <v>2020</v>
      </c>
      <c r="M532" t="s">
        <v>2045</v>
      </c>
    </row>
    <row r="533" spans="1:13" x14ac:dyDescent="0.3">
      <c r="A533">
        <v>531</v>
      </c>
      <c r="B533">
        <v>310</v>
      </c>
      <c r="C533" t="s">
        <v>2053</v>
      </c>
      <c r="D533" t="s">
        <v>2052</v>
      </c>
      <c r="E533" s="6" t="s">
        <v>3314</v>
      </c>
      <c r="F533" s="1">
        <v>44501</v>
      </c>
      <c r="G533">
        <v>719</v>
      </c>
      <c r="H533" t="s">
        <v>2047</v>
      </c>
      <c r="I533">
        <v>2</v>
      </c>
      <c r="J533" t="s">
        <v>3313</v>
      </c>
      <c r="K533" s="1">
        <v>43831</v>
      </c>
      <c r="L533">
        <v>2020</v>
      </c>
      <c r="M533" t="s">
        <v>2045</v>
      </c>
    </row>
    <row r="534" spans="1:13" x14ac:dyDescent="0.3">
      <c r="A534">
        <v>532</v>
      </c>
      <c r="B534">
        <v>1239</v>
      </c>
      <c r="C534" t="s">
        <v>2053</v>
      </c>
      <c r="D534" t="s">
        <v>2048</v>
      </c>
      <c r="E534" s="6" t="s">
        <v>3310</v>
      </c>
      <c r="F534" s="1">
        <v>45536</v>
      </c>
      <c r="G534">
        <v>932</v>
      </c>
      <c r="H534" t="s">
        <v>2047</v>
      </c>
      <c r="I534">
        <v>2</v>
      </c>
      <c r="J534" t="s">
        <v>2058</v>
      </c>
      <c r="K534" s="1">
        <v>43831</v>
      </c>
      <c r="L534">
        <v>2020</v>
      </c>
      <c r="M534" t="s">
        <v>2045</v>
      </c>
    </row>
    <row r="535" spans="1:13" x14ac:dyDescent="0.3">
      <c r="A535">
        <v>533</v>
      </c>
      <c r="B535">
        <v>1691</v>
      </c>
      <c r="C535" t="s">
        <v>2053</v>
      </c>
      <c r="D535" t="s">
        <v>2048</v>
      </c>
      <c r="E535" s="6" t="s">
        <v>3308</v>
      </c>
      <c r="F535" s="1">
        <v>43862</v>
      </c>
      <c r="G535">
        <v>793</v>
      </c>
      <c r="H535" t="s">
        <v>2047</v>
      </c>
      <c r="I535">
        <v>1</v>
      </c>
      <c r="J535" t="s">
        <v>433</v>
      </c>
      <c r="K535" s="1">
        <v>43831</v>
      </c>
      <c r="L535">
        <v>2020</v>
      </c>
      <c r="M535" t="s">
        <v>2045</v>
      </c>
    </row>
    <row r="536" spans="1:13" x14ac:dyDescent="0.3">
      <c r="A536">
        <v>534</v>
      </c>
      <c r="B536">
        <v>1570</v>
      </c>
      <c r="C536" t="s">
        <v>2053</v>
      </c>
      <c r="D536" t="s">
        <v>2070</v>
      </c>
      <c r="E536" s="6" t="s">
        <v>3300</v>
      </c>
      <c r="F536" s="1">
        <v>45352</v>
      </c>
      <c r="G536">
        <v>311</v>
      </c>
      <c r="H536" t="s">
        <v>2047</v>
      </c>
      <c r="I536">
        <v>1</v>
      </c>
      <c r="J536" t="s">
        <v>2529</v>
      </c>
      <c r="K536" s="1">
        <v>43831</v>
      </c>
      <c r="L536">
        <v>2020</v>
      </c>
      <c r="M536" t="s">
        <v>2045</v>
      </c>
    </row>
    <row r="537" spans="1:13" x14ac:dyDescent="0.3">
      <c r="A537">
        <v>535</v>
      </c>
      <c r="B537">
        <v>886</v>
      </c>
      <c r="C537" t="s">
        <v>2053</v>
      </c>
      <c r="D537" t="s">
        <v>2052</v>
      </c>
      <c r="E537" s="6" t="s">
        <v>3295</v>
      </c>
      <c r="F537" s="1">
        <v>43831</v>
      </c>
      <c r="G537">
        <v>201</v>
      </c>
      <c r="H537" t="s">
        <v>2055</v>
      </c>
      <c r="I537">
        <v>1</v>
      </c>
      <c r="J537" t="s">
        <v>3294</v>
      </c>
      <c r="K537" s="1">
        <v>43831</v>
      </c>
      <c r="L537">
        <v>2020</v>
      </c>
      <c r="M537" t="s">
        <v>2045</v>
      </c>
    </row>
    <row r="538" spans="1:13" x14ac:dyDescent="0.3">
      <c r="A538">
        <v>536</v>
      </c>
      <c r="B538">
        <v>297</v>
      </c>
      <c r="C538" t="s">
        <v>2053</v>
      </c>
      <c r="D538" t="s">
        <v>2070</v>
      </c>
      <c r="E538" s="6" t="s">
        <v>3293</v>
      </c>
      <c r="F538" s="1">
        <v>44805</v>
      </c>
      <c r="G538">
        <v>942</v>
      </c>
      <c r="H538" t="s">
        <v>2047</v>
      </c>
      <c r="I538">
        <v>2</v>
      </c>
      <c r="J538" t="s">
        <v>2558</v>
      </c>
      <c r="K538" s="1">
        <v>43831</v>
      </c>
      <c r="L538">
        <v>2020</v>
      </c>
      <c r="M538" t="s">
        <v>2045</v>
      </c>
    </row>
    <row r="539" spans="1:13" x14ac:dyDescent="0.3">
      <c r="A539">
        <v>537</v>
      </c>
      <c r="B539">
        <v>786</v>
      </c>
      <c r="C539" t="s">
        <v>2053</v>
      </c>
      <c r="D539" t="s">
        <v>2052</v>
      </c>
      <c r="E539" s="6" t="s">
        <v>3286</v>
      </c>
      <c r="F539" s="1">
        <v>45474</v>
      </c>
      <c r="G539">
        <v>985</v>
      </c>
      <c r="H539" t="s">
        <v>2047</v>
      </c>
      <c r="I539">
        <v>2</v>
      </c>
      <c r="J539" t="s">
        <v>3285</v>
      </c>
      <c r="K539" s="1">
        <v>43831</v>
      </c>
      <c r="L539">
        <v>2020</v>
      </c>
      <c r="M539" t="s">
        <v>2045</v>
      </c>
    </row>
    <row r="540" spans="1:13" x14ac:dyDescent="0.3">
      <c r="A540">
        <v>538</v>
      </c>
      <c r="B540">
        <v>1886</v>
      </c>
      <c r="C540" t="s">
        <v>2053</v>
      </c>
      <c r="D540" t="s">
        <v>2048</v>
      </c>
      <c r="E540" s="6" t="s">
        <v>3284</v>
      </c>
      <c r="F540" s="1">
        <v>44805</v>
      </c>
      <c r="G540">
        <v>676</v>
      </c>
      <c r="H540" t="s">
        <v>2047</v>
      </c>
      <c r="I540">
        <v>1</v>
      </c>
      <c r="J540" t="s">
        <v>2095</v>
      </c>
      <c r="K540" s="1">
        <v>43831</v>
      </c>
      <c r="L540">
        <v>2020</v>
      </c>
      <c r="M540" t="s">
        <v>2045</v>
      </c>
    </row>
    <row r="541" spans="1:13" x14ac:dyDescent="0.3">
      <c r="A541">
        <v>539</v>
      </c>
      <c r="B541">
        <v>778</v>
      </c>
      <c r="C541" t="s">
        <v>2053</v>
      </c>
      <c r="D541" t="s">
        <v>2052</v>
      </c>
      <c r="E541" s="6" t="s">
        <v>3273</v>
      </c>
      <c r="F541" s="1">
        <v>45170</v>
      </c>
      <c r="G541">
        <v>3</v>
      </c>
      <c r="H541" t="s">
        <v>2047</v>
      </c>
      <c r="I541">
        <v>2</v>
      </c>
      <c r="J541" t="s">
        <v>3272</v>
      </c>
      <c r="K541" s="1">
        <v>43831</v>
      </c>
      <c r="L541">
        <v>2020</v>
      </c>
      <c r="M541" t="s">
        <v>2045</v>
      </c>
    </row>
    <row r="542" spans="1:13" x14ac:dyDescent="0.3">
      <c r="A542">
        <v>540</v>
      </c>
      <c r="B542">
        <v>1197</v>
      </c>
      <c r="C542" t="s">
        <v>2053</v>
      </c>
      <c r="D542" t="s">
        <v>2052</v>
      </c>
      <c r="E542" s="6" t="s">
        <v>3271</v>
      </c>
      <c r="F542" s="1">
        <v>44562</v>
      </c>
      <c r="G542">
        <v>232</v>
      </c>
      <c r="H542" t="s">
        <v>2047</v>
      </c>
      <c r="I542">
        <v>1</v>
      </c>
      <c r="J542" t="s">
        <v>3270</v>
      </c>
      <c r="K542" s="1">
        <v>43831</v>
      </c>
      <c r="L542">
        <v>2020</v>
      </c>
      <c r="M542" t="s">
        <v>2045</v>
      </c>
    </row>
    <row r="543" spans="1:13" x14ac:dyDescent="0.3">
      <c r="A543">
        <v>541</v>
      </c>
      <c r="B543">
        <v>787</v>
      </c>
      <c r="C543" t="s">
        <v>2053</v>
      </c>
      <c r="D543" t="s">
        <v>2070</v>
      </c>
      <c r="E543" s="6" t="s">
        <v>3265</v>
      </c>
      <c r="F543" s="1">
        <v>45597</v>
      </c>
      <c r="G543">
        <v>829</v>
      </c>
      <c r="H543" t="s">
        <v>2047</v>
      </c>
      <c r="I543">
        <v>1</v>
      </c>
      <c r="J543" t="s">
        <v>2105</v>
      </c>
      <c r="K543" s="1">
        <v>43831</v>
      </c>
      <c r="L543">
        <v>2020</v>
      </c>
      <c r="M543" t="s">
        <v>2045</v>
      </c>
    </row>
    <row r="544" spans="1:13" x14ac:dyDescent="0.3">
      <c r="A544">
        <v>542</v>
      </c>
      <c r="B544">
        <v>1935</v>
      </c>
      <c r="C544" t="s">
        <v>2053</v>
      </c>
      <c r="D544" t="s">
        <v>2052</v>
      </c>
      <c r="E544" s="6" t="s">
        <v>3260</v>
      </c>
      <c r="F544" s="1">
        <v>43831</v>
      </c>
      <c r="G544">
        <v>148</v>
      </c>
      <c r="H544" t="s">
        <v>2047</v>
      </c>
      <c r="I544">
        <v>2</v>
      </c>
      <c r="J544" t="s">
        <v>3259</v>
      </c>
      <c r="K544" s="1">
        <v>43831</v>
      </c>
      <c r="L544">
        <v>2020</v>
      </c>
      <c r="M544" t="s">
        <v>2045</v>
      </c>
    </row>
    <row r="545" spans="1:13" x14ac:dyDescent="0.3">
      <c r="A545">
        <v>543</v>
      </c>
      <c r="B545">
        <v>268</v>
      </c>
      <c r="C545" t="s">
        <v>2053</v>
      </c>
      <c r="D545" t="s">
        <v>2052</v>
      </c>
      <c r="E545" s="6" t="s">
        <v>3258</v>
      </c>
      <c r="F545" s="1">
        <v>45261</v>
      </c>
      <c r="G545">
        <v>998</v>
      </c>
      <c r="H545" t="s">
        <v>2047</v>
      </c>
      <c r="I545">
        <v>2</v>
      </c>
      <c r="J545" t="s">
        <v>1736</v>
      </c>
      <c r="K545" s="1">
        <v>43831</v>
      </c>
      <c r="L545">
        <v>2020</v>
      </c>
      <c r="M545" t="s">
        <v>2045</v>
      </c>
    </row>
    <row r="546" spans="1:13" x14ac:dyDescent="0.3">
      <c r="A546">
        <v>544</v>
      </c>
      <c r="B546">
        <v>922</v>
      </c>
      <c r="C546" t="s">
        <v>2053</v>
      </c>
      <c r="D546" t="s">
        <v>2070</v>
      </c>
      <c r="E546" s="6" t="s">
        <v>3254</v>
      </c>
      <c r="F546" s="1">
        <v>43831</v>
      </c>
      <c r="G546">
        <v>783</v>
      </c>
      <c r="H546" t="s">
        <v>2047</v>
      </c>
      <c r="I546">
        <v>2</v>
      </c>
      <c r="J546" t="s">
        <v>2686</v>
      </c>
      <c r="K546" s="1">
        <v>43831</v>
      </c>
      <c r="L546">
        <v>2020</v>
      </c>
      <c r="M546" t="s">
        <v>2045</v>
      </c>
    </row>
    <row r="547" spans="1:13" x14ac:dyDescent="0.3">
      <c r="A547">
        <v>545</v>
      </c>
      <c r="B547">
        <v>1494</v>
      </c>
      <c r="C547" t="s">
        <v>2053</v>
      </c>
      <c r="D547" t="s">
        <v>2052</v>
      </c>
      <c r="E547" s="6" t="s">
        <v>3252</v>
      </c>
      <c r="F547" s="1">
        <v>45536</v>
      </c>
      <c r="G547">
        <v>20</v>
      </c>
      <c r="H547" t="s">
        <v>2047</v>
      </c>
      <c r="I547">
        <v>1</v>
      </c>
      <c r="J547" t="s">
        <v>2482</v>
      </c>
      <c r="K547" s="1">
        <v>43831</v>
      </c>
      <c r="L547">
        <v>2020</v>
      </c>
      <c r="M547" t="s">
        <v>2045</v>
      </c>
    </row>
    <row r="548" spans="1:13" x14ac:dyDescent="0.3">
      <c r="A548">
        <v>546</v>
      </c>
      <c r="B548">
        <v>1139</v>
      </c>
      <c r="C548" t="s">
        <v>2053</v>
      </c>
      <c r="D548" t="s">
        <v>2052</v>
      </c>
      <c r="E548" s="6" t="s">
        <v>3250</v>
      </c>
      <c r="F548" s="1">
        <v>44531</v>
      </c>
      <c r="G548">
        <v>654</v>
      </c>
      <c r="H548" t="s">
        <v>2047</v>
      </c>
      <c r="I548">
        <v>2</v>
      </c>
      <c r="J548" t="s">
        <v>3249</v>
      </c>
      <c r="K548" s="1">
        <v>43831</v>
      </c>
      <c r="L548">
        <v>2020</v>
      </c>
      <c r="M548" t="s">
        <v>2045</v>
      </c>
    </row>
    <row r="549" spans="1:13" x14ac:dyDescent="0.3">
      <c r="A549">
        <v>547</v>
      </c>
      <c r="B549">
        <v>1174</v>
      </c>
      <c r="C549" t="s">
        <v>2053</v>
      </c>
      <c r="D549" t="s">
        <v>2052</v>
      </c>
      <c r="E549" s="6" t="s">
        <v>3247</v>
      </c>
      <c r="F549" s="1">
        <v>45505</v>
      </c>
      <c r="G549">
        <v>281</v>
      </c>
      <c r="H549" t="s">
        <v>2047</v>
      </c>
      <c r="I549">
        <v>2</v>
      </c>
      <c r="J549" t="s">
        <v>3246</v>
      </c>
      <c r="K549" s="1">
        <v>43831</v>
      </c>
      <c r="L549">
        <v>2020</v>
      </c>
      <c r="M549" t="s">
        <v>2045</v>
      </c>
    </row>
    <row r="550" spans="1:13" x14ac:dyDescent="0.3">
      <c r="A550">
        <v>548</v>
      </c>
      <c r="B550">
        <v>1005</v>
      </c>
      <c r="C550" t="s">
        <v>2053</v>
      </c>
      <c r="D550" t="s">
        <v>2052</v>
      </c>
      <c r="E550" s="6" t="s">
        <v>3243</v>
      </c>
      <c r="F550" s="1">
        <v>44136</v>
      </c>
      <c r="G550">
        <v>436</v>
      </c>
      <c r="H550" t="s">
        <v>2047</v>
      </c>
      <c r="I550">
        <v>2</v>
      </c>
      <c r="J550" t="s">
        <v>3242</v>
      </c>
      <c r="K550" s="1">
        <v>43831</v>
      </c>
      <c r="L550">
        <v>2020</v>
      </c>
      <c r="M550" t="s">
        <v>2045</v>
      </c>
    </row>
    <row r="551" spans="1:13" x14ac:dyDescent="0.3">
      <c r="A551">
        <v>549</v>
      </c>
      <c r="B551">
        <v>448</v>
      </c>
      <c r="C551" t="s">
        <v>2053</v>
      </c>
      <c r="D551" t="s">
        <v>2048</v>
      </c>
      <c r="E551" s="6" t="s">
        <v>3241</v>
      </c>
      <c r="F551" s="1">
        <v>44228</v>
      </c>
      <c r="G551">
        <v>247</v>
      </c>
      <c r="H551" t="s">
        <v>2047</v>
      </c>
      <c r="I551">
        <v>2</v>
      </c>
      <c r="J551" t="s">
        <v>2104</v>
      </c>
      <c r="K551" s="1">
        <v>43831</v>
      </c>
      <c r="L551">
        <v>2020</v>
      </c>
      <c r="M551" t="s">
        <v>2045</v>
      </c>
    </row>
    <row r="552" spans="1:13" x14ac:dyDescent="0.3">
      <c r="A552">
        <v>550</v>
      </c>
      <c r="B552">
        <v>1907</v>
      </c>
      <c r="C552" t="s">
        <v>2053</v>
      </c>
      <c r="D552" t="s">
        <v>2048</v>
      </c>
      <c r="E552" s="6" t="s">
        <v>3240</v>
      </c>
      <c r="F552" s="1">
        <v>44440</v>
      </c>
      <c r="G552">
        <v>895</v>
      </c>
      <c r="H552" t="s">
        <v>2047</v>
      </c>
      <c r="I552">
        <v>2</v>
      </c>
      <c r="J552" t="s">
        <v>1075</v>
      </c>
      <c r="K552" s="1">
        <v>43831</v>
      </c>
      <c r="L552">
        <v>2020</v>
      </c>
      <c r="M552" t="s">
        <v>2045</v>
      </c>
    </row>
    <row r="553" spans="1:13" x14ac:dyDescent="0.3">
      <c r="A553">
        <v>551</v>
      </c>
      <c r="B553">
        <v>1778</v>
      </c>
      <c r="C553" t="s">
        <v>2053</v>
      </c>
      <c r="D553" t="s">
        <v>2052</v>
      </c>
      <c r="E553" s="6" t="s">
        <v>3238</v>
      </c>
      <c r="F553" s="1">
        <v>44774</v>
      </c>
      <c r="G553">
        <v>259</v>
      </c>
      <c r="H553" t="s">
        <v>2047</v>
      </c>
      <c r="I553">
        <v>1</v>
      </c>
      <c r="J553" t="s">
        <v>3237</v>
      </c>
      <c r="K553" s="1">
        <v>43831</v>
      </c>
      <c r="L553">
        <v>2020</v>
      </c>
      <c r="M553" t="s">
        <v>2045</v>
      </c>
    </row>
    <row r="554" spans="1:13" x14ac:dyDescent="0.3">
      <c r="A554">
        <v>552</v>
      </c>
      <c r="B554">
        <v>243</v>
      </c>
      <c r="C554" t="s">
        <v>2053</v>
      </c>
      <c r="D554" t="s">
        <v>2052</v>
      </c>
      <c r="E554" s="6" t="s">
        <v>3231</v>
      </c>
      <c r="F554" s="1">
        <v>44986</v>
      </c>
      <c r="G554">
        <v>987</v>
      </c>
      <c r="H554" t="s">
        <v>2047</v>
      </c>
      <c r="I554">
        <v>1</v>
      </c>
      <c r="J554" t="s">
        <v>3230</v>
      </c>
      <c r="K554" s="1">
        <v>43831</v>
      </c>
      <c r="L554">
        <v>2020</v>
      </c>
      <c r="M554" t="s">
        <v>2045</v>
      </c>
    </row>
    <row r="555" spans="1:13" x14ac:dyDescent="0.3">
      <c r="A555">
        <v>553</v>
      </c>
      <c r="B555">
        <v>486</v>
      </c>
      <c r="C555" t="s">
        <v>2053</v>
      </c>
      <c r="D555" t="s">
        <v>2052</v>
      </c>
      <c r="E555" s="6" t="s">
        <v>3228</v>
      </c>
      <c r="F555" s="1">
        <v>43862</v>
      </c>
      <c r="G555">
        <v>108</v>
      </c>
      <c r="H555" t="s">
        <v>2055</v>
      </c>
      <c r="I555">
        <v>1</v>
      </c>
      <c r="J555" t="s">
        <v>3227</v>
      </c>
      <c r="K555" s="1">
        <v>43831</v>
      </c>
      <c r="L555">
        <v>2020</v>
      </c>
      <c r="M555" t="s">
        <v>2045</v>
      </c>
    </row>
    <row r="556" spans="1:13" x14ac:dyDescent="0.3">
      <c r="A556">
        <v>554</v>
      </c>
      <c r="B556">
        <v>1667</v>
      </c>
      <c r="C556" t="s">
        <v>2053</v>
      </c>
      <c r="D556" t="s">
        <v>2052</v>
      </c>
      <c r="E556" s="6" t="s">
        <v>3220</v>
      </c>
      <c r="F556" s="1">
        <v>43831</v>
      </c>
      <c r="G556">
        <v>724</v>
      </c>
      <c r="H556" t="s">
        <v>2047</v>
      </c>
      <c r="I556">
        <v>2</v>
      </c>
      <c r="J556" t="s">
        <v>3219</v>
      </c>
      <c r="K556" s="1">
        <v>43831</v>
      </c>
      <c r="L556">
        <v>2020</v>
      </c>
      <c r="M556" t="s">
        <v>2045</v>
      </c>
    </row>
    <row r="557" spans="1:13" x14ac:dyDescent="0.3">
      <c r="A557">
        <v>555</v>
      </c>
      <c r="B557">
        <v>716</v>
      </c>
      <c r="C557" t="s">
        <v>2053</v>
      </c>
      <c r="D557" t="s">
        <v>2052</v>
      </c>
      <c r="E557" s="6" t="s">
        <v>3215</v>
      </c>
      <c r="F557" s="1">
        <v>44986</v>
      </c>
      <c r="G557">
        <v>404</v>
      </c>
      <c r="H557" t="s">
        <v>2047</v>
      </c>
      <c r="I557">
        <v>2</v>
      </c>
      <c r="J557" t="s">
        <v>3214</v>
      </c>
      <c r="K557" s="1">
        <v>43831</v>
      </c>
      <c r="L557">
        <v>2020</v>
      </c>
      <c r="M557" t="s">
        <v>2045</v>
      </c>
    </row>
    <row r="558" spans="1:13" x14ac:dyDescent="0.3">
      <c r="A558">
        <v>556</v>
      </c>
      <c r="B558">
        <v>716</v>
      </c>
      <c r="C558" t="s">
        <v>2053</v>
      </c>
      <c r="D558" t="s">
        <v>2052</v>
      </c>
      <c r="E558" s="6" t="s">
        <v>3213</v>
      </c>
      <c r="F558" s="1">
        <v>44440</v>
      </c>
      <c r="G558">
        <v>443</v>
      </c>
      <c r="H558" t="s">
        <v>2047</v>
      </c>
      <c r="I558">
        <v>1</v>
      </c>
      <c r="J558" t="s">
        <v>3212</v>
      </c>
      <c r="K558" s="1">
        <v>43831</v>
      </c>
      <c r="L558">
        <v>2020</v>
      </c>
      <c r="M558" t="s">
        <v>2045</v>
      </c>
    </row>
    <row r="559" spans="1:13" x14ac:dyDescent="0.3">
      <c r="A559">
        <v>557</v>
      </c>
      <c r="B559">
        <v>254</v>
      </c>
      <c r="C559" t="s">
        <v>2053</v>
      </c>
      <c r="D559" t="s">
        <v>2048</v>
      </c>
      <c r="E559" s="6" t="s">
        <v>3211</v>
      </c>
      <c r="F559" s="1">
        <v>45383</v>
      </c>
      <c r="G559">
        <v>230</v>
      </c>
      <c r="H559" t="s">
        <v>2047</v>
      </c>
      <c r="I559">
        <v>2</v>
      </c>
      <c r="J559" t="s">
        <v>2315</v>
      </c>
      <c r="K559" s="1">
        <v>43831</v>
      </c>
      <c r="L559">
        <v>2020</v>
      </c>
      <c r="M559" t="s">
        <v>2045</v>
      </c>
    </row>
    <row r="560" spans="1:13" x14ac:dyDescent="0.3">
      <c r="A560">
        <v>558</v>
      </c>
      <c r="B560">
        <v>475</v>
      </c>
      <c r="C560" t="s">
        <v>2053</v>
      </c>
      <c r="D560" t="s">
        <v>2052</v>
      </c>
      <c r="E560" s="6" t="s">
        <v>3203</v>
      </c>
      <c r="F560" s="1">
        <v>44562</v>
      </c>
      <c r="G560">
        <v>246</v>
      </c>
      <c r="H560" t="s">
        <v>2047</v>
      </c>
      <c r="I560">
        <v>1</v>
      </c>
      <c r="J560" t="s">
        <v>3202</v>
      </c>
      <c r="K560" s="1">
        <v>43831</v>
      </c>
      <c r="L560">
        <v>2020</v>
      </c>
      <c r="M560" t="s">
        <v>2045</v>
      </c>
    </row>
    <row r="561" spans="1:13" x14ac:dyDescent="0.3">
      <c r="A561">
        <v>559</v>
      </c>
      <c r="B561">
        <v>407</v>
      </c>
      <c r="C561" t="s">
        <v>2053</v>
      </c>
      <c r="D561" t="s">
        <v>2052</v>
      </c>
      <c r="E561" s="6" t="s">
        <v>3195</v>
      </c>
      <c r="F561" s="1">
        <v>44378</v>
      </c>
      <c r="G561">
        <v>706</v>
      </c>
      <c r="H561" t="s">
        <v>2047</v>
      </c>
      <c r="I561">
        <v>2</v>
      </c>
      <c r="J561" t="s">
        <v>205</v>
      </c>
      <c r="K561" s="1">
        <v>43831</v>
      </c>
      <c r="L561">
        <v>2020</v>
      </c>
      <c r="M561" t="s">
        <v>2045</v>
      </c>
    </row>
    <row r="562" spans="1:13" x14ac:dyDescent="0.3">
      <c r="A562">
        <v>560</v>
      </c>
      <c r="B562">
        <v>407</v>
      </c>
      <c r="C562" t="s">
        <v>2053</v>
      </c>
      <c r="D562" t="s">
        <v>2070</v>
      </c>
      <c r="E562" s="6" t="s">
        <v>3194</v>
      </c>
      <c r="F562" s="1">
        <v>44743</v>
      </c>
      <c r="G562">
        <v>278</v>
      </c>
      <c r="H562" t="s">
        <v>2047</v>
      </c>
      <c r="I562">
        <v>2</v>
      </c>
      <c r="J562" t="s">
        <v>2466</v>
      </c>
      <c r="K562" s="1">
        <v>43831</v>
      </c>
      <c r="L562">
        <v>2020</v>
      </c>
      <c r="M562" t="s">
        <v>2045</v>
      </c>
    </row>
    <row r="563" spans="1:13" x14ac:dyDescent="0.3">
      <c r="A563">
        <v>561</v>
      </c>
      <c r="B563">
        <v>1085</v>
      </c>
      <c r="C563" t="s">
        <v>2053</v>
      </c>
      <c r="D563" t="s">
        <v>2052</v>
      </c>
      <c r="E563" s="6" t="s">
        <v>3189</v>
      </c>
      <c r="F563" s="1">
        <v>45139</v>
      </c>
      <c r="G563">
        <v>248</v>
      </c>
      <c r="H563" t="s">
        <v>2047</v>
      </c>
      <c r="I563">
        <v>1</v>
      </c>
      <c r="J563" t="s">
        <v>3188</v>
      </c>
      <c r="K563" s="1">
        <v>43831</v>
      </c>
      <c r="L563">
        <v>2020</v>
      </c>
      <c r="M563" t="s">
        <v>2045</v>
      </c>
    </row>
    <row r="564" spans="1:13" x14ac:dyDescent="0.3">
      <c r="A564">
        <v>562</v>
      </c>
      <c r="B564">
        <v>74</v>
      </c>
      <c r="C564" t="s">
        <v>2053</v>
      </c>
      <c r="D564" t="s">
        <v>2052</v>
      </c>
      <c r="E564" s="6" t="s">
        <v>3186</v>
      </c>
      <c r="F564" s="1">
        <v>43831</v>
      </c>
      <c r="G564">
        <v>523</v>
      </c>
      <c r="H564" t="s">
        <v>2047</v>
      </c>
      <c r="I564">
        <v>1</v>
      </c>
      <c r="J564" t="s">
        <v>1582</v>
      </c>
      <c r="K564" s="1">
        <v>43831</v>
      </c>
      <c r="L564">
        <v>2020</v>
      </c>
      <c r="M564" t="s">
        <v>2045</v>
      </c>
    </row>
    <row r="565" spans="1:13" x14ac:dyDescent="0.3">
      <c r="A565">
        <v>563</v>
      </c>
      <c r="B565">
        <v>1547</v>
      </c>
      <c r="C565" t="s">
        <v>2053</v>
      </c>
      <c r="D565" t="s">
        <v>2052</v>
      </c>
      <c r="E565" s="6" t="s">
        <v>3171</v>
      </c>
      <c r="F565" s="1">
        <v>44440</v>
      </c>
      <c r="G565">
        <v>196</v>
      </c>
      <c r="H565" t="s">
        <v>2055</v>
      </c>
      <c r="I565">
        <v>2</v>
      </c>
      <c r="J565" t="s">
        <v>3170</v>
      </c>
      <c r="K565" s="1">
        <v>43831</v>
      </c>
      <c r="L565">
        <v>2020</v>
      </c>
      <c r="M565" t="s">
        <v>2045</v>
      </c>
    </row>
    <row r="566" spans="1:13" x14ac:dyDescent="0.3">
      <c r="A566">
        <v>564</v>
      </c>
      <c r="B566">
        <v>1812</v>
      </c>
      <c r="C566" t="s">
        <v>2053</v>
      </c>
      <c r="D566" t="s">
        <v>2070</v>
      </c>
      <c r="E566" s="6" t="s">
        <v>3169</v>
      </c>
      <c r="F566" s="1">
        <v>44866</v>
      </c>
      <c r="G566">
        <v>466</v>
      </c>
      <c r="H566" t="s">
        <v>2055</v>
      </c>
      <c r="I566">
        <v>1</v>
      </c>
      <c r="J566" t="s">
        <v>3168</v>
      </c>
      <c r="K566" s="1">
        <v>43831</v>
      </c>
      <c r="L566">
        <v>2020</v>
      </c>
      <c r="M566" t="s">
        <v>2045</v>
      </c>
    </row>
    <row r="567" spans="1:13" x14ac:dyDescent="0.3">
      <c r="A567">
        <v>565</v>
      </c>
      <c r="B567">
        <v>955</v>
      </c>
      <c r="C567" t="s">
        <v>2053</v>
      </c>
      <c r="D567" t="s">
        <v>2052</v>
      </c>
      <c r="E567" s="6" t="s">
        <v>3167</v>
      </c>
      <c r="F567" s="1">
        <v>44287</v>
      </c>
      <c r="G567">
        <v>405</v>
      </c>
      <c r="H567" t="s">
        <v>2047</v>
      </c>
      <c r="I567">
        <v>1</v>
      </c>
      <c r="J567" t="s">
        <v>3166</v>
      </c>
      <c r="K567" s="1">
        <v>43831</v>
      </c>
      <c r="L567">
        <v>2020</v>
      </c>
      <c r="M567" t="s">
        <v>2045</v>
      </c>
    </row>
    <row r="568" spans="1:13" x14ac:dyDescent="0.3">
      <c r="A568">
        <v>566</v>
      </c>
      <c r="B568">
        <v>1914</v>
      </c>
      <c r="C568" t="s">
        <v>2053</v>
      </c>
      <c r="D568" t="s">
        <v>2048</v>
      </c>
      <c r="E568" s="6" t="s">
        <v>3161</v>
      </c>
      <c r="F568" s="1">
        <v>45444</v>
      </c>
      <c r="G568">
        <v>396</v>
      </c>
      <c r="H568" t="s">
        <v>2047</v>
      </c>
      <c r="I568">
        <v>1</v>
      </c>
      <c r="J568" t="s">
        <v>1089</v>
      </c>
      <c r="K568" s="1">
        <v>43831</v>
      </c>
      <c r="L568">
        <v>2020</v>
      </c>
      <c r="M568" t="s">
        <v>2045</v>
      </c>
    </row>
    <row r="569" spans="1:13" x14ac:dyDescent="0.3">
      <c r="A569">
        <v>567</v>
      </c>
      <c r="B569">
        <v>1984</v>
      </c>
      <c r="C569" t="s">
        <v>2053</v>
      </c>
      <c r="D569" t="s">
        <v>2052</v>
      </c>
      <c r="E569" s="6" t="s">
        <v>3156</v>
      </c>
      <c r="F569" s="1">
        <v>44531</v>
      </c>
      <c r="G569">
        <v>118</v>
      </c>
      <c r="H569" t="s">
        <v>2047</v>
      </c>
      <c r="I569">
        <v>1</v>
      </c>
      <c r="J569" t="s">
        <v>3155</v>
      </c>
      <c r="K569" s="1">
        <v>43831</v>
      </c>
      <c r="L569">
        <v>2020</v>
      </c>
      <c r="M569" t="s">
        <v>2045</v>
      </c>
    </row>
    <row r="570" spans="1:13" x14ac:dyDescent="0.3">
      <c r="A570">
        <v>568</v>
      </c>
      <c r="B570">
        <v>1821</v>
      </c>
      <c r="C570" t="s">
        <v>2053</v>
      </c>
      <c r="D570" t="s">
        <v>2052</v>
      </c>
      <c r="E570" s="6" t="s">
        <v>3152</v>
      </c>
      <c r="F570" s="1">
        <v>45597</v>
      </c>
      <c r="G570">
        <v>490</v>
      </c>
      <c r="H570" t="s">
        <v>2055</v>
      </c>
      <c r="I570">
        <v>2</v>
      </c>
      <c r="J570" t="s">
        <v>2860</v>
      </c>
      <c r="K570" s="1">
        <v>43831</v>
      </c>
      <c r="L570">
        <v>2020</v>
      </c>
      <c r="M570" t="s">
        <v>2045</v>
      </c>
    </row>
    <row r="571" spans="1:13" x14ac:dyDescent="0.3">
      <c r="A571">
        <v>569</v>
      </c>
      <c r="B571">
        <v>509</v>
      </c>
      <c r="C571" t="s">
        <v>2053</v>
      </c>
      <c r="D571" t="s">
        <v>2052</v>
      </c>
      <c r="E571" s="6" t="s">
        <v>3138</v>
      </c>
      <c r="F571" s="1">
        <v>45261</v>
      </c>
      <c r="G571">
        <v>658</v>
      </c>
      <c r="H571" t="s">
        <v>2047</v>
      </c>
      <c r="I571">
        <v>1</v>
      </c>
      <c r="J571" t="s">
        <v>3137</v>
      </c>
      <c r="K571" s="1">
        <v>43831</v>
      </c>
      <c r="L571">
        <v>2020</v>
      </c>
      <c r="M571" t="s">
        <v>2045</v>
      </c>
    </row>
    <row r="572" spans="1:13" x14ac:dyDescent="0.3">
      <c r="A572">
        <v>570</v>
      </c>
      <c r="B572">
        <v>832</v>
      </c>
      <c r="C572" t="s">
        <v>2053</v>
      </c>
      <c r="D572" t="s">
        <v>2052</v>
      </c>
      <c r="E572" s="6" t="s">
        <v>3136</v>
      </c>
      <c r="F572" s="1">
        <v>43862</v>
      </c>
      <c r="G572">
        <v>110</v>
      </c>
      <c r="H572" t="s">
        <v>2047</v>
      </c>
      <c r="I572">
        <v>2</v>
      </c>
      <c r="J572" t="s">
        <v>3135</v>
      </c>
      <c r="K572" s="1">
        <v>43831</v>
      </c>
      <c r="L572">
        <v>2020</v>
      </c>
      <c r="M572" t="s">
        <v>2045</v>
      </c>
    </row>
    <row r="573" spans="1:13" x14ac:dyDescent="0.3">
      <c r="A573">
        <v>571</v>
      </c>
      <c r="B573">
        <v>1426</v>
      </c>
      <c r="C573" t="s">
        <v>2053</v>
      </c>
      <c r="D573" t="s">
        <v>2048</v>
      </c>
      <c r="E573" s="6" t="s">
        <v>3122</v>
      </c>
      <c r="F573" s="1">
        <v>45047</v>
      </c>
      <c r="G573">
        <v>203</v>
      </c>
      <c r="H573" t="s">
        <v>2055</v>
      </c>
      <c r="I573">
        <v>2</v>
      </c>
      <c r="J573" t="s">
        <v>3121</v>
      </c>
      <c r="K573" s="1">
        <v>43831</v>
      </c>
      <c r="L573">
        <v>2020</v>
      </c>
      <c r="M573" t="s">
        <v>2045</v>
      </c>
    </row>
    <row r="574" spans="1:13" x14ac:dyDescent="0.3">
      <c r="A574">
        <v>572</v>
      </c>
      <c r="B574">
        <v>1426</v>
      </c>
      <c r="C574" t="s">
        <v>2053</v>
      </c>
      <c r="D574" t="s">
        <v>2048</v>
      </c>
      <c r="E574" s="6" t="s">
        <v>3120</v>
      </c>
      <c r="F574" s="1">
        <v>43952</v>
      </c>
      <c r="G574">
        <v>496</v>
      </c>
      <c r="H574" t="s">
        <v>2047</v>
      </c>
      <c r="I574">
        <v>2</v>
      </c>
      <c r="J574" t="s">
        <v>2161</v>
      </c>
      <c r="K574" s="1">
        <v>43831</v>
      </c>
      <c r="L574">
        <v>2020</v>
      </c>
      <c r="M574" t="s">
        <v>2045</v>
      </c>
    </row>
    <row r="575" spans="1:13" x14ac:dyDescent="0.3">
      <c r="A575">
        <v>573</v>
      </c>
      <c r="B575">
        <v>156</v>
      </c>
      <c r="C575" t="s">
        <v>2053</v>
      </c>
      <c r="D575" t="s">
        <v>2052</v>
      </c>
      <c r="E575" s="6" t="s">
        <v>3102</v>
      </c>
      <c r="F575" s="1">
        <v>43952</v>
      </c>
      <c r="G575">
        <v>602</v>
      </c>
      <c r="H575" t="s">
        <v>2047</v>
      </c>
      <c r="I575">
        <v>1</v>
      </c>
      <c r="J575" t="s">
        <v>3101</v>
      </c>
      <c r="K575" s="1">
        <v>43831</v>
      </c>
      <c r="L575">
        <v>2020</v>
      </c>
      <c r="M575" t="s">
        <v>2045</v>
      </c>
    </row>
    <row r="576" spans="1:13" x14ac:dyDescent="0.3">
      <c r="A576">
        <v>574</v>
      </c>
      <c r="B576">
        <v>949</v>
      </c>
      <c r="C576" t="s">
        <v>2053</v>
      </c>
      <c r="D576" t="s">
        <v>2070</v>
      </c>
      <c r="E576" s="6" t="s">
        <v>3099</v>
      </c>
      <c r="F576" s="1">
        <v>43862</v>
      </c>
      <c r="G576">
        <v>31</v>
      </c>
      <c r="H576" t="s">
        <v>2047</v>
      </c>
      <c r="I576">
        <v>2</v>
      </c>
      <c r="J576" t="s">
        <v>3055</v>
      </c>
      <c r="K576" s="1">
        <v>43831</v>
      </c>
      <c r="L576">
        <v>2020</v>
      </c>
      <c r="M576" t="s">
        <v>2045</v>
      </c>
    </row>
    <row r="577" spans="1:13" x14ac:dyDescent="0.3">
      <c r="A577">
        <v>575</v>
      </c>
      <c r="B577">
        <v>722</v>
      </c>
      <c r="C577" t="s">
        <v>2053</v>
      </c>
      <c r="D577" t="s">
        <v>2052</v>
      </c>
      <c r="E577" s="6" t="s">
        <v>3096</v>
      </c>
      <c r="F577" s="1">
        <v>44805</v>
      </c>
      <c r="G577">
        <v>987</v>
      </c>
      <c r="H577" t="s">
        <v>2047</v>
      </c>
      <c r="I577">
        <v>2</v>
      </c>
      <c r="J577" t="s">
        <v>3095</v>
      </c>
      <c r="K577" s="1">
        <v>43831</v>
      </c>
      <c r="L577">
        <v>2020</v>
      </c>
      <c r="M577" t="s">
        <v>2045</v>
      </c>
    </row>
    <row r="578" spans="1:13" x14ac:dyDescent="0.3">
      <c r="A578">
        <v>576</v>
      </c>
      <c r="B578">
        <v>1040</v>
      </c>
      <c r="C578" t="s">
        <v>2053</v>
      </c>
      <c r="D578" t="s">
        <v>2052</v>
      </c>
      <c r="E578" s="6" t="s">
        <v>3089</v>
      </c>
      <c r="F578" s="1">
        <v>43862</v>
      </c>
      <c r="G578">
        <v>957</v>
      </c>
      <c r="H578" t="s">
        <v>2047</v>
      </c>
      <c r="I578">
        <v>1</v>
      </c>
      <c r="J578" t="s">
        <v>3088</v>
      </c>
      <c r="K578" s="1">
        <v>43831</v>
      </c>
      <c r="L578">
        <v>2020</v>
      </c>
      <c r="M578" t="s">
        <v>2045</v>
      </c>
    </row>
    <row r="579" spans="1:13" x14ac:dyDescent="0.3">
      <c r="A579">
        <v>577</v>
      </c>
      <c r="B579">
        <v>1498</v>
      </c>
      <c r="C579" t="s">
        <v>2053</v>
      </c>
      <c r="D579" t="s">
        <v>2052</v>
      </c>
      <c r="E579" s="6" t="s">
        <v>3086</v>
      </c>
      <c r="F579" s="1">
        <v>45352</v>
      </c>
      <c r="G579">
        <v>414</v>
      </c>
      <c r="H579" t="s">
        <v>2047</v>
      </c>
      <c r="I579">
        <v>2</v>
      </c>
      <c r="J579" t="s">
        <v>3085</v>
      </c>
      <c r="K579" s="1">
        <v>43831</v>
      </c>
      <c r="L579">
        <v>2020</v>
      </c>
      <c r="M579" t="s">
        <v>2045</v>
      </c>
    </row>
    <row r="580" spans="1:13" x14ac:dyDescent="0.3">
      <c r="A580">
        <v>578</v>
      </c>
      <c r="B580">
        <v>27</v>
      </c>
      <c r="C580" t="s">
        <v>2053</v>
      </c>
      <c r="D580" t="s">
        <v>2048</v>
      </c>
      <c r="E580" s="6" t="s">
        <v>3082</v>
      </c>
      <c r="F580" s="1">
        <v>44621</v>
      </c>
      <c r="G580">
        <v>546</v>
      </c>
      <c r="H580" t="s">
        <v>2047</v>
      </c>
      <c r="I580">
        <v>2</v>
      </c>
      <c r="J580" t="s">
        <v>2219</v>
      </c>
      <c r="K580" s="1">
        <v>43831</v>
      </c>
      <c r="L580">
        <v>2020</v>
      </c>
      <c r="M580" t="s">
        <v>2045</v>
      </c>
    </row>
    <row r="581" spans="1:13" x14ac:dyDescent="0.3">
      <c r="A581">
        <v>579</v>
      </c>
      <c r="B581">
        <v>999</v>
      </c>
      <c r="C581" t="s">
        <v>2053</v>
      </c>
      <c r="D581" t="s">
        <v>2048</v>
      </c>
      <c r="E581" s="6" t="s">
        <v>3077</v>
      </c>
      <c r="F581" s="1">
        <v>43862</v>
      </c>
      <c r="G581">
        <v>704</v>
      </c>
      <c r="H581" t="s">
        <v>2047</v>
      </c>
      <c r="I581">
        <v>2</v>
      </c>
      <c r="J581" t="s">
        <v>2663</v>
      </c>
      <c r="K581" s="1">
        <v>43831</v>
      </c>
      <c r="L581">
        <v>2020</v>
      </c>
      <c r="M581" t="s">
        <v>2045</v>
      </c>
    </row>
    <row r="582" spans="1:13" x14ac:dyDescent="0.3">
      <c r="A582">
        <v>580</v>
      </c>
      <c r="B582">
        <v>999</v>
      </c>
      <c r="C582" t="s">
        <v>2053</v>
      </c>
      <c r="D582" t="s">
        <v>2052</v>
      </c>
      <c r="E582" s="6" t="s">
        <v>3076</v>
      </c>
      <c r="F582" s="1">
        <v>43831</v>
      </c>
      <c r="G582">
        <v>428</v>
      </c>
      <c r="H582" t="s">
        <v>2047</v>
      </c>
      <c r="I582">
        <v>1</v>
      </c>
      <c r="J582" t="s">
        <v>3075</v>
      </c>
      <c r="K582" s="1">
        <v>43831</v>
      </c>
      <c r="L582">
        <v>2020</v>
      </c>
      <c r="M582" t="s">
        <v>2045</v>
      </c>
    </row>
    <row r="583" spans="1:13" x14ac:dyDescent="0.3">
      <c r="A583">
        <v>581</v>
      </c>
      <c r="B583">
        <v>999</v>
      </c>
      <c r="C583" t="s">
        <v>2053</v>
      </c>
      <c r="D583" t="s">
        <v>2052</v>
      </c>
      <c r="E583" s="6" t="s">
        <v>3074</v>
      </c>
      <c r="F583" s="1">
        <v>45261</v>
      </c>
      <c r="G583">
        <v>970</v>
      </c>
      <c r="H583" t="s">
        <v>2047</v>
      </c>
      <c r="I583">
        <v>1</v>
      </c>
      <c r="J583" t="s">
        <v>3073</v>
      </c>
      <c r="K583" s="1">
        <v>43831</v>
      </c>
      <c r="L583">
        <v>2020</v>
      </c>
      <c r="M583" t="s">
        <v>2045</v>
      </c>
    </row>
    <row r="584" spans="1:13" x14ac:dyDescent="0.3">
      <c r="A584">
        <v>582</v>
      </c>
      <c r="B584">
        <v>1436</v>
      </c>
      <c r="C584" t="s">
        <v>2053</v>
      </c>
      <c r="D584" t="s">
        <v>2052</v>
      </c>
      <c r="E584" s="6" t="s">
        <v>3068</v>
      </c>
      <c r="F584" s="1">
        <v>44896</v>
      </c>
      <c r="G584">
        <v>182</v>
      </c>
      <c r="H584" t="s">
        <v>2047</v>
      </c>
      <c r="I584">
        <v>1</v>
      </c>
      <c r="J584" t="s">
        <v>3067</v>
      </c>
      <c r="K584" s="1">
        <v>43831</v>
      </c>
      <c r="L584">
        <v>2020</v>
      </c>
      <c r="M584" t="s">
        <v>2045</v>
      </c>
    </row>
    <row r="585" spans="1:13" x14ac:dyDescent="0.3">
      <c r="A585">
        <v>583</v>
      </c>
      <c r="B585">
        <v>1230</v>
      </c>
      <c r="C585" t="s">
        <v>2053</v>
      </c>
      <c r="D585" t="s">
        <v>2070</v>
      </c>
      <c r="E585" s="6" t="s">
        <v>3066</v>
      </c>
      <c r="F585" s="1">
        <v>44378</v>
      </c>
      <c r="G585">
        <v>745</v>
      </c>
      <c r="H585" t="s">
        <v>2047</v>
      </c>
      <c r="I585">
        <v>2</v>
      </c>
      <c r="J585" t="s">
        <v>2185</v>
      </c>
      <c r="K585" s="1">
        <v>43831</v>
      </c>
      <c r="L585">
        <v>2020</v>
      </c>
      <c r="M585" t="s">
        <v>2045</v>
      </c>
    </row>
    <row r="586" spans="1:13" x14ac:dyDescent="0.3">
      <c r="A586">
        <v>584</v>
      </c>
      <c r="B586">
        <v>1017</v>
      </c>
      <c r="C586" t="s">
        <v>2053</v>
      </c>
      <c r="D586" t="s">
        <v>2052</v>
      </c>
      <c r="E586" s="6" t="s">
        <v>3064</v>
      </c>
      <c r="F586" s="1">
        <v>43862</v>
      </c>
      <c r="G586">
        <v>122</v>
      </c>
      <c r="H586" t="s">
        <v>2047</v>
      </c>
      <c r="I586">
        <v>2</v>
      </c>
      <c r="J586" t="s">
        <v>3063</v>
      </c>
      <c r="K586" s="1">
        <v>43831</v>
      </c>
      <c r="L586">
        <v>2020</v>
      </c>
      <c r="M586" t="s">
        <v>2045</v>
      </c>
    </row>
    <row r="587" spans="1:13" x14ac:dyDescent="0.3">
      <c r="A587">
        <v>585</v>
      </c>
      <c r="B587">
        <v>1148</v>
      </c>
      <c r="C587" t="s">
        <v>2053</v>
      </c>
      <c r="D587" t="s">
        <v>2052</v>
      </c>
      <c r="E587" s="6" t="s">
        <v>3060</v>
      </c>
      <c r="F587" s="1">
        <v>44470</v>
      </c>
      <c r="G587">
        <v>291</v>
      </c>
      <c r="H587" t="s">
        <v>2055</v>
      </c>
      <c r="I587">
        <v>1</v>
      </c>
      <c r="J587" t="s">
        <v>3059</v>
      </c>
      <c r="K587" s="1">
        <v>43831</v>
      </c>
      <c r="L587">
        <v>2020</v>
      </c>
      <c r="M587" t="s">
        <v>2045</v>
      </c>
    </row>
    <row r="588" spans="1:13" x14ac:dyDescent="0.3">
      <c r="A588">
        <v>586</v>
      </c>
      <c r="B588">
        <v>412</v>
      </c>
      <c r="C588" t="s">
        <v>2053</v>
      </c>
      <c r="D588" t="s">
        <v>2052</v>
      </c>
      <c r="E588" s="6" t="s">
        <v>3057</v>
      </c>
      <c r="F588" s="1">
        <v>43862</v>
      </c>
      <c r="G588">
        <v>118</v>
      </c>
      <c r="H588" t="s">
        <v>2047</v>
      </c>
      <c r="I588">
        <v>2</v>
      </c>
      <c r="J588" t="s">
        <v>2978</v>
      </c>
      <c r="K588" s="1">
        <v>43831</v>
      </c>
      <c r="L588">
        <v>2020</v>
      </c>
      <c r="M588" t="s">
        <v>2045</v>
      </c>
    </row>
    <row r="589" spans="1:13" x14ac:dyDescent="0.3">
      <c r="A589">
        <v>587</v>
      </c>
      <c r="B589">
        <v>412</v>
      </c>
      <c r="C589" t="s">
        <v>2053</v>
      </c>
      <c r="D589" t="s">
        <v>2070</v>
      </c>
      <c r="E589" s="6" t="s">
        <v>3056</v>
      </c>
      <c r="F589" s="1">
        <v>45323</v>
      </c>
      <c r="G589">
        <v>155</v>
      </c>
      <c r="H589" t="s">
        <v>2047</v>
      </c>
      <c r="I589">
        <v>2</v>
      </c>
      <c r="J589" t="s">
        <v>2313</v>
      </c>
      <c r="K589" s="1">
        <v>43831</v>
      </c>
      <c r="L589">
        <v>2020</v>
      </c>
      <c r="M589" t="s">
        <v>2045</v>
      </c>
    </row>
    <row r="590" spans="1:13" x14ac:dyDescent="0.3">
      <c r="A590">
        <v>588</v>
      </c>
      <c r="B590">
        <v>567</v>
      </c>
      <c r="C590" t="s">
        <v>2053</v>
      </c>
      <c r="D590" t="s">
        <v>2052</v>
      </c>
      <c r="E590" s="6" t="s">
        <v>3054</v>
      </c>
      <c r="F590" s="1">
        <v>45627</v>
      </c>
      <c r="G590">
        <v>978</v>
      </c>
      <c r="H590" t="s">
        <v>2047</v>
      </c>
      <c r="I590">
        <v>1</v>
      </c>
      <c r="J590" t="s">
        <v>3053</v>
      </c>
      <c r="K590" s="1">
        <v>43831</v>
      </c>
      <c r="L590">
        <v>2020</v>
      </c>
      <c r="M590" t="s">
        <v>2045</v>
      </c>
    </row>
    <row r="591" spans="1:13" x14ac:dyDescent="0.3">
      <c r="A591">
        <v>589</v>
      </c>
      <c r="B591">
        <v>567</v>
      </c>
      <c r="C591" t="s">
        <v>2053</v>
      </c>
      <c r="D591" t="s">
        <v>2070</v>
      </c>
      <c r="E591" s="6" t="s">
        <v>3052</v>
      </c>
      <c r="F591" s="1">
        <v>44378</v>
      </c>
      <c r="G591">
        <v>921</v>
      </c>
      <c r="H591" t="s">
        <v>2047</v>
      </c>
      <c r="I591">
        <v>1</v>
      </c>
      <c r="J591" t="s">
        <v>2288</v>
      </c>
      <c r="K591" s="1">
        <v>43831</v>
      </c>
      <c r="L591">
        <v>2020</v>
      </c>
      <c r="M591" t="s">
        <v>2045</v>
      </c>
    </row>
    <row r="592" spans="1:13" x14ac:dyDescent="0.3">
      <c r="A592">
        <v>590</v>
      </c>
      <c r="B592">
        <v>35</v>
      </c>
      <c r="C592" t="s">
        <v>2053</v>
      </c>
      <c r="D592" t="s">
        <v>2052</v>
      </c>
      <c r="E592" s="6" t="s">
        <v>3051</v>
      </c>
      <c r="F592" s="1">
        <v>44013</v>
      </c>
      <c r="G592">
        <v>771</v>
      </c>
      <c r="H592" t="s">
        <v>2047</v>
      </c>
      <c r="I592">
        <v>1</v>
      </c>
      <c r="J592" t="s">
        <v>3050</v>
      </c>
      <c r="K592" s="1">
        <v>43831</v>
      </c>
      <c r="L592">
        <v>2020</v>
      </c>
      <c r="M592" t="s">
        <v>2045</v>
      </c>
    </row>
    <row r="593" spans="1:13" x14ac:dyDescent="0.3">
      <c r="A593">
        <v>591</v>
      </c>
      <c r="B593">
        <v>35</v>
      </c>
      <c r="C593" t="s">
        <v>2053</v>
      </c>
      <c r="D593" t="s">
        <v>2052</v>
      </c>
      <c r="E593" s="6" t="s">
        <v>3049</v>
      </c>
      <c r="F593" s="1">
        <v>45292</v>
      </c>
      <c r="G593">
        <v>921</v>
      </c>
      <c r="H593" t="s">
        <v>2055</v>
      </c>
      <c r="I593">
        <v>2</v>
      </c>
      <c r="J593" t="s">
        <v>3048</v>
      </c>
      <c r="K593" s="1">
        <v>43831</v>
      </c>
      <c r="L593">
        <v>2020</v>
      </c>
      <c r="M593" t="s">
        <v>2045</v>
      </c>
    </row>
    <row r="594" spans="1:13" x14ac:dyDescent="0.3">
      <c r="A594">
        <v>592</v>
      </c>
      <c r="B594">
        <v>1238</v>
      </c>
      <c r="C594" t="s">
        <v>2053</v>
      </c>
      <c r="D594" t="s">
        <v>2048</v>
      </c>
      <c r="E594" s="6" t="s">
        <v>3044</v>
      </c>
      <c r="F594" s="1">
        <v>43831</v>
      </c>
      <c r="G594">
        <v>534</v>
      </c>
      <c r="H594" t="s">
        <v>2055</v>
      </c>
      <c r="I594">
        <v>3</v>
      </c>
      <c r="J594" t="s">
        <v>2633</v>
      </c>
      <c r="K594" s="1">
        <v>43831</v>
      </c>
      <c r="L594">
        <v>2020</v>
      </c>
      <c r="M594" t="s">
        <v>2045</v>
      </c>
    </row>
    <row r="595" spans="1:13" x14ac:dyDescent="0.3">
      <c r="A595">
        <v>593</v>
      </c>
      <c r="B595">
        <v>1502</v>
      </c>
      <c r="C595" t="s">
        <v>2053</v>
      </c>
      <c r="D595" t="s">
        <v>2052</v>
      </c>
      <c r="E595" s="6" t="s">
        <v>3043</v>
      </c>
      <c r="F595" s="1">
        <v>45261</v>
      </c>
      <c r="G595">
        <v>196</v>
      </c>
      <c r="H595" t="s">
        <v>2047</v>
      </c>
      <c r="I595">
        <v>2</v>
      </c>
      <c r="J595" t="s">
        <v>3042</v>
      </c>
      <c r="K595" s="1">
        <v>43831</v>
      </c>
      <c r="L595">
        <v>2020</v>
      </c>
      <c r="M595" t="s">
        <v>2045</v>
      </c>
    </row>
    <row r="596" spans="1:13" x14ac:dyDescent="0.3">
      <c r="A596">
        <v>594</v>
      </c>
      <c r="B596">
        <v>522</v>
      </c>
      <c r="C596" t="s">
        <v>2053</v>
      </c>
      <c r="D596" t="s">
        <v>2052</v>
      </c>
      <c r="E596" s="6" t="s">
        <v>3032</v>
      </c>
      <c r="F596" s="1">
        <v>44805</v>
      </c>
      <c r="G596">
        <v>446</v>
      </c>
      <c r="H596" t="s">
        <v>2047</v>
      </c>
      <c r="I596">
        <v>2</v>
      </c>
      <c r="J596" t="s">
        <v>3031</v>
      </c>
      <c r="K596" s="1">
        <v>43831</v>
      </c>
      <c r="L596">
        <v>2020</v>
      </c>
      <c r="M596" t="s">
        <v>2045</v>
      </c>
    </row>
    <row r="597" spans="1:13" x14ac:dyDescent="0.3">
      <c r="A597">
        <v>595</v>
      </c>
      <c r="B597">
        <v>131</v>
      </c>
      <c r="C597" t="s">
        <v>2053</v>
      </c>
      <c r="D597" t="s">
        <v>2052</v>
      </c>
      <c r="E597" s="6" t="s">
        <v>3028</v>
      </c>
      <c r="F597" s="1">
        <v>43831</v>
      </c>
      <c r="G597">
        <v>315</v>
      </c>
      <c r="H597" t="s">
        <v>2047</v>
      </c>
      <c r="I597">
        <v>1</v>
      </c>
      <c r="J597" t="s">
        <v>86</v>
      </c>
      <c r="K597" s="1">
        <v>43831</v>
      </c>
      <c r="L597">
        <v>2020</v>
      </c>
      <c r="M597" t="s">
        <v>2045</v>
      </c>
    </row>
    <row r="598" spans="1:13" x14ac:dyDescent="0.3">
      <c r="A598">
        <v>596</v>
      </c>
      <c r="B598">
        <v>131</v>
      </c>
      <c r="C598" t="s">
        <v>2053</v>
      </c>
      <c r="D598" t="s">
        <v>2052</v>
      </c>
      <c r="E598" s="6" t="s">
        <v>3027</v>
      </c>
      <c r="F598" s="1">
        <v>43862</v>
      </c>
      <c r="G598">
        <v>13</v>
      </c>
      <c r="H598" t="s">
        <v>2047</v>
      </c>
      <c r="I598">
        <v>1</v>
      </c>
      <c r="J598" t="s">
        <v>3026</v>
      </c>
      <c r="K598" s="1">
        <v>43831</v>
      </c>
      <c r="L598">
        <v>2020</v>
      </c>
      <c r="M598" t="s">
        <v>2045</v>
      </c>
    </row>
    <row r="599" spans="1:13" x14ac:dyDescent="0.3">
      <c r="A599">
        <v>597</v>
      </c>
      <c r="B599">
        <v>1652</v>
      </c>
      <c r="C599" t="s">
        <v>2053</v>
      </c>
      <c r="D599" t="s">
        <v>2070</v>
      </c>
      <c r="E599" s="6" t="s">
        <v>3022</v>
      </c>
      <c r="F599" s="1">
        <v>45627</v>
      </c>
      <c r="G599">
        <v>684</v>
      </c>
      <c r="H599" t="s">
        <v>2047</v>
      </c>
      <c r="I599">
        <v>1</v>
      </c>
      <c r="J599" t="s">
        <v>2544</v>
      </c>
      <c r="K599" s="1">
        <v>43831</v>
      </c>
      <c r="L599">
        <v>2020</v>
      </c>
      <c r="M599" t="s">
        <v>2045</v>
      </c>
    </row>
    <row r="600" spans="1:13" x14ac:dyDescent="0.3">
      <c r="A600">
        <v>598</v>
      </c>
      <c r="B600">
        <v>1119</v>
      </c>
      <c r="C600" t="s">
        <v>2053</v>
      </c>
      <c r="D600" t="s">
        <v>2048</v>
      </c>
      <c r="E600" s="6" t="s">
        <v>3018</v>
      </c>
      <c r="F600" s="1">
        <v>43831</v>
      </c>
      <c r="G600">
        <v>32</v>
      </c>
      <c r="H600" t="s">
        <v>2047</v>
      </c>
      <c r="I600">
        <v>2</v>
      </c>
      <c r="J600" t="s">
        <v>2086</v>
      </c>
      <c r="K600" s="1">
        <v>43831</v>
      </c>
      <c r="L600">
        <v>2020</v>
      </c>
      <c r="M600" t="s">
        <v>2045</v>
      </c>
    </row>
    <row r="601" spans="1:13" x14ac:dyDescent="0.3">
      <c r="A601">
        <v>599</v>
      </c>
      <c r="B601">
        <v>1830</v>
      </c>
      <c r="C601" t="s">
        <v>2053</v>
      </c>
      <c r="D601" t="s">
        <v>2070</v>
      </c>
      <c r="E601" s="6" t="s">
        <v>3017</v>
      </c>
      <c r="F601" s="1">
        <v>43862</v>
      </c>
      <c r="G601">
        <v>164</v>
      </c>
      <c r="H601" t="s">
        <v>2047</v>
      </c>
      <c r="I601">
        <v>1</v>
      </c>
      <c r="J601" t="s">
        <v>2246</v>
      </c>
      <c r="K601" s="1">
        <v>43831</v>
      </c>
      <c r="L601">
        <v>2020</v>
      </c>
      <c r="M601" t="s">
        <v>2045</v>
      </c>
    </row>
    <row r="602" spans="1:13" x14ac:dyDescent="0.3">
      <c r="A602">
        <v>600</v>
      </c>
      <c r="B602">
        <v>453</v>
      </c>
      <c r="C602" t="s">
        <v>2053</v>
      </c>
      <c r="D602" t="s">
        <v>2052</v>
      </c>
      <c r="E602" s="6" t="s">
        <v>3010</v>
      </c>
      <c r="F602" s="1">
        <v>43831</v>
      </c>
      <c r="G602">
        <v>806</v>
      </c>
      <c r="H602" t="s">
        <v>2055</v>
      </c>
      <c r="I602">
        <v>1</v>
      </c>
      <c r="J602" t="s">
        <v>3009</v>
      </c>
      <c r="K602" s="1">
        <v>43831</v>
      </c>
      <c r="L602">
        <v>2020</v>
      </c>
      <c r="M602" t="s">
        <v>2045</v>
      </c>
    </row>
    <row r="603" spans="1:13" x14ac:dyDescent="0.3">
      <c r="A603">
        <v>601</v>
      </c>
      <c r="B603">
        <v>1462</v>
      </c>
      <c r="C603" t="s">
        <v>2053</v>
      </c>
      <c r="D603" t="s">
        <v>2070</v>
      </c>
      <c r="E603" s="6" t="s">
        <v>2996</v>
      </c>
      <c r="F603" s="1">
        <v>44044</v>
      </c>
      <c r="G603">
        <v>641</v>
      </c>
      <c r="H603" t="s">
        <v>2047</v>
      </c>
      <c r="I603">
        <v>2</v>
      </c>
      <c r="J603" t="s">
        <v>2621</v>
      </c>
      <c r="K603" s="1">
        <v>43831</v>
      </c>
      <c r="L603">
        <v>2020</v>
      </c>
      <c r="M603" t="s">
        <v>2045</v>
      </c>
    </row>
    <row r="604" spans="1:13" x14ac:dyDescent="0.3">
      <c r="A604">
        <v>602</v>
      </c>
      <c r="B604">
        <v>1848</v>
      </c>
      <c r="C604" t="s">
        <v>2053</v>
      </c>
      <c r="D604" t="s">
        <v>2048</v>
      </c>
      <c r="E604" s="6" t="s">
        <v>2995</v>
      </c>
      <c r="F604" s="1">
        <v>44287</v>
      </c>
      <c r="G604">
        <v>542</v>
      </c>
      <c r="H604" t="s">
        <v>2047</v>
      </c>
      <c r="I604">
        <v>1</v>
      </c>
      <c r="J604" t="s">
        <v>392</v>
      </c>
      <c r="K604" s="1">
        <v>43831</v>
      </c>
      <c r="L604">
        <v>2020</v>
      </c>
      <c r="M604" t="s">
        <v>2045</v>
      </c>
    </row>
    <row r="605" spans="1:13" x14ac:dyDescent="0.3">
      <c r="A605">
        <v>603</v>
      </c>
      <c r="B605">
        <v>1444</v>
      </c>
      <c r="C605" t="s">
        <v>2053</v>
      </c>
      <c r="D605" t="s">
        <v>2052</v>
      </c>
      <c r="E605" s="6" t="s">
        <v>2994</v>
      </c>
      <c r="F605" s="1">
        <v>43862</v>
      </c>
      <c r="G605">
        <v>106</v>
      </c>
      <c r="H605" t="s">
        <v>2055</v>
      </c>
      <c r="I605">
        <v>1</v>
      </c>
      <c r="J605" t="s">
        <v>2993</v>
      </c>
      <c r="K605" s="1">
        <v>43831</v>
      </c>
      <c r="L605">
        <v>2020</v>
      </c>
      <c r="M605" t="s">
        <v>2045</v>
      </c>
    </row>
    <row r="606" spans="1:13" x14ac:dyDescent="0.3">
      <c r="A606">
        <v>604</v>
      </c>
      <c r="B606">
        <v>962</v>
      </c>
      <c r="C606" t="s">
        <v>2053</v>
      </c>
      <c r="D606" t="s">
        <v>2048</v>
      </c>
      <c r="E606" s="6" t="s">
        <v>2979</v>
      </c>
      <c r="F606" s="1">
        <v>44531</v>
      </c>
      <c r="G606">
        <v>426</v>
      </c>
      <c r="H606" t="s">
        <v>2047</v>
      </c>
      <c r="I606">
        <v>2</v>
      </c>
      <c r="J606" t="s">
        <v>2706</v>
      </c>
      <c r="K606" s="1">
        <v>43831</v>
      </c>
      <c r="L606">
        <v>2020</v>
      </c>
      <c r="M606" t="s">
        <v>2045</v>
      </c>
    </row>
    <row r="607" spans="1:13" x14ac:dyDescent="0.3">
      <c r="A607">
        <v>605</v>
      </c>
      <c r="B607">
        <v>161</v>
      </c>
      <c r="C607" t="s">
        <v>2053</v>
      </c>
      <c r="D607" t="s">
        <v>2052</v>
      </c>
      <c r="E607" s="6" t="s">
        <v>2975</v>
      </c>
      <c r="F607" s="1">
        <v>44013</v>
      </c>
      <c r="G607">
        <v>423</v>
      </c>
      <c r="H607" t="s">
        <v>2047</v>
      </c>
      <c r="I607">
        <v>1</v>
      </c>
      <c r="J607" t="s">
        <v>2974</v>
      </c>
      <c r="K607" s="1">
        <v>43831</v>
      </c>
      <c r="L607">
        <v>2020</v>
      </c>
      <c r="M607" t="s">
        <v>2045</v>
      </c>
    </row>
    <row r="608" spans="1:13" x14ac:dyDescent="0.3">
      <c r="A608">
        <v>606</v>
      </c>
      <c r="B608">
        <v>867</v>
      </c>
      <c r="C608" t="s">
        <v>2053</v>
      </c>
      <c r="D608" t="s">
        <v>2052</v>
      </c>
      <c r="E608" s="6" t="s">
        <v>2972</v>
      </c>
      <c r="F608" s="1">
        <v>44440</v>
      </c>
      <c r="G608">
        <v>275</v>
      </c>
      <c r="H608" t="s">
        <v>2047</v>
      </c>
      <c r="I608">
        <v>1</v>
      </c>
      <c r="J608" t="s">
        <v>2971</v>
      </c>
      <c r="K608" s="1">
        <v>43831</v>
      </c>
      <c r="L608">
        <v>2020</v>
      </c>
      <c r="M608" t="s">
        <v>2045</v>
      </c>
    </row>
    <row r="609" spans="1:13" x14ac:dyDescent="0.3">
      <c r="A609">
        <v>607</v>
      </c>
      <c r="B609">
        <v>740</v>
      </c>
      <c r="C609" t="s">
        <v>2053</v>
      </c>
      <c r="D609" t="s">
        <v>2052</v>
      </c>
      <c r="E609" s="6" t="s">
        <v>2968</v>
      </c>
      <c r="F609" s="1">
        <v>44287</v>
      </c>
      <c r="G609">
        <v>117</v>
      </c>
      <c r="H609" t="s">
        <v>2047</v>
      </c>
      <c r="I609">
        <v>1</v>
      </c>
      <c r="J609" t="s">
        <v>2967</v>
      </c>
      <c r="K609" s="1">
        <v>43831</v>
      </c>
      <c r="L609">
        <v>2020</v>
      </c>
      <c r="M609" t="s">
        <v>2045</v>
      </c>
    </row>
    <row r="610" spans="1:13" x14ac:dyDescent="0.3">
      <c r="A610">
        <v>608</v>
      </c>
      <c r="B610">
        <v>1210</v>
      </c>
      <c r="C610" t="s">
        <v>2053</v>
      </c>
      <c r="D610" t="s">
        <v>2052</v>
      </c>
      <c r="E610" s="6" t="s">
        <v>2939</v>
      </c>
      <c r="F610" s="1">
        <v>43831</v>
      </c>
      <c r="G610">
        <v>206</v>
      </c>
      <c r="H610" t="s">
        <v>2047</v>
      </c>
      <c r="I610">
        <v>2</v>
      </c>
      <c r="J610" t="s">
        <v>2838</v>
      </c>
      <c r="K610" s="1">
        <v>43831</v>
      </c>
      <c r="L610">
        <v>2020</v>
      </c>
      <c r="M610" t="s">
        <v>2045</v>
      </c>
    </row>
    <row r="611" spans="1:13" x14ac:dyDescent="0.3">
      <c r="A611">
        <v>609</v>
      </c>
      <c r="B611">
        <v>1295</v>
      </c>
      <c r="C611" t="s">
        <v>2053</v>
      </c>
      <c r="D611" t="s">
        <v>2070</v>
      </c>
      <c r="E611" s="6" t="s">
        <v>2936</v>
      </c>
      <c r="F611" s="1">
        <v>43862</v>
      </c>
      <c r="G611">
        <v>950</v>
      </c>
      <c r="H611" t="s">
        <v>2047</v>
      </c>
      <c r="I611">
        <v>1</v>
      </c>
      <c r="J611" t="s">
        <v>2485</v>
      </c>
      <c r="K611" s="1">
        <v>43831</v>
      </c>
      <c r="L611">
        <v>2020</v>
      </c>
      <c r="M611" t="s">
        <v>2045</v>
      </c>
    </row>
    <row r="612" spans="1:13" x14ac:dyDescent="0.3">
      <c r="A612">
        <v>610</v>
      </c>
      <c r="B612">
        <v>424</v>
      </c>
      <c r="C612" t="s">
        <v>2053</v>
      </c>
      <c r="D612" t="s">
        <v>2052</v>
      </c>
      <c r="E612" s="6" t="s">
        <v>2931</v>
      </c>
      <c r="F612" s="1">
        <v>44713</v>
      </c>
      <c r="G612">
        <v>674</v>
      </c>
      <c r="H612" t="s">
        <v>2047</v>
      </c>
      <c r="I612">
        <v>2</v>
      </c>
      <c r="J612" t="s">
        <v>2520</v>
      </c>
      <c r="K612" s="1">
        <v>43831</v>
      </c>
      <c r="L612">
        <v>2020</v>
      </c>
      <c r="M612" t="s">
        <v>2045</v>
      </c>
    </row>
    <row r="613" spans="1:13" x14ac:dyDescent="0.3">
      <c r="A613">
        <v>611</v>
      </c>
      <c r="B613">
        <v>134</v>
      </c>
      <c r="C613" t="s">
        <v>2053</v>
      </c>
      <c r="D613" t="s">
        <v>2052</v>
      </c>
      <c r="E613" s="6" t="s">
        <v>2918</v>
      </c>
      <c r="F613" s="1">
        <v>43862</v>
      </c>
      <c r="G613">
        <v>560</v>
      </c>
      <c r="H613" t="s">
        <v>2047</v>
      </c>
      <c r="I613">
        <v>1</v>
      </c>
      <c r="J613" t="s">
        <v>2917</v>
      </c>
      <c r="K613" s="1">
        <v>43831</v>
      </c>
      <c r="L613">
        <v>2020</v>
      </c>
      <c r="M613" t="s">
        <v>2045</v>
      </c>
    </row>
    <row r="614" spans="1:13" x14ac:dyDescent="0.3">
      <c r="A614">
        <v>612</v>
      </c>
      <c r="B614">
        <v>1343</v>
      </c>
      <c r="C614" t="s">
        <v>2053</v>
      </c>
      <c r="D614" t="s">
        <v>2052</v>
      </c>
      <c r="E614" s="6" t="s">
        <v>2913</v>
      </c>
      <c r="F614" s="1">
        <v>44896</v>
      </c>
      <c r="G614">
        <v>636</v>
      </c>
      <c r="H614" t="s">
        <v>2055</v>
      </c>
      <c r="I614">
        <v>2</v>
      </c>
      <c r="J614" t="s">
        <v>2912</v>
      </c>
      <c r="K614" s="1">
        <v>43831</v>
      </c>
      <c r="L614">
        <v>2020</v>
      </c>
      <c r="M614" t="s">
        <v>2045</v>
      </c>
    </row>
    <row r="615" spans="1:13" x14ac:dyDescent="0.3">
      <c r="A615">
        <v>613</v>
      </c>
      <c r="B615">
        <v>1930</v>
      </c>
      <c r="C615" t="s">
        <v>2053</v>
      </c>
      <c r="D615" t="s">
        <v>2070</v>
      </c>
      <c r="E615" s="6" t="s">
        <v>2907</v>
      </c>
      <c r="F615" s="1">
        <v>45047</v>
      </c>
      <c r="G615">
        <v>718</v>
      </c>
      <c r="H615" t="s">
        <v>2047</v>
      </c>
      <c r="I615">
        <v>1</v>
      </c>
      <c r="J615" t="s">
        <v>2183</v>
      </c>
      <c r="K615" s="1">
        <v>43831</v>
      </c>
      <c r="L615">
        <v>2020</v>
      </c>
      <c r="M615" t="s">
        <v>2045</v>
      </c>
    </row>
    <row r="616" spans="1:13" x14ac:dyDescent="0.3">
      <c r="A616">
        <v>614</v>
      </c>
      <c r="B616">
        <v>1930</v>
      </c>
      <c r="C616" t="s">
        <v>2053</v>
      </c>
      <c r="D616" t="s">
        <v>2048</v>
      </c>
      <c r="E616" s="6" t="s">
        <v>2906</v>
      </c>
      <c r="F616" s="1">
        <v>44835</v>
      </c>
      <c r="G616">
        <v>840</v>
      </c>
      <c r="H616" t="s">
        <v>2047</v>
      </c>
      <c r="I616">
        <v>1</v>
      </c>
      <c r="J616" t="s">
        <v>2097</v>
      </c>
      <c r="K616" s="1">
        <v>43831</v>
      </c>
      <c r="L616">
        <v>2020</v>
      </c>
      <c r="M616" t="s">
        <v>2045</v>
      </c>
    </row>
    <row r="617" spans="1:13" x14ac:dyDescent="0.3">
      <c r="A617">
        <v>615</v>
      </c>
      <c r="B617">
        <v>1335</v>
      </c>
      <c r="C617" t="s">
        <v>2053</v>
      </c>
      <c r="D617" t="s">
        <v>2070</v>
      </c>
      <c r="E617" s="6" t="s">
        <v>2899</v>
      </c>
      <c r="F617" s="1">
        <v>45474</v>
      </c>
      <c r="G617">
        <v>421</v>
      </c>
      <c r="H617" t="s">
        <v>2047</v>
      </c>
      <c r="I617">
        <v>1</v>
      </c>
      <c r="J617" t="s">
        <v>2898</v>
      </c>
      <c r="K617" s="1">
        <v>43831</v>
      </c>
      <c r="L617">
        <v>2020</v>
      </c>
      <c r="M617" t="s">
        <v>2045</v>
      </c>
    </row>
    <row r="618" spans="1:13" x14ac:dyDescent="0.3">
      <c r="A618">
        <v>616</v>
      </c>
      <c r="B618">
        <v>1125</v>
      </c>
      <c r="C618" t="s">
        <v>2053</v>
      </c>
      <c r="D618" t="s">
        <v>2052</v>
      </c>
      <c r="E618" s="6" t="s">
        <v>2895</v>
      </c>
      <c r="F618" s="1">
        <v>44896</v>
      </c>
      <c r="G618">
        <v>833</v>
      </c>
      <c r="H618" t="s">
        <v>2047</v>
      </c>
      <c r="I618">
        <v>1</v>
      </c>
      <c r="J618" t="s">
        <v>2894</v>
      </c>
      <c r="K618" s="1">
        <v>43831</v>
      </c>
      <c r="L618">
        <v>2020</v>
      </c>
      <c r="M618" t="s">
        <v>2045</v>
      </c>
    </row>
    <row r="619" spans="1:13" x14ac:dyDescent="0.3">
      <c r="A619">
        <v>617</v>
      </c>
      <c r="B619">
        <v>1952</v>
      </c>
      <c r="C619" t="s">
        <v>2053</v>
      </c>
      <c r="D619" t="s">
        <v>2052</v>
      </c>
      <c r="E619" s="6" t="s">
        <v>2893</v>
      </c>
      <c r="F619" s="1">
        <v>44835</v>
      </c>
      <c r="G619">
        <v>955</v>
      </c>
      <c r="H619" t="s">
        <v>2047</v>
      </c>
      <c r="I619">
        <v>3</v>
      </c>
      <c r="J619" t="s">
        <v>2892</v>
      </c>
      <c r="K619" s="1">
        <v>43831</v>
      </c>
      <c r="L619">
        <v>2020</v>
      </c>
      <c r="M619" t="s">
        <v>2045</v>
      </c>
    </row>
    <row r="620" spans="1:13" x14ac:dyDescent="0.3">
      <c r="A620">
        <v>618</v>
      </c>
      <c r="B620">
        <v>1635</v>
      </c>
      <c r="C620" t="s">
        <v>2053</v>
      </c>
      <c r="D620" t="s">
        <v>2052</v>
      </c>
      <c r="E620" s="6" t="s">
        <v>2872</v>
      </c>
      <c r="F620" s="1">
        <v>45444</v>
      </c>
      <c r="G620">
        <v>406</v>
      </c>
      <c r="H620" t="s">
        <v>2047</v>
      </c>
      <c r="I620">
        <v>2</v>
      </c>
      <c r="J620" t="s">
        <v>2871</v>
      </c>
      <c r="K620" s="1">
        <v>43831</v>
      </c>
      <c r="L620">
        <v>2020</v>
      </c>
      <c r="M620" t="s">
        <v>2045</v>
      </c>
    </row>
    <row r="621" spans="1:13" x14ac:dyDescent="0.3">
      <c r="A621">
        <v>619</v>
      </c>
      <c r="B621">
        <v>969</v>
      </c>
      <c r="C621" t="s">
        <v>2053</v>
      </c>
      <c r="D621" t="s">
        <v>2052</v>
      </c>
      <c r="E621" s="6" t="s">
        <v>2866</v>
      </c>
      <c r="F621" s="1">
        <v>44136</v>
      </c>
      <c r="G621">
        <v>222</v>
      </c>
      <c r="H621" t="s">
        <v>2047</v>
      </c>
      <c r="I621">
        <v>1</v>
      </c>
      <c r="J621" t="s">
        <v>2865</v>
      </c>
      <c r="K621" s="1">
        <v>43831</v>
      </c>
      <c r="L621">
        <v>2020</v>
      </c>
      <c r="M621" t="s">
        <v>2045</v>
      </c>
    </row>
    <row r="622" spans="1:13" x14ac:dyDescent="0.3">
      <c r="A622">
        <v>620</v>
      </c>
      <c r="B622">
        <v>508</v>
      </c>
      <c r="C622" t="s">
        <v>2053</v>
      </c>
      <c r="D622" t="s">
        <v>2070</v>
      </c>
      <c r="E622" s="6" t="s">
        <v>2862</v>
      </c>
      <c r="F622" s="1">
        <v>44013</v>
      </c>
      <c r="G622">
        <v>451</v>
      </c>
      <c r="H622" t="s">
        <v>2047</v>
      </c>
      <c r="I622">
        <v>2</v>
      </c>
      <c r="J622" t="s">
        <v>2659</v>
      </c>
      <c r="K622" s="1">
        <v>43831</v>
      </c>
      <c r="L622">
        <v>2020</v>
      </c>
      <c r="M622" t="s">
        <v>2045</v>
      </c>
    </row>
    <row r="623" spans="1:13" x14ac:dyDescent="0.3">
      <c r="A623">
        <v>621</v>
      </c>
      <c r="B623">
        <v>9</v>
      </c>
      <c r="C623" t="s">
        <v>2053</v>
      </c>
      <c r="D623" t="s">
        <v>2052</v>
      </c>
      <c r="E623" s="6" t="s">
        <v>2844</v>
      </c>
      <c r="F623" s="1">
        <v>45292</v>
      </c>
      <c r="G623">
        <v>934</v>
      </c>
      <c r="H623" t="s">
        <v>2047</v>
      </c>
      <c r="I623">
        <v>1</v>
      </c>
      <c r="J623" t="s">
        <v>2843</v>
      </c>
      <c r="K623" s="1">
        <v>43831</v>
      </c>
      <c r="L623">
        <v>2020</v>
      </c>
      <c r="M623" t="s">
        <v>2045</v>
      </c>
    </row>
    <row r="624" spans="1:13" x14ac:dyDescent="0.3">
      <c r="A624">
        <v>622</v>
      </c>
      <c r="B624">
        <v>1892</v>
      </c>
      <c r="C624" t="s">
        <v>2053</v>
      </c>
      <c r="D624" t="s">
        <v>2070</v>
      </c>
      <c r="E624" s="6" t="s">
        <v>2836</v>
      </c>
      <c r="F624" s="1">
        <v>45078</v>
      </c>
      <c r="G624">
        <v>883</v>
      </c>
      <c r="H624" t="s">
        <v>2047</v>
      </c>
      <c r="I624">
        <v>2</v>
      </c>
      <c r="J624" t="s">
        <v>2835</v>
      </c>
      <c r="K624" s="1">
        <v>43831</v>
      </c>
      <c r="L624">
        <v>2020</v>
      </c>
      <c r="M624" t="s">
        <v>2045</v>
      </c>
    </row>
    <row r="625" spans="1:13" x14ac:dyDescent="0.3">
      <c r="A625">
        <v>623</v>
      </c>
      <c r="B625">
        <v>1672</v>
      </c>
      <c r="C625" t="s">
        <v>2053</v>
      </c>
      <c r="D625" t="s">
        <v>2052</v>
      </c>
      <c r="E625" s="6" t="s">
        <v>2829</v>
      </c>
      <c r="F625" s="1">
        <v>44166</v>
      </c>
      <c r="G625">
        <v>507</v>
      </c>
      <c r="H625" t="s">
        <v>2047</v>
      </c>
      <c r="I625">
        <v>1</v>
      </c>
      <c r="J625" t="s">
        <v>2828</v>
      </c>
      <c r="K625" s="1">
        <v>43831</v>
      </c>
      <c r="L625">
        <v>2020</v>
      </c>
      <c r="M625" t="s">
        <v>2045</v>
      </c>
    </row>
    <row r="626" spans="1:13" x14ac:dyDescent="0.3">
      <c r="A626">
        <v>624</v>
      </c>
      <c r="B626">
        <v>426</v>
      </c>
      <c r="C626" t="s">
        <v>2053</v>
      </c>
      <c r="D626" t="s">
        <v>2052</v>
      </c>
      <c r="E626" s="6" t="s">
        <v>2824</v>
      </c>
      <c r="F626" s="1">
        <v>44228</v>
      </c>
      <c r="G626">
        <v>385</v>
      </c>
      <c r="H626" t="s">
        <v>2047</v>
      </c>
      <c r="I626">
        <v>3</v>
      </c>
      <c r="J626" t="s">
        <v>2823</v>
      </c>
      <c r="K626" s="1">
        <v>43831</v>
      </c>
      <c r="L626">
        <v>2020</v>
      </c>
      <c r="M626" t="s">
        <v>2045</v>
      </c>
    </row>
    <row r="627" spans="1:13" x14ac:dyDescent="0.3">
      <c r="A627">
        <v>625</v>
      </c>
      <c r="B627">
        <v>342</v>
      </c>
      <c r="C627" t="s">
        <v>2053</v>
      </c>
      <c r="D627" t="s">
        <v>2052</v>
      </c>
      <c r="E627" s="6" t="s">
        <v>2805</v>
      </c>
      <c r="F627" s="1">
        <v>44805</v>
      </c>
      <c r="G627">
        <v>862</v>
      </c>
      <c r="H627" t="s">
        <v>2047</v>
      </c>
      <c r="I627">
        <v>1</v>
      </c>
      <c r="J627" t="s">
        <v>2804</v>
      </c>
      <c r="K627" s="1">
        <v>43831</v>
      </c>
      <c r="L627">
        <v>2020</v>
      </c>
      <c r="M627" t="s">
        <v>2045</v>
      </c>
    </row>
    <row r="628" spans="1:13" x14ac:dyDescent="0.3">
      <c r="A628">
        <v>626</v>
      </c>
      <c r="B628">
        <v>272</v>
      </c>
      <c r="C628" t="s">
        <v>2053</v>
      </c>
      <c r="D628" t="s">
        <v>2070</v>
      </c>
      <c r="E628" s="6" t="s">
        <v>2799</v>
      </c>
      <c r="F628" s="1">
        <v>45108</v>
      </c>
      <c r="G628">
        <v>131</v>
      </c>
      <c r="H628" t="s">
        <v>2047</v>
      </c>
      <c r="I628">
        <v>1</v>
      </c>
      <c r="J628" t="s">
        <v>2413</v>
      </c>
      <c r="K628" s="1">
        <v>43831</v>
      </c>
      <c r="L628">
        <v>2020</v>
      </c>
      <c r="M628" t="s">
        <v>2045</v>
      </c>
    </row>
    <row r="629" spans="1:13" x14ac:dyDescent="0.3">
      <c r="A629">
        <v>627</v>
      </c>
      <c r="B629">
        <v>521</v>
      </c>
      <c r="C629" t="s">
        <v>2053</v>
      </c>
      <c r="D629" t="s">
        <v>2052</v>
      </c>
      <c r="E629" s="6" t="s">
        <v>2798</v>
      </c>
      <c r="F629" s="1">
        <v>44531</v>
      </c>
      <c r="G629">
        <v>895</v>
      </c>
      <c r="H629" t="s">
        <v>2047</v>
      </c>
      <c r="I629">
        <v>2</v>
      </c>
      <c r="J629" t="s">
        <v>2797</v>
      </c>
      <c r="K629" s="1">
        <v>43831</v>
      </c>
      <c r="L629">
        <v>2020</v>
      </c>
      <c r="M629" t="s">
        <v>2045</v>
      </c>
    </row>
    <row r="630" spans="1:13" x14ac:dyDescent="0.3">
      <c r="A630">
        <v>628</v>
      </c>
      <c r="B630">
        <v>1381</v>
      </c>
      <c r="C630" t="s">
        <v>2053</v>
      </c>
      <c r="D630" t="s">
        <v>2052</v>
      </c>
      <c r="E630" s="6" t="s">
        <v>2796</v>
      </c>
      <c r="F630" s="1">
        <v>45627</v>
      </c>
      <c r="G630">
        <v>954</v>
      </c>
      <c r="H630" t="s">
        <v>2047</v>
      </c>
      <c r="I630">
        <v>1</v>
      </c>
      <c r="J630" t="s">
        <v>2795</v>
      </c>
      <c r="K630" s="1">
        <v>43831</v>
      </c>
      <c r="L630">
        <v>2020</v>
      </c>
      <c r="M630" t="s">
        <v>2045</v>
      </c>
    </row>
    <row r="631" spans="1:13" x14ac:dyDescent="0.3">
      <c r="A631">
        <v>629</v>
      </c>
      <c r="B631">
        <v>239</v>
      </c>
      <c r="C631" t="s">
        <v>2053</v>
      </c>
      <c r="D631" t="s">
        <v>2070</v>
      </c>
      <c r="E631" s="6" t="s">
        <v>2788</v>
      </c>
      <c r="F631" s="1">
        <v>44256</v>
      </c>
      <c r="G631">
        <v>779</v>
      </c>
      <c r="H631" t="s">
        <v>2047</v>
      </c>
      <c r="I631">
        <v>2</v>
      </c>
      <c r="J631" t="s">
        <v>2257</v>
      </c>
      <c r="K631" s="1">
        <v>43831</v>
      </c>
      <c r="L631">
        <v>2020</v>
      </c>
      <c r="M631" t="s">
        <v>2045</v>
      </c>
    </row>
    <row r="632" spans="1:13" x14ac:dyDescent="0.3">
      <c r="A632">
        <v>630</v>
      </c>
      <c r="B632">
        <v>239</v>
      </c>
      <c r="C632" t="s">
        <v>2053</v>
      </c>
      <c r="D632" t="s">
        <v>2052</v>
      </c>
      <c r="E632" s="6" t="s">
        <v>2787</v>
      </c>
      <c r="F632" s="1">
        <v>43862</v>
      </c>
      <c r="G632">
        <v>994</v>
      </c>
      <c r="H632" t="s">
        <v>2047</v>
      </c>
      <c r="I632">
        <v>2</v>
      </c>
      <c r="J632" t="s">
        <v>2786</v>
      </c>
      <c r="K632" s="1">
        <v>43831</v>
      </c>
      <c r="L632">
        <v>2020</v>
      </c>
      <c r="M632" t="s">
        <v>2045</v>
      </c>
    </row>
    <row r="633" spans="1:13" x14ac:dyDescent="0.3">
      <c r="A633">
        <v>631</v>
      </c>
      <c r="B633">
        <v>1205</v>
      </c>
      <c r="C633" t="s">
        <v>2053</v>
      </c>
      <c r="D633" t="s">
        <v>2048</v>
      </c>
      <c r="E633" s="6" t="s">
        <v>2768</v>
      </c>
      <c r="F633" s="1">
        <v>44256</v>
      </c>
      <c r="G633">
        <v>389</v>
      </c>
      <c r="H633" t="s">
        <v>2047</v>
      </c>
      <c r="I633">
        <v>2</v>
      </c>
      <c r="J633" t="s">
        <v>2093</v>
      </c>
      <c r="K633" s="1">
        <v>43831</v>
      </c>
      <c r="L633">
        <v>2020</v>
      </c>
      <c r="M633" t="s">
        <v>2045</v>
      </c>
    </row>
    <row r="634" spans="1:13" x14ac:dyDescent="0.3">
      <c r="A634">
        <v>632</v>
      </c>
      <c r="B634">
        <v>1190</v>
      </c>
      <c r="C634" t="s">
        <v>2053</v>
      </c>
      <c r="D634" t="s">
        <v>2048</v>
      </c>
      <c r="E634" s="6" t="s">
        <v>2764</v>
      </c>
      <c r="F634" s="1">
        <v>43862</v>
      </c>
      <c r="G634">
        <v>635</v>
      </c>
      <c r="H634" t="s">
        <v>2047</v>
      </c>
      <c r="I634">
        <v>2</v>
      </c>
      <c r="J634" t="s">
        <v>2229</v>
      </c>
      <c r="K634" s="1">
        <v>43831</v>
      </c>
      <c r="L634">
        <v>2020</v>
      </c>
      <c r="M634" t="s">
        <v>2045</v>
      </c>
    </row>
    <row r="635" spans="1:13" x14ac:dyDescent="0.3">
      <c r="A635">
        <v>633</v>
      </c>
      <c r="B635">
        <v>594</v>
      </c>
      <c r="C635" t="s">
        <v>2053</v>
      </c>
      <c r="D635" t="s">
        <v>2048</v>
      </c>
      <c r="E635" s="6" t="s">
        <v>2760</v>
      </c>
      <c r="F635" s="1">
        <v>44805</v>
      </c>
      <c r="G635">
        <v>312</v>
      </c>
      <c r="H635" t="s">
        <v>2047</v>
      </c>
      <c r="I635">
        <v>1</v>
      </c>
      <c r="J635" t="s">
        <v>2092</v>
      </c>
      <c r="K635" s="1">
        <v>43831</v>
      </c>
      <c r="L635">
        <v>2020</v>
      </c>
      <c r="M635" t="s">
        <v>2045</v>
      </c>
    </row>
    <row r="636" spans="1:13" x14ac:dyDescent="0.3">
      <c r="A636">
        <v>634</v>
      </c>
      <c r="B636">
        <v>923</v>
      </c>
      <c r="C636" t="s">
        <v>2053</v>
      </c>
      <c r="D636" t="s">
        <v>2052</v>
      </c>
      <c r="E636" s="6" t="s">
        <v>2759</v>
      </c>
      <c r="F636" s="1">
        <v>43862</v>
      </c>
      <c r="G636">
        <v>128</v>
      </c>
      <c r="H636" t="s">
        <v>2047</v>
      </c>
      <c r="I636">
        <v>1</v>
      </c>
      <c r="J636" t="s">
        <v>2758</v>
      </c>
      <c r="K636" s="1">
        <v>43831</v>
      </c>
      <c r="L636">
        <v>2020</v>
      </c>
      <c r="M636" t="s">
        <v>2045</v>
      </c>
    </row>
    <row r="637" spans="1:13" x14ac:dyDescent="0.3">
      <c r="A637">
        <v>635</v>
      </c>
      <c r="B637">
        <v>293</v>
      </c>
      <c r="C637" t="s">
        <v>2053</v>
      </c>
      <c r="D637" t="s">
        <v>2052</v>
      </c>
      <c r="E637" s="6" t="s">
        <v>2751</v>
      </c>
      <c r="F637" s="1">
        <v>45078</v>
      </c>
      <c r="G637">
        <v>467</v>
      </c>
      <c r="H637" t="s">
        <v>2047</v>
      </c>
      <c r="I637">
        <v>1</v>
      </c>
      <c r="J637" t="s">
        <v>2750</v>
      </c>
      <c r="K637" s="1">
        <v>43831</v>
      </c>
      <c r="L637">
        <v>2020</v>
      </c>
      <c r="M637" t="s">
        <v>2045</v>
      </c>
    </row>
    <row r="638" spans="1:13" x14ac:dyDescent="0.3">
      <c r="A638">
        <v>636</v>
      </c>
      <c r="B638">
        <v>501</v>
      </c>
      <c r="C638" t="s">
        <v>2053</v>
      </c>
      <c r="D638" t="s">
        <v>2048</v>
      </c>
      <c r="E638" s="6" t="s">
        <v>2746</v>
      </c>
      <c r="F638" s="1">
        <v>44562</v>
      </c>
      <c r="G638">
        <v>925</v>
      </c>
      <c r="H638" t="s">
        <v>2047</v>
      </c>
      <c r="I638">
        <v>1</v>
      </c>
      <c r="J638" t="s">
        <v>2320</v>
      </c>
      <c r="K638" s="1">
        <v>43831</v>
      </c>
      <c r="L638">
        <v>2020</v>
      </c>
      <c r="M638" t="s">
        <v>2045</v>
      </c>
    </row>
    <row r="639" spans="1:13" x14ac:dyDescent="0.3">
      <c r="A639">
        <v>637</v>
      </c>
      <c r="B639">
        <v>796</v>
      </c>
      <c r="C639" t="s">
        <v>2053</v>
      </c>
      <c r="D639" t="s">
        <v>2052</v>
      </c>
      <c r="E639" s="6" t="s">
        <v>2736</v>
      </c>
      <c r="F639" s="1">
        <v>43862</v>
      </c>
      <c r="G639">
        <v>437</v>
      </c>
      <c r="H639" t="s">
        <v>2047</v>
      </c>
      <c r="I639">
        <v>2</v>
      </c>
      <c r="J639" t="s">
        <v>2735</v>
      </c>
      <c r="K639" s="1">
        <v>43831</v>
      </c>
      <c r="L639">
        <v>2020</v>
      </c>
      <c r="M639" t="s">
        <v>2045</v>
      </c>
    </row>
    <row r="640" spans="1:13" x14ac:dyDescent="0.3">
      <c r="A640">
        <v>638</v>
      </c>
      <c r="B640">
        <v>796</v>
      </c>
      <c r="C640" t="s">
        <v>2053</v>
      </c>
      <c r="D640" t="s">
        <v>2052</v>
      </c>
      <c r="E640" s="6" t="s">
        <v>2734</v>
      </c>
      <c r="F640" s="1">
        <v>44866</v>
      </c>
      <c r="G640">
        <v>264</v>
      </c>
      <c r="H640" t="s">
        <v>2055</v>
      </c>
      <c r="I640">
        <v>1</v>
      </c>
      <c r="J640" t="s">
        <v>2302</v>
      </c>
      <c r="K640" s="1">
        <v>43831</v>
      </c>
      <c r="L640">
        <v>2020</v>
      </c>
      <c r="M640" t="s">
        <v>2045</v>
      </c>
    </row>
    <row r="641" spans="1:13" x14ac:dyDescent="0.3">
      <c r="A641">
        <v>639</v>
      </c>
      <c r="B641">
        <v>418</v>
      </c>
      <c r="C641" t="s">
        <v>2053</v>
      </c>
      <c r="D641" t="s">
        <v>2052</v>
      </c>
      <c r="E641" s="6" t="s">
        <v>2726</v>
      </c>
      <c r="F641" s="1">
        <v>45536</v>
      </c>
      <c r="G641">
        <v>971</v>
      </c>
      <c r="H641" t="s">
        <v>2047</v>
      </c>
      <c r="I641">
        <v>2</v>
      </c>
      <c r="J641" t="s">
        <v>2725</v>
      </c>
      <c r="K641" s="1">
        <v>43831</v>
      </c>
      <c r="L641">
        <v>2020</v>
      </c>
      <c r="M641" t="s">
        <v>2045</v>
      </c>
    </row>
    <row r="642" spans="1:13" x14ac:dyDescent="0.3">
      <c r="A642">
        <v>640</v>
      </c>
      <c r="B642">
        <v>960</v>
      </c>
      <c r="C642" t="s">
        <v>2053</v>
      </c>
      <c r="D642" t="s">
        <v>2052</v>
      </c>
      <c r="E642" s="6" t="s">
        <v>2722</v>
      </c>
      <c r="F642" s="1">
        <v>45200</v>
      </c>
      <c r="G642">
        <v>577</v>
      </c>
      <c r="H642" t="s">
        <v>2047</v>
      </c>
      <c r="I642">
        <v>2</v>
      </c>
      <c r="J642" t="s">
        <v>938</v>
      </c>
      <c r="K642" s="1">
        <v>43831</v>
      </c>
      <c r="L642">
        <v>2020</v>
      </c>
      <c r="M642" t="s">
        <v>2045</v>
      </c>
    </row>
    <row r="643" spans="1:13" x14ac:dyDescent="0.3">
      <c r="A643">
        <v>641</v>
      </c>
      <c r="B643">
        <v>761</v>
      </c>
      <c r="C643" t="s">
        <v>2053</v>
      </c>
      <c r="D643" t="s">
        <v>2052</v>
      </c>
      <c r="E643" s="6" t="s">
        <v>2703</v>
      </c>
      <c r="F643" s="1">
        <v>43922</v>
      </c>
      <c r="G643">
        <v>980</v>
      </c>
      <c r="H643" t="s">
        <v>2047</v>
      </c>
      <c r="I643">
        <v>1</v>
      </c>
      <c r="J643" t="s">
        <v>2467</v>
      </c>
      <c r="K643" s="1">
        <v>43831</v>
      </c>
      <c r="L643">
        <v>2020</v>
      </c>
      <c r="M643" t="s">
        <v>2045</v>
      </c>
    </row>
    <row r="644" spans="1:13" x14ac:dyDescent="0.3">
      <c r="A644">
        <v>642</v>
      </c>
      <c r="B644">
        <v>399</v>
      </c>
      <c r="C644" t="s">
        <v>2053</v>
      </c>
      <c r="D644" t="s">
        <v>2052</v>
      </c>
      <c r="E644" s="6" t="s">
        <v>2702</v>
      </c>
      <c r="F644" s="1">
        <v>44440</v>
      </c>
      <c r="G644">
        <v>720</v>
      </c>
      <c r="H644" t="s">
        <v>2047</v>
      </c>
      <c r="I644">
        <v>1</v>
      </c>
      <c r="J644" t="s">
        <v>2701</v>
      </c>
      <c r="K644" s="1">
        <v>43831</v>
      </c>
      <c r="L644">
        <v>2020</v>
      </c>
      <c r="M644" t="s">
        <v>2045</v>
      </c>
    </row>
    <row r="645" spans="1:13" x14ac:dyDescent="0.3">
      <c r="A645">
        <v>643</v>
      </c>
      <c r="B645">
        <v>1763</v>
      </c>
      <c r="C645" t="s">
        <v>2053</v>
      </c>
      <c r="D645" t="s">
        <v>2052</v>
      </c>
      <c r="E645" s="6" t="s">
        <v>2700</v>
      </c>
      <c r="F645" s="1">
        <v>43862</v>
      </c>
      <c r="G645">
        <v>656</v>
      </c>
      <c r="H645" t="s">
        <v>2047</v>
      </c>
      <c r="I645">
        <v>2</v>
      </c>
      <c r="J645" t="s">
        <v>2699</v>
      </c>
      <c r="K645" s="1">
        <v>43831</v>
      </c>
      <c r="L645">
        <v>2020</v>
      </c>
      <c r="M645" t="s">
        <v>2045</v>
      </c>
    </row>
    <row r="646" spans="1:13" x14ac:dyDescent="0.3">
      <c r="A646">
        <v>644</v>
      </c>
      <c r="B646">
        <v>717</v>
      </c>
      <c r="C646" t="s">
        <v>2053</v>
      </c>
      <c r="D646" t="s">
        <v>2052</v>
      </c>
      <c r="E646" s="6" t="s">
        <v>2698</v>
      </c>
      <c r="F646" s="1">
        <v>45566</v>
      </c>
      <c r="G646">
        <v>288</v>
      </c>
      <c r="H646" t="s">
        <v>2047</v>
      </c>
      <c r="I646">
        <v>2</v>
      </c>
      <c r="J646" t="s">
        <v>2697</v>
      </c>
      <c r="K646" s="1">
        <v>43831</v>
      </c>
      <c r="L646">
        <v>2020</v>
      </c>
      <c r="M646" t="s">
        <v>2045</v>
      </c>
    </row>
    <row r="647" spans="1:13" x14ac:dyDescent="0.3">
      <c r="A647">
        <v>645</v>
      </c>
      <c r="B647">
        <v>717</v>
      </c>
      <c r="C647" t="s">
        <v>2053</v>
      </c>
      <c r="D647" t="s">
        <v>2052</v>
      </c>
      <c r="E647" s="6" t="s">
        <v>2696</v>
      </c>
      <c r="F647" s="1">
        <v>43862</v>
      </c>
      <c r="G647">
        <v>466</v>
      </c>
      <c r="H647" t="s">
        <v>2047</v>
      </c>
      <c r="I647">
        <v>2</v>
      </c>
      <c r="J647" t="s">
        <v>2695</v>
      </c>
      <c r="K647" s="1">
        <v>43831</v>
      </c>
      <c r="L647">
        <v>2020</v>
      </c>
      <c r="M647" t="s">
        <v>2045</v>
      </c>
    </row>
    <row r="648" spans="1:13" x14ac:dyDescent="0.3">
      <c r="A648">
        <v>646</v>
      </c>
      <c r="B648">
        <v>117</v>
      </c>
      <c r="C648" t="s">
        <v>2053</v>
      </c>
      <c r="D648" t="s">
        <v>2070</v>
      </c>
      <c r="E648" s="6" t="s">
        <v>2691</v>
      </c>
      <c r="F648" s="1">
        <v>45170</v>
      </c>
      <c r="G648">
        <v>491</v>
      </c>
      <c r="H648" t="s">
        <v>2055</v>
      </c>
      <c r="I648">
        <v>1</v>
      </c>
      <c r="J648" t="s">
        <v>2626</v>
      </c>
      <c r="K648" s="1">
        <v>43831</v>
      </c>
      <c r="L648">
        <v>2020</v>
      </c>
      <c r="M648" t="s">
        <v>2045</v>
      </c>
    </row>
    <row r="649" spans="1:13" x14ac:dyDescent="0.3">
      <c r="A649">
        <v>647</v>
      </c>
      <c r="B649">
        <v>117</v>
      </c>
      <c r="C649" t="s">
        <v>2053</v>
      </c>
      <c r="D649" t="s">
        <v>2052</v>
      </c>
      <c r="E649" s="6" t="s">
        <v>2690</v>
      </c>
      <c r="F649" s="1">
        <v>43831</v>
      </c>
      <c r="G649">
        <v>537</v>
      </c>
      <c r="H649" t="s">
        <v>2047</v>
      </c>
      <c r="I649">
        <v>2</v>
      </c>
      <c r="J649" t="s">
        <v>2689</v>
      </c>
      <c r="K649" s="1">
        <v>43831</v>
      </c>
      <c r="L649">
        <v>2020</v>
      </c>
      <c r="M649" t="s">
        <v>2045</v>
      </c>
    </row>
    <row r="650" spans="1:13" x14ac:dyDescent="0.3">
      <c r="A650">
        <v>648</v>
      </c>
      <c r="B650">
        <v>389</v>
      </c>
      <c r="C650" t="s">
        <v>2053</v>
      </c>
      <c r="D650" t="s">
        <v>2052</v>
      </c>
      <c r="E650" s="6" t="s">
        <v>2680</v>
      </c>
      <c r="F650" s="1">
        <v>45261</v>
      </c>
      <c r="G650">
        <v>197</v>
      </c>
      <c r="H650" t="s">
        <v>2047</v>
      </c>
      <c r="I650">
        <v>1</v>
      </c>
      <c r="J650" t="s">
        <v>2679</v>
      </c>
      <c r="K650" s="1">
        <v>43831</v>
      </c>
      <c r="L650">
        <v>2020</v>
      </c>
      <c r="M650" t="s">
        <v>2045</v>
      </c>
    </row>
    <row r="651" spans="1:13" x14ac:dyDescent="0.3">
      <c r="A651">
        <v>649</v>
      </c>
      <c r="B651">
        <v>1829</v>
      </c>
      <c r="C651" t="s">
        <v>2053</v>
      </c>
      <c r="D651" t="s">
        <v>2048</v>
      </c>
      <c r="E651" s="6" t="s">
        <v>2676</v>
      </c>
      <c r="F651" s="1">
        <v>43862</v>
      </c>
      <c r="G651">
        <v>823</v>
      </c>
      <c r="H651" t="s">
        <v>2047</v>
      </c>
      <c r="I651">
        <v>1</v>
      </c>
      <c r="J651" t="s">
        <v>2141</v>
      </c>
      <c r="K651" s="1">
        <v>43831</v>
      </c>
      <c r="L651">
        <v>2020</v>
      </c>
      <c r="M651" t="s">
        <v>2045</v>
      </c>
    </row>
    <row r="652" spans="1:13" x14ac:dyDescent="0.3">
      <c r="A652">
        <v>650</v>
      </c>
      <c r="B652">
        <v>1392</v>
      </c>
      <c r="C652" t="s">
        <v>2053</v>
      </c>
      <c r="D652" t="s">
        <v>2052</v>
      </c>
      <c r="E652" s="6" t="s">
        <v>2675</v>
      </c>
      <c r="F652" s="1">
        <v>44256</v>
      </c>
      <c r="G652">
        <v>923</v>
      </c>
      <c r="H652" t="s">
        <v>2055</v>
      </c>
      <c r="I652">
        <v>2</v>
      </c>
      <c r="J652" t="s">
        <v>2674</v>
      </c>
      <c r="K652" s="1">
        <v>43831</v>
      </c>
      <c r="L652">
        <v>2020</v>
      </c>
      <c r="M652" t="s">
        <v>2045</v>
      </c>
    </row>
    <row r="653" spans="1:13" x14ac:dyDescent="0.3">
      <c r="A653">
        <v>651</v>
      </c>
      <c r="B653">
        <v>1392</v>
      </c>
      <c r="C653" t="s">
        <v>2053</v>
      </c>
      <c r="D653" t="s">
        <v>2048</v>
      </c>
      <c r="E653" s="6" t="s">
        <v>2671</v>
      </c>
      <c r="F653" s="1">
        <v>44743</v>
      </c>
      <c r="G653">
        <v>556</v>
      </c>
      <c r="H653" t="s">
        <v>2047</v>
      </c>
      <c r="I653">
        <v>2</v>
      </c>
      <c r="J653" t="s">
        <v>2239</v>
      </c>
      <c r="K653" s="1">
        <v>43831</v>
      </c>
      <c r="L653">
        <v>2020</v>
      </c>
      <c r="M653" t="s">
        <v>2045</v>
      </c>
    </row>
    <row r="654" spans="1:13" x14ac:dyDescent="0.3">
      <c r="A654">
        <v>652</v>
      </c>
      <c r="B654">
        <v>1112</v>
      </c>
      <c r="C654" t="s">
        <v>2053</v>
      </c>
      <c r="D654" t="s">
        <v>2052</v>
      </c>
      <c r="E654" s="6" t="s">
        <v>2668</v>
      </c>
      <c r="F654" s="1">
        <v>43983</v>
      </c>
      <c r="G654">
        <v>291</v>
      </c>
      <c r="H654" t="s">
        <v>2047</v>
      </c>
      <c r="I654">
        <v>1</v>
      </c>
      <c r="J654" t="s">
        <v>2667</v>
      </c>
      <c r="K654" s="1">
        <v>43831</v>
      </c>
      <c r="L654">
        <v>2020</v>
      </c>
      <c r="M654" t="s">
        <v>2045</v>
      </c>
    </row>
    <row r="655" spans="1:13" x14ac:dyDescent="0.3">
      <c r="A655">
        <v>653</v>
      </c>
      <c r="B655">
        <v>1112</v>
      </c>
      <c r="C655" t="s">
        <v>2053</v>
      </c>
      <c r="D655" t="s">
        <v>2052</v>
      </c>
      <c r="E655" s="6" t="s">
        <v>2666</v>
      </c>
      <c r="F655" s="1">
        <v>45017</v>
      </c>
      <c r="G655">
        <v>678</v>
      </c>
      <c r="H655" t="s">
        <v>2047</v>
      </c>
      <c r="I655">
        <v>1</v>
      </c>
      <c r="J655" t="s">
        <v>2665</v>
      </c>
      <c r="K655" s="1">
        <v>43831</v>
      </c>
      <c r="L655">
        <v>2020</v>
      </c>
      <c r="M655" t="s">
        <v>2045</v>
      </c>
    </row>
    <row r="656" spans="1:13" x14ac:dyDescent="0.3">
      <c r="A656">
        <v>654</v>
      </c>
      <c r="B656">
        <v>966</v>
      </c>
      <c r="C656" t="s">
        <v>2053</v>
      </c>
      <c r="D656" t="s">
        <v>2052</v>
      </c>
      <c r="E656" s="6" t="s">
        <v>2662</v>
      </c>
      <c r="F656" s="1">
        <v>44835</v>
      </c>
      <c r="G656">
        <v>458</v>
      </c>
      <c r="H656" t="s">
        <v>2047</v>
      </c>
      <c r="I656">
        <v>2</v>
      </c>
      <c r="J656" t="s">
        <v>2661</v>
      </c>
      <c r="K656" s="1">
        <v>43831</v>
      </c>
      <c r="L656">
        <v>2020</v>
      </c>
      <c r="M656" t="s">
        <v>2045</v>
      </c>
    </row>
    <row r="657" spans="1:13" x14ac:dyDescent="0.3">
      <c r="A657">
        <v>655</v>
      </c>
      <c r="B657">
        <v>107</v>
      </c>
      <c r="C657" t="s">
        <v>2053</v>
      </c>
      <c r="D657" t="s">
        <v>2070</v>
      </c>
      <c r="E657" s="6" t="s">
        <v>2660</v>
      </c>
      <c r="F657" s="1">
        <v>44440</v>
      </c>
      <c r="G657">
        <v>427</v>
      </c>
      <c r="H657" t="s">
        <v>2047</v>
      </c>
      <c r="I657">
        <v>1</v>
      </c>
      <c r="J657" t="s">
        <v>2659</v>
      </c>
      <c r="K657" s="1">
        <v>43831</v>
      </c>
      <c r="L657">
        <v>2020</v>
      </c>
      <c r="M657" t="s">
        <v>2045</v>
      </c>
    </row>
    <row r="658" spans="1:13" x14ac:dyDescent="0.3">
      <c r="A658">
        <v>656</v>
      </c>
      <c r="B658">
        <v>1363</v>
      </c>
      <c r="C658" t="s">
        <v>2053</v>
      </c>
      <c r="D658" t="s">
        <v>2048</v>
      </c>
      <c r="E658" s="6" t="s">
        <v>2654</v>
      </c>
      <c r="F658" s="1">
        <v>45017</v>
      </c>
      <c r="G658">
        <v>557</v>
      </c>
      <c r="H658" t="s">
        <v>2047</v>
      </c>
      <c r="I658">
        <v>1</v>
      </c>
      <c r="J658" t="s">
        <v>2269</v>
      </c>
      <c r="K658" s="1">
        <v>43831</v>
      </c>
      <c r="L658">
        <v>2020</v>
      </c>
      <c r="M658" t="s">
        <v>2045</v>
      </c>
    </row>
    <row r="659" spans="1:13" x14ac:dyDescent="0.3">
      <c r="A659">
        <v>657</v>
      </c>
      <c r="B659">
        <v>10</v>
      </c>
      <c r="C659" t="s">
        <v>2053</v>
      </c>
      <c r="D659" t="s">
        <v>2052</v>
      </c>
      <c r="E659" s="6" t="s">
        <v>2653</v>
      </c>
      <c r="F659" s="1">
        <v>44621</v>
      </c>
      <c r="G659">
        <v>113</v>
      </c>
      <c r="H659" t="s">
        <v>2047</v>
      </c>
      <c r="I659">
        <v>1</v>
      </c>
      <c r="J659" t="s">
        <v>2652</v>
      </c>
      <c r="K659" s="1">
        <v>43831</v>
      </c>
      <c r="L659">
        <v>2020</v>
      </c>
      <c r="M659" t="s">
        <v>2045</v>
      </c>
    </row>
    <row r="660" spans="1:13" x14ac:dyDescent="0.3">
      <c r="A660">
        <v>658</v>
      </c>
      <c r="B660">
        <v>935</v>
      </c>
      <c r="C660" t="s">
        <v>2053</v>
      </c>
      <c r="D660" t="s">
        <v>2052</v>
      </c>
      <c r="E660" s="6" t="s">
        <v>2650</v>
      </c>
      <c r="F660" s="1">
        <v>44136</v>
      </c>
      <c r="G660">
        <v>702</v>
      </c>
      <c r="H660" t="s">
        <v>2047</v>
      </c>
      <c r="I660">
        <v>1</v>
      </c>
      <c r="J660" t="s">
        <v>2649</v>
      </c>
      <c r="K660" s="1">
        <v>43831</v>
      </c>
      <c r="L660">
        <v>2020</v>
      </c>
      <c r="M660" t="s">
        <v>2045</v>
      </c>
    </row>
    <row r="661" spans="1:13" x14ac:dyDescent="0.3">
      <c r="A661">
        <v>659</v>
      </c>
      <c r="B661">
        <v>37</v>
      </c>
      <c r="C661" t="s">
        <v>2053</v>
      </c>
      <c r="D661" t="s">
        <v>2052</v>
      </c>
      <c r="E661" s="6" t="s">
        <v>2643</v>
      </c>
      <c r="F661" s="1">
        <v>43862</v>
      </c>
      <c r="G661">
        <v>924</v>
      </c>
      <c r="H661" t="s">
        <v>2047</v>
      </c>
      <c r="I661">
        <v>1</v>
      </c>
      <c r="J661" t="s">
        <v>2642</v>
      </c>
      <c r="K661" s="1">
        <v>43831</v>
      </c>
      <c r="L661">
        <v>2020</v>
      </c>
      <c r="M661" t="s">
        <v>2045</v>
      </c>
    </row>
    <row r="662" spans="1:13" x14ac:dyDescent="0.3">
      <c r="A662">
        <v>660</v>
      </c>
      <c r="B662">
        <v>1140</v>
      </c>
      <c r="C662" t="s">
        <v>2053</v>
      </c>
      <c r="D662" t="s">
        <v>2052</v>
      </c>
      <c r="E662" s="6" t="s">
        <v>2638</v>
      </c>
      <c r="F662" s="1">
        <v>44136</v>
      </c>
      <c r="G662">
        <v>172</v>
      </c>
      <c r="H662" t="s">
        <v>2047</v>
      </c>
      <c r="I662">
        <v>1</v>
      </c>
      <c r="J662" t="s">
        <v>2637</v>
      </c>
      <c r="K662" s="1">
        <v>43831</v>
      </c>
      <c r="L662">
        <v>2020</v>
      </c>
      <c r="M662" t="s">
        <v>2045</v>
      </c>
    </row>
    <row r="663" spans="1:13" x14ac:dyDescent="0.3">
      <c r="A663">
        <v>661</v>
      </c>
      <c r="B663">
        <v>500</v>
      </c>
      <c r="C663" t="s">
        <v>2053</v>
      </c>
      <c r="D663" t="s">
        <v>2052</v>
      </c>
      <c r="E663" s="6" t="s">
        <v>2606</v>
      </c>
      <c r="F663" s="1">
        <v>44197</v>
      </c>
      <c r="G663">
        <v>632</v>
      </c>
      <c r="H663" t="s">
        <v>2047</v>
      </c>
      <c r="I663">
        <v>2</v>
      </c>
      <c r="J663" t="s">
        <v>2304</v>
      </c>
      <c r="K663" s="1">
        <v>43831</v>
      </c>
      <c r="L663">
        <v>2020</v>
      </c>
      <c r="M663" t="s">
        <v>2045</v>
      </c>
    </row>
    <row r="664" spans="1:13" x14ac:dyDescent="0.3">
      <c r="A664">
        <v>662</v>
      </c>
      <c r="B664">
        <v>1808</v>
      </c>
      <c r="C664" t="s">
        <v>2053</v>
      </c>
      <c r="D664" t="s">
        <v>2048</v>
      </c>
      <c r="E664" s="6" t="s">
        <v>2604</v>
      </c>
      <c r="F664" s="1">
        <v>44866</v>
      </c>
      <c r="G664">
        <v>32</v>
      </c>
      <c r="H664" t="s">
        <v>2055</v>
      </c>
      <c r="I664">
        <v>2</v>
      </c>
      <c r="J664" t="s">
        <v>2209</v>
      </c>
      <c r="K664" s="1">
        <v>43831</v>
      </c>
      <c r="L664">
        <v>2020</v>
      </c>
      <c r="M664" t="s">
        <v>2045</v>
      </c>
    </row>
    <row r="665" spans="1:13" x14ac:dyDescent="0.3">
      <c r="A665">
        <v>663</v>
      </c>
      <c r="B665">
        <v>1132</v>
      </c>
      <c r="C665" t="s">
        <v>2053</v>
      </c>
      <c r="D665" t="s">
        <v>2048</v>
      </c>
      <c r="E665" s="6" t="s">
        <v>2584</v>
      </c>
      <c r="F665" s="1">
        <v>44136</v>
      </c>
      <c r="G665">
        <v>754</v>
      </c>
      <c r="H665" t="s">
        <v>2047</v>
      </c>
      <c r="I665">
        <v>2</v>
      </c>
      <c r="J665" t="s">
        <v>2366</v>
      </c>
      <c r="K665" s="1">
        <v>43831</v>
      </c>
      <c r="L665">
        <v>2020</v>
      </c>
      <c r="M665" t="s">
        <v>2045</v>
      </c>
    </row>
    <row r="666" spans="1:13" x14ac:dyDescent="0.3">
      <c r="A666">
        <v>664</v>
      </c>
      <c r="B666">
        <v>1025</v>
      </c>
      <c r="C666" t="s">
        <v>2053</v>
      </c>
      <c r="D666" t="s">
        <v>2048</v>
      </c>
      <c r="E666" s="6" t="s">
        <v>2582</v>
      </c>
      <c r="F666" s="1">
        <v>44013</v>
      </c>
      <c r="G666">
        <v>488</v>
      </c>
      <c r="H666" t="s">
        <v>2047</v>
      </c>
      <c r="I666">
        <v>2</v>
      </c>
      <c r="J666" t="s">
        <v>2093</v>
      </c>
      <c r="K666" s="1">
        <v>43831</v>
      </c>
      <c r="L666">
        <v>2020</v>
      </c>
      <c r="M666" t="s">
        <v>2045</v>
      </c>
    </row>
    <row r="667" spans="1:13" x14ac:dyDescent="0.3">
      <c r="A667">
        <v>665</v>
      </c>
      <c r="B667">
        <v>344</v>
      </c>
      <c r="C667" t="s">
        <v>2053</v>
      </c>
      <c r="D667" t="s">
        <v>2052</v>
      </c>
      <c r="E667" s="6" t="s">
        <v>2577</v>
      </c>
      <c r="F667" s="1">
        <v>44713</v>
      </c>
      <c r="G667">
        <v>355</v>
      </c>
      <c r="H667" t="s">
        <v>2047</v>
      </c>
      <c r="I667">
        <v>2</v>
      </c>
      <c r="J667" t="s">
        <v>2576</v>
      </c>
      <c r="K667" s="1">
        <v>43831</v>
      </c>
      <c r="L667">
        <v>2020</v>
      </c>
      <c r="M667" t="s">
        <v>2045</v>
      </c>
    </row>
    <row r="668" spans="1:13" x14ac:dyDescent="0.3">
      <c r="A668">
        <v>666</v>
      </c>
      <c r="B668">
        <v>344</v>
      </c>
      <c r="C668" t="s">
        <v>2053</v>
      </c>
      <c r="D668" t="s">
        <v>2052</v>
      </c>
      <c r="E668" s="6" t="s">
        <v>2575</v>
      </c>
      <c r="F668" s="1">
        <v>44197</v>
      </c>
      <c r="G668">
        <v>442</v>
      </c>
      <c r="H668" t="s">
        <v>2047</v>
      </c>
      <c r="I668">
        <v>1</v>
      </c>
      <c r="J668" t="s">
        <v>2574</v>
      </c>
      <c r="K668" s="1">
        <v>43831</v>
      </c>
      <c r="L668">
        <v>2020</v>
      </c>
      <c r="M668" t="s">
        <v>2045</v>
      </c>
    </row>
    <row r="669" spans="1:13" x14ac:dyDescent="0.3">
      <c r="A669">
        <v>667</v>
      </c>
      <c r="B669">
        <v>1118</v>
      </c>
      <c r="C669" t="s">
        <v>2053</v>
      </c>
      <c r="D669" t="s">
        <v>2048</v>
      </c>
      <c r="E669" s="6" t="s">
        <v>2568</v>
      </c>
      <c r="F669" s="1">
        <v>43862</v>
      </c>
      <c r="G669">
        <v>460</v>
      </c>
      <c r="H669" t="s">
        <v>2047</v>
      </c>
      <c r="I669">
        <v>1</v>
      </c>
      <c r="J669" t="s">
        <v>2567</v>
      </c>
      <c r="K669" s="1">
        <v>43831</v>
      </c>
      <c r="L669">
        <v>2020</v>
      </c>
      <c r="M669" t="s">
        <v>2045</v>
      </c>
    </row>
    <row r="670" spans="1:13" x14ac:dyDescent="0.3">
      <c r="A670">
        <v>668</v>
      </c>
      <c r="B670">
        <v>337</v>
      </c>
      <c r="C670" t="s">
        <v>2053</v>
      </c>
      <c r="D670" t="s">
        <v>2070</v>
      </c>
      <c r="E670" s="6" t="s">
        <v>2560</v>
      </c>
      <c r="F670" s="1">
        <v>45292</v>
      </c>
      <c r="G670">
        <v>40</v>
      </c>
      <c r="H670" t="s">
        <v>2047</v>
      </c>
      <c r="I670">
        <v>2</v>
      </c>
      <c r="J670" t="s">
        <v>2417</v>
      </c>
      <c r="K670" s="1">
        <v>43831</v>
      </c>
      <c r="L670">
        <v>2020</v>
      </c>
      <c r="M670" t="s">
        <v>2045</v>
      </c>
    </row>
    <row r="671" spans="1:13" x14ac:dyDescent="0.3">
      <c r="A671">
        <v>669</v>
      </c>
      <c r="B671">
        <v>1923</v>
      </c>
      <c r="C671" t="s">
        <v>2053</v>
      </c>
      <c r="D671" t="s">
        <v>2048</v>
      </c>
      <c r="E671" s="6" t="s">
        <v>2551</v>
      </c>
      <c r="F671" s="1">
        <v>44682</v>
      </c>
      <c r="G671">
        <v>14</v>
      </c>
      <c r="H671" t="s">
        <v>2055</v>
      </c>
      <c r="I671">
        <v>1</v>
      </c>
      <c r="J671" t="s">
        <v>2191</v>
      </c>
      <c r="K671" s="1">
        <v>43831</v>
      </c>
      <c r="L671">
        <v>2020</v>
      </c>
      <c r="M671" t="s">
        <v>2045</v>
      </c>
    </row>
    <row r="672" spans="1:13" x14ac:dyDescent="0.3">
      <c r="A672">
        <v>670</v>
      </c>
      <c r="B672">
        <v>1633</v>
      </c>
      <c r="C672" t="s">
        <v>2053</v>
      </c>
      <c r="D672" t="s">
        <v>2052</v>
      </c>
      <c r="E672" s="6" t="s">
        <v>2542</v>
      </c>
      <c r="F672" s="1">
        <v>45505</v>
      </c>
      <c r="G672">
        <v>145</v>
      </c>
      <c r="H672" t="s">
        <v>2047</v>
      </c>
      <c r="I672">
        <v>2</v>
      </c>
      <c r="J672" t="s">
        <v>2541</v>
      </c>
      <c r="K672" s="1">
        <v>43831</v>
      </c>
      <c r="L672">
        <v>2020</v>
      </c>
      <c r="M672" t="s">
        <v>2045</v>
      </c>
    </row>
    <row r="673" spans="1:13" x14ac:dyDescent="0.3">
      <c r="A673">
        <v>671</v>
      </c>
      <c r="B673">
        <v>1593</v>
      </c>
      <c r="C673" t="s">
        <v>2053</v>
      </c>
      <c r="D673" t="s">
        <v>2052</v>
      </c>
      <c r="E673" s="6" t="s">
        <v>2540</v>
      </c>
      <c r="F673" s="1">
        <v>44317</v>
      </c>
      <c r="G673">
        <v>709</v>
      </c>
      <c r="H673" t="s">
        <v>2047</v>
      </c>
      <c r="I673">
        <v>1</v>
      </c>
      <c r="J673" t="s">
        <v>2539</v>
      </c>
      <c r="K673" s="1">
        <v>43831</v>
      </c>
      <c r="L673">
        <v>2020</v>
      </c>
      <c r="M673" t="s">
        <v>2045</v>
      </c>
    </row>
    <row r="674" spans="1:13" x14ac:dyDescent="0.3">
      <c r="A674">
        <v>672</v>
      </c>
      <c r="B674">
        <v>881</v>
      </c>
      <c r="C674" t="s">
        <v>2053</v>
      </c>
      <c r="D674" t="s">
        <v>2052</v>
      </c>
      <c r="E674" s="6" t="s">
        <v>2530</v>
      </c>
      <c r="F674" s="1">
        <v>43952</v>
      </c>
      <c r="G674">
        <v>380</v>
      </c>
      <c r="H674" t="s">
        <v>2047</v>
      </c>
      <c r="I674">
        <v>1</v>
      </c>
      <c r="J674" t="s">
        <v>755</v>
      </c>
      <c r="K674" s="1">
        <v>43831</v>
      </c>
      <c r="L674">
        <v>2020</v>
      </c>
      <c r="M674" t="s">
        <v>2045</v>
      </c>
    </row>
    <row r="675" spans="1:13" x14ac:dyDescent="0.3">
      <c r="A675">
        <v>673</v>
      </c>
      <c r="B675">
        <v>1333</v>
      </c>
      <c r="C675" t="s">
        <v>2053</v>
      </c>
      <c r="D675" t="s">
        <v>2052</v>
      </c>
      <c r="E675" s="6" t="s">
        <v>2527</v>
      </c>
      <c r="F675" s="1">
        <v>43831</v>
      </c>
      <c r="G675">
        <v>181</v>
      </c>
      <c r="H675" t="s">
        <v>2055</v>
      </c>
      <c r="I675">
        <v>1</v>
      </c>
      <c r="J675" t="s">
        <v>2526</v>
      </c>
      <c r="K675" s="1">
        <v>43831</v>
      </c>
      <c r="L675">
        <v>2020</v>
      </c>
      <c r="M675" t="s">
        <v>2045</v>
      </c>
    </row>
    <row r="676" spans="1:13" x14ac:dyDescent="0.3">
      <c r="A676">
        <v>674</v>
      </c>
      <c r="B676">
        <v>1333</v>
      </c>
      <c r="C676" t="s">
        <v>2053</v>
      </c>
      <c r="D676" t="s">
        <v>2048</v>
      </c>
      <c r="E676" s="6" t="s">
        <v>2525</v>
      </c>
      <c r="F676" s="1">
        <v>43831</v>
      </c>
      <c r="G676">
        <v>876</v>
      </c>
      <c r="H676" t="s">
        <v>2047</v>
      </c>
      <c r="I676">
        <v>1</v>
      </c>
      <c r="J676" t="s">
        <v>2524</v>
      </c>
      <c r="K676" s="1">
        <v>43831</v>
      </c>
      <c r="L676">
        <v>2020</v>
      </c>
      <c r="M676" t="s">
        <v>2045</v>
      </c>
    </row>
    <row r="677" spans="1:13" x14ac:dyDescent="0.3">
      <c r="A677">
        <v>675</v>
      </c>
      <c r="B677">
        <v>1333</v>
      </c>
      <c r="C677" t="s">
        <v>2053</v>
      </c>
      <c r="D677" t="s">
        <v>2052</v>
      </c>
      <c r="E677" s="6" t="s">
        <v>2523</v>
      </c>
      <c r="F677" s="1">
        <v>43983</v>
      </c>
      <c r="G677">
        <v>916</v>
      </c>
      <c r="H677" t="s">
        <v>2047</v>
      </c>
      <c r="I677">
        <v>1</v>
      </c>
      <c r="J677" t="s">
        <v>2522</v>
      </c>
      <c r="K677" s="1">
        <v>43831</v>
      </c>
      <c r="L677">
        <v>2020</v>
      </c>
      <c r="M677" t="s">
        <v>2045</v>
      </c>
    </row>
    <row r="678" spans="1:13" x14ac:dyDescent="0.3">
      <c r="A678">
        <v>676</v>
      </c>
      <c r="B678">
        <v>151</v>
      </c>
      <c r="C678" t="s">
        <v>2053</v>
      </c>
      <c r="D678" t="s">
        <v>2048</v>
      </c>
      <c r="E678" s="6" t="s">
        <v>2521</v>
      </c>
      <c r="F678" s="1">
        <v>44501</v>
      </c>
      <c r="G678">
        <v>691</v>
      </c>
      <c r="H678" t="s">
        <v>2055</v>
      </c>
      <c r="I678">
        <v>2</v>
      </c>
      <c r="J678" t="s">
        <v>2166</v>
      </c>
      <c r="K678" s="1">
        <v>43831</v>
      </c>
      <c r="L678">
        <v>2020</v>
      </c>
      <c r="M678" t="s">
        <v>2045</v>
      </c>
    </row>
    <row r="679" spans="1:13" x14ac:dyDescent="0.3">
      <c r="A679">
        <v>677</v>
      </c>
      <c r="B679">
        <v>1801</v>
      </c>
      <c r="C679" t="s">
        <v>2053</v>
      </c>
      <c r="D679" t="s">
        <v>2052</v>
      </c>
      <c r="E679" s="6" t="s">
        <v>2516</v>
      </c>
      <c r="F679" s="1">
        <v>44075</v>
      </c>
      <c r="G679">
        <v>126</v>
      </c>
      <c r="H679" t="s">
        <v>2047</v>
      </c>
      <c r="I679">
        <v>1</v>
      </c>
      <c r="J679" t="s">
        <v>2515</v>
      </c>
      <c r="K679" s="1">
        <v>43831</v>
      </c>
      <c r="L679">
        <v>2020</v>
      </c>
      <c r="M679" t="s">
        <v>2045</v>
      </c>
    </row>
    <row r="680" spans="1:13" x14ac:dyDescent="0.3">
      <c r="A680">
        <v>678</v>
      </c>
      <c r="B680">
        <v>1835</v>
      </c>
      <c r="C680" t="s">
        <v>2053</v>
      </c>
      <c r="D680" t="s">
        <v>2052</v>
      </c>
      <c r="E680" s="6" t="s">
        <v>2512</v>
      </c>
      <c r="F680" s="1">
        <v>43831</v>
      </c>
      <c r="G680">
        <v>969</v>
      </c>
      <c r="H680" t="s">
        <v>2047</v>
      </c>
      <c r="I680">
        <v>2</v>
      </c>
      <c r="J680" t="s">
        <v>2511</v>
      </c>
      <c r="K680" s="1">
        <v>43831</v>
      </c>
      <c r="L680">
        <v>2020</v>
      </c>
      <c r="M680" t="s">
        <v>2045</v>
      </c>
    </row>
    <row r="681" spans="1:13" x14ac:dyDescent="0.3">
      <c r="A681">
        <v>679</v>
      </c>
      <c r="B681">
        <v>611</v>
      </c>
      <c r="C681" t="s">
        <v>2053</v>
      </c>
      <c r="D681" t="s">
        <v>2052</v>
      </c>
      <c r="E681" s="6" t="s">
        <v>2505</v>
      </c>
      <c r="F681" s="1">
        <v>43831</v>
      </c>
      <c r="G681">
        <v>154</v>
      </c>
      <c r="H681" t="s">
        <v>2047</v>
      </c>
      <c r="I681">
        <v>2</v>
      </c>
      <c r="J681" t="s">
        <v>2504</v>
      </c>
      <c r="K681" s="1">
        <v>43831</v>
      </c>
      <c r="L681">
        <v>2020</v>
      </c>
      <c r="M681" t="s">
        <v>2045</v>
      </c>
    </row>
    <row r="682" spans="1:13" x14ac:dyDescent="0.3">
      <c r="A682">
        <v>680</v>
      </c>
      <c r="B682">
        <v>632</v>
      </c>
      <c r="C682" t="s">
        <v>2053</v>
      </c>
      <c r="D682" t="s">
        <v>2052</v>
      </c>
      <c r="E682" s="6" t="s">
        <v>2503</v>
      </c>
      <c r="F682" s="1">
        <v>44682</v>
      </c>
      <c r="G682">
        <v>927</v>
      </c>
      <c r="H682" t="s">
        <v>2047</v>
      </c>
      <c r="I682">
        <v>1</v>
      </c>
      <c r="J682" t="s">
        <v>2502</v>
      </c>
      <c r="K682" s="1">
        <v>43831</v>
      </c>
      <c r="L682">
        <v>2020</v>
      </c>
      <c r="M682" t="s">
        <v>2045</v>
      </c>
    </row>
    <row r="683" spans="1:13" x14ac:dyDescent="0.3">
      <c r="A683">
        <v>681</v>
      </c>
      <c r="B683">
        <v>70</v>
      </c>
      <c r="C683" t="s">
        <v>2053</v>
      </c>
      <c r="D683" t="s">
        <v>2052</v>
      </c>
      <c r="E683" s="6" t="s">
        <v>2501</v>
      </c>
      <c r="F683" s="1">
        <v>44409</v>
      </c>
      <c r="G683">
        <v>24</v>
      </c>
      <c r="H683" t="s">
        <v>2055</v>
      </c>
      <c r="I683">
        <v>2</v>
      </c>
      <c r="J683" t="s">
        <v>2500</v>
      </c>
      <c r="K683" s="1">
        <v>43831</v>
      </c>
      <c r="L683">
        <v>2020</v>
      </c>
      <c r="M683" t="s">
        <v>2045</v>
      </c>
    </row>
    <row r="684" spans="1:13" x14ac:dyDescent="0.3">
      <c r="A684">
        <v>682</v>
      </c>
      <c r="B684">
        <v>805</v>
      </c>
      <c r="C684" t="s">
        <v>2053</v>
      </c>
      <c r="D684" t="s">
        <v>2052</v>
      </c>
      <c r="E684" s="6" t="s">
        <v>2481</v>
      </c>
      <c r="F684" s="1">
        <v>43952</v>
      </c>
      <c r="G684">
        <v>214</v>
      </c>
      <c r="H684" t="s">
        <v>2047</v>
      </c>
      <c r="I684">
        <v>1</v>
      </c>
      <c r="J684" t="s">
        <v>2480</v>
      </c>
      <c r="K684" s="1">
        <v>43831</v>
      </c>
      <c r="L684">
        <v>2020</v>
      </c>
      <c r="M684" t="s">
        <v>2045</v>
      </c>
    </row>
    <row r="685" spans="1:13" x14ac:dyDescent="0.3">
      <c r="A685">
        <v>683</v>
      </c>
      <c r="B685">
        <v>830</v>
      </c>
      <c r="C685" t="s">
        <v>2053</v>
      </c>
      <c r="D685" t="s">
        <v>2048</v>
      </c>
      <c r="E685" s="6" t="s">
        <v>2475</v>
      </c>
      <c r="F685" s="1">
        <v>43862</v>
      </c>
      <c r="G685">
        <v>744</v>
      </c>
      <c r="H685" t="s">
        <v>2047</v>
      </c>
      <c r="I685">
        <v>2</v>
      </c>
      <c r="J685" t="s">
        <v>1527</v>
      </c>
      <c r="K685" s="1">
        <v>43831</v>
      </c>
      <c r="L685">
        <v>2020</v>
      </c>
      <c r="M685" t="s">
        <v>2045</v>
      </c>
    </row>
    <row r="686" spans="1:13" x14ac:dyDescent="0.3">
      <c r="A686">
        <v>684</v>
      </c>
      <c r="B686">
        <v>1925</v>
      </c>
      <c r="C686" t="s">
        <v>2053</v>
      </c>
      <c r="D686" t="s">
        <v>2048</v>
      </c>
      <c r="E686" s="6" t="s">
        <v>2470</v>
      </c>
      <c r="F686" s="1">
        <v>44501</v>
      </c>
      <c r="G686">
        <v>101</v>
      </c>
      <c r="H686" t="s">
        <v>2055</v>
      </c>
      <c r="I686">
        <v>2</v>
      </c>
      <c r="J686" t="s">
        <v>2469</v>
      </c>
      <c r="K686" s="1">
        <v>43831</v>
      </c>
      <c r="L686">
        <v>2020</v>
      </c>
      <c r="M686" t="s">
        <v>2045</v>
      </c>
    </row>
    <row r="687" spans="1:13" x14ac:dyDescent="0.3">
      <c r="A687">
        <v>685</v>
      </c>
      <c r="B687">
        <v>1925</v>
      </c>
      <c r="C687" t="s">
        <v>2053</v>
      </c>
      <c r="D687" t="s">
        <v>2048</v>
      </c>
      <c r="E687" s="6" t="s">
        <v>2468</v>
      </c>
      <c r="F687" s="1">
        <v>43831</v>
      </c>
      <c r="G687">
        <v>102</v>
      </c>
      <c r="H687" t="s">
        <v>2047</v>
      </c>
      <c r="I687">
        <v>1</v>
      </c>
      <c r="J687" t="s">
        <v>2467</v>
      </c>
      <c r="K687" s="1">
        <v>43831</v>
      </c>
      <c r="L687">
        <v>2020</v>
      </c>
      <c r="M687" t="s">
        <v>2045</v>
      </c>
    </row>
    <row r="688" spans="1:13" x14ac:dyDescent="0.3">
      <c r="A688">
        <v>686</v>
      </c>
      <c r="B688">
        <v>1690</v>
      </c>
      <c r="C688" t="s">
        <v>2053</v>
      </c>
      <c r="D688" t="s">
        <v>2052</v>
      </c>
      <c r="E688" s="6" t="s">
        <v>2463</v>
      </c>
      <c r="F688" s="1">
        <v>45261</v>
      </c>
      <c r="G688">
        <v>103</v>
      </c>
      <c r="H688" t="s">
        <v>2047</v>
      </c>
      <c r="I688">
        <v>2</v>
      </c>
      <c r="J688" t="s">
        <v>2462</v>
      </c>
      <c r="K688" s="1">
        <v>43831</v>
      </c>
      <c r="L688">
        <v>2020</v>
      </c>
      <c r="M688" t="s">
        <v>2045</v>
      </c>
    </row>
    <row r="689" spans="1:13" x14ac:dyDescent="0.3">
      <c r="A689">
        <v>687</v>
      </c>
      <c r="B689">
        <v>911</v>
      </c>
      <c r="C689" t="s">
        <v>2053</v>
      </c>
      <c r="D689" t="s">
        <v>2048</v>
      </c>
      <c r="E689" s="6" t="s">
        <v>2457</v>
      </c>
      <c r="F689" s="1">
        <v>44927</v>
      </c>
      <c r="G689">
        <v>828</v>
      </c>
      <c r="H689" t="s">
        <v>2047</v>
      </c>
      <c r="I689">
        <v>1</v>
      </c>
      <c r="J689" t="s">
        <v>2254</v>
      </c>
      <c r="K689" s="1">
        <v>43831</v>
      </c>
      <c r="L689">
        <v>2020</v>
      </c>
      <c r="M689" t="s">
        <v>2045</v>
      </c>
    </row>
    <row r="690" spans="1:13" x14ac:dyDescent="0.3">
      <c r="A690">
        <v>688</v>
      </c>
      <c r="B690">
        <v>978</v>
      </c>
      <c r="C690" t="s">
        <v>2053</v>
      </c>
      <c r="D690" t="s">
        <v>2052</v>
      </c>
      <c r="E690" s="6" t="s">
        <v>2446</v>
      </c>
      <c r="F690" s="1">
        <v>44044</v>
      </c>
      <c r="G690">
        <v>608</v>
      </c>
      <c r="H690" t="s">
        <v>2047</v>
      </c>
      <c r="I690">
        <v>2</v>
      </c>
      <c r="J690" t="s">
        <v>2445</v>
      </c>
      <c r="K690" s="1">
        <v>43831</v>
      </c>
      <c r="L690">
        <v>2020</v>
      </c>
      <c r="M690" t="s">
        <v>2045</v>
      </c>
    </row>
    <row r="691" spans="1:13" x14ac:dyDescent="0.3">
      <c r="A691">
        <v>689</v>
      </c>
      <c r="B691">
        <v>1550</v>
      </c>
      <c r="C691" t="s">
        <v>2053</v>
      </c>
      <c r="D691" t="s">
        <v>2052</v>
      </c>
      <c r="E691" s="6" t="s">
        <v>2444</v>
      </c>
      <c r="F691" s="1">
        <v>45627</v>
      </c>
      <c r="G691">
        <v>410</v>
      </c>
      <c r="H691" t="s">
        <v>2047</v>
      </c>
      <c r="I691">
        <v>1</v>
      </c>
      <c r="J691" t="s">
        <v>2443</v>
      </c>
      <c r="K691" s="1">
        <v>43831</v>
      </c>
      <c r="L691">
        <v>2020</v>
      </c>
      <c r="M691" t="s">
        <v>2045</v>
      </c>
    </row>
    <row r="692" spans="1:13" x14ac:dyDescent="0.3">
      <c r="A692">
        <v>690</v>
      </c>
      <c r="B692">
        <v>1550</v>
      </c>
      <c r="C692" t="s">
        <v>2053</v>
      </c>
      <c r="D692" t="s">
        <v>2052</v>
      </c>
      <c r="E692" s="6" t="s">
        <v>2442</v>
      </c>
      <c r="F692" s="1">
        <v>43922</v>
      </c>
      <c r="G692">
        <v>123</v>
      </c>
      <c r="H692" t="s">
        <v>2047</v>
      </c>
      <c r="I692">
        <v>2</v>
      </c>
      <c r="J692" t="s">
        <v>2441</v>
      </c>
      <c r="K692" s="1">
        <v>43831</v>
      </c>
      <c r="L692">
        <v>2020</v>
      </c>
      <c r="M692" t="s">
        <v>2045</v>
      </c>
    </row>
    <row r="693" spans="1:13" x14ac:dyDescent="0.3">
      <c r="A693">
        <v>691</v>
      </c>
      <c r="B693">
        <v>1761</v>
      </c>
      <c r="C693" t="s">
        <v>2053</v>
      </c>
      <c r="D693" t="s">
        <v>2052</v>
      </c>
      <c r="E693" s="6" t="s">
        <v>2433</v>
      </c>
      <c r="F693" s="1">
        <v>45413</v>
      </c>
      <c r="G693">
        <v>670</v>
      </c>
      <c r="H693" t="s">
        <v>2047</v>
      </c>
      <c r="I693">
        <v>1</v>
      </c>
      <c r="J693" t="s">
        <v>2432</v>
      </c>
      <c r="K693" s="1">
        <v>43831</v>
      </c>
      <c r="L693">
        <v>2020</v>
      </c>
      <c r="M693" t="s">
        <v>2045</v>
      </c>
    </row>
    <row r="694" spans="1:13" x14ac:dyDescent="0.3">
      <c r="A694">
        <v>692</v>
      </c>
      <c r="B694">
        <v>1316</v>
      </c>
      <c r="C694" t="s">
        <v>2053</v>
      </c>
      <c r="D694" t="s">
        <v>2052</v>
      </c>
      <c r="E694" s="6" t="s">
        <v>2423</v>
      </c>
      <c r="F694" s="1">
        <v>44562</v>
      </c>
      <c r="G694">
        <v>696</v>
      </c>
      <c r="H694" t="s">
        <v>2047</v>
      </c>
      <c r="I694">
        <v>1</v>
      </c>
      <c r="J694" t="s">
        <v>2422</v>
      </c>
      <c r="K694" s="1">
        <v>43831</v>
      </c>
      <c r="L694">
        <v>2020</v>
      </c>
      <c r="M694" t="s">
        <v>2045</v>
      </c>
    </row>
    <row r="695" spans="1:13" x14ac:dyDescent="0.3">
      <c r="A695">
        <v>693</v>
      </c>
      <c r="B695">
        <v>1831</v>
      </c>
      <c r="C695" t="s">
        <v>2053</v>
      </c>
      <c r="D695" t="s">
        <v>2052</v>
      </c>
      <c r="E695" s="6" t="s">
        <v>2420</v>
      </c>
      <c r="F695" s="1">
        <v>43862</v>
      </c>
      <c r="G695">
        <v>815</v>
      </c>
      <c r="H695" t="s">
        <v>2047</v>
      </c>
      <c r="I695">
        <v>1</v>
      </c>
      <c r="J695" t="s">
        <v>2419</v>
      </c>
      <c r="K695" s="1">
        <v>43831</v>
      </c>
      <c r="L695">
        <v>2020</v>
      </c>
      <c r="M695" t="s">
        <v>2045</v>
      </c>
    </row>
    <row r="696" spans="1:13" x14ac:dyDescent="0.3">
      <c r="A696">
        <v>694</v>
      </c>
      <c r="B696">
        <v>390</v>
      </c>
      <c r="C696" t="s">
        <v>2053</v>
      </c>
      <c r="D696" t="s">
        <v>2048</v>
      </c>
      <c r="E696" s="6" t="s">
        <v>2404</v>
      </c>
      <c r="F696" s="1">
        <v>43862</v>
      </c>
      <c r="G696">
        <v>836</v>
      </c>
      <c r="H696" t="s">
        <v>2047</v>
      </c>
      <c r="I696">
        <v>1</v>
      </c>
      <c r="J696" t="s">
        <v>2403</v>
      </c>
      <c r="K696" s="1">
        <v>43831</v>
      </c>
      <c r="L696">
        <v>2020</v>
      </c>
      <c r="M696" t="s">
        <v>2045</v>
      </c>
    </row>
    <row r="697" spans="1:13" x14ac:dyDescent="0.3">
      <c r="A697">
        <v>695</v>
      </c>
      <c r="B697">
        <v>390</v>
      </c>
      <c r="C697" t="s">
        <v>2053</v>
      </c>
      <c r="D697" t="s">
        <v>2070</v>
      </c>
      <c r="E697" s="6" t="s">
        <v>2402</v>
      </c>
      <c r="F697" s="1">
        <v>44562</v>
      </c>
      <c r="G697">
        <v>241</v>
      </c>
      <c r="H697" t="s">
        <v>2047</v>
      </c>
      <c r="I697">
        <v>1</v>
      </c>
      <c r="J697" t="s">
        <v>2190</v>
      </c>
      <c r="K697" s="1">
        <v>43831</v>
      </c>
      <c r="L697">
        <v>2020</v>
      </c>
      <c r="M697" t="s">
        <v>2045</v>
      </c>
    </row>
    <row r="698" spans="1:13" x14ac:dyDescent="0.3">
      <c r="A698">
        <v>696</v>
      </c>
      <c r="B698">
        <v>1293</v>
      </c>
      <c r="C698" t="s">
        <v>2053</v>
      </c>
      <c r="D698" t="s">
        <v>2052</v>
      </c>
      <c r="E698" s="6" t="s">
        <v>2397</v>
      </c>
      <c r="F698" s="1">
        <v>44378</v>
      </c>
      <c r="G698">
        <v>614</v>
      </c>
      <c r="H698" t="s">
        <v>2047</v>
      </c>
      <c r="I698">
        <v>2</v>
      </c>
      <c r="J698" t="s">
        <v>2396</v>
      </c>
      <c r="K698" s="1">
        <v>43831</v>
      </c>
      <c r="L698">
        <v>2020</v>
      </c>
      <c r="M698" t="s">
        <v>2045</v>
      </c>
    </row>
    <row r="699" spans="1:13" x14ac:dyDescent="0.3">
      <c r="A699">
        <v>697</v>
      </c>
      <c r="B699">
        <v>1597</v>
      </c>
      <c r="C699" t="s">
        <v>2053</v>
      </c>
      <c r="D699" t="s">
        <v>2052</v>
      </c>
      <c r="E699" s="6" t="s">
        <v>2392</v>
      </c>
      <c r="F699" s="1">
        <v>45474</v>
      </c>
      <c r="G699">
        <v>803</v>
      </c>
      <c r="H699" t="s">
        <v>2047</v>
      </c>
      <c r="I699">
        <v>1</v>
      </c>
      <c r="J699" t="s">
        <v>2391</v>
      </c>
      <c r="K699" s="1">
        <v>43831</v>
      </c>
      <c r="L699">
        <v>2020</v>
      </c>
      <c r="M699" t="s">
        <v>2045</v>
      </c>
    </row>
    <row r="700" spans="1:13" x14ac:dyDescent="0.3">
      <c r="A700">
        <v>698</v>
      </c>
      <c r="B700">
        <v>289</v>
      </c>
      <c r="C700" t="s">
        <v>2053</v>
      </c>
      <c r="D700" t="s">
        <v>2052</v>
      </c>
      <c r="E700" s="6" t="s">
        <v>2384</v>
      </c>
      <c r="F700" s="1">
        <v>43831</v>
      </c>
      <c r="G700">
        <v>713</v>
      </c>
      <c r="H700" t="s">
        <v>2047</v>
      </c>
      <c r="I700">
        <v>1</v>
      </c>
      <c r="J700" t="s">
        <v>2383</v>
      </c>
      <c r="K700" s="1">
        <v>43831</v>
      </c>
      <c r="L700">
        <v>2020</v>
      </c>
      <c r="M700" t="s">
        <v>2045</v>
      </c>
    </row>
    <row r="701" spans="1:13" x14ac:dyDescent="0.3">
      <c r="A701">
        <v>699</v>
      </c>
      <c r="B701">
        <v>618</v>
      </c>
      <c r="C701" t="s">
        <v>2053</v>
      </c>
      <c r="D701" t="s">
        <v>2070</v>
      </c>
      <c r="E701" s="6" t="s">
        <v>2380</v>
      </c>
      <c r="F701" s="1">
        <v>45323</v>
      </c>
      <c r="G701">
        <v>292</v>
      </c>
      <c r="H701" t="s">
        <v>2055</v>
      </c>
      <c r="I701">
        <v>2</v>
      </c>
      <c r="J701" t="s">
        <v>2296</v>
      </c>
      <c r="K701" s="1">
        <v>43831</v>
      </c>
      <c r="L701">
        <v>2020</v>
      </c>
      <c r="M701" t="s">
        <v>2045</v>
      </c>
    </row>
    <row r="702" spans="1:13" x14ac:dyDescent="0.3">
      <c r="A702">
        <v>700</v>
      </c>
      <c r="B702">
        <v>555</v>
      </c>
      <c r="C702" t="s">
        <v>2053</v>
      </c>
      <c r="D702" t="s">
        <v>2070</v>
      </c>
      <c r="E702" s="6" t="s">
        <v>2331</v>
      </c>
      <c r="F702" s="1">
        <v>44287</v>
      </c>
      <c r="G702">
        <v>787</v>
      </c>
      <c r="H702" t="s">
        <v>2047</v>
      </c>
      <c r="I702">
        <v>2</v>
      </c>
      <c r="J702" t="s">
        <v>2330</v>
      </c>
      <c r="K702" s="1">
        <v>43831</v>
      </c>
      <c r="L702">
        <v>2020</v>
      </c>
      <c r="M702" t="s">
        <v>2045</v>
      </c>
    </row>
    <row r="703" spans="1:13" x14ac:dyDescent="0.3">
      <c r="A703">
        <v>701</v>
      </c>
      <c r="B703">
        <v>136</v>
      </c>
      <c r="C703" t="s">
        <v>2053</v>
      </c>
      <c r="D703" t="s">
        <v>2052</v>
      </c>
      <c r="E703" s="6" t="s">
        <v>2329</v>
      </c>
      <c r="F703" s="1">
        <v>44501</v>
      </c>
      <c r="G703">
        <v>888</v>
      </c>
      <c r="H703" t="s">
        <v>2047</v>
      </c>
      <c r="I703">
        <v>2</v>
      </c>
      <c r="J703" t="s">
        <v>2328</v>
      </c>
      <c r="K703" s="1">
        <v>43831</v>
      </c>
      <c r="L703">
        <v>2020</v>
      </c>
      <c r="M703" t="s">
        <v>2045</v>
      </c>
    </row>
    <row r="704" spans="1:13" x14ac:dyDescent="0.3">
      <c r="A704">
        <v>702</v>
      </c>
      <c r="B704">
        <v>998</v>
      </c>
      <c r="C704" t="s">
        <v>2053</v>
      </c>
      <c r="D704" t="s">
        <v>2048</v>
      </c>
      <c r="E704" s="6" t="s">
        <v>2321</v>
      </c>
      <c r="F704" s="1">
        <v>45231</v>
      </c>
      <c r="G704">
        <v>890</v>
      </c>
      <c r="H704" t="s">
        <v>2055</v>
      </c>
      <c r="I704">
        <v>1</v>
      </c>
      <c r="J704" t="s">
        <v>2320</v>
      </c>
      <c r="K704" s="1">
        <v>43831</v>
      </c>
      <c r="L704">
        <v>2020</v>
      </c>
      <c r="M704" t="s">
        <v>2045</v>
      </c>
    </row>
    <row r="705" spans="1:13" x14ac:dyDescent="0.3">
      <c r="A705">
        <v>703</v>
      </c>
      <c r="B705">
        <v>998</v>
      </c>
      <c r="C705" t="s">
        <v>2053</v>
      </c>
      <c r="D705" t="s">
        <v>2052</v>
      </c>
      <c r="E705" s="6" t="s">
        <v>2319</v>
      </c>
      <c r="F705" s="1">
        <v>45292</v>
      </c>
      <c r="G705">
        <v>334</v>
      </c>
      <c r="H705" t="s">
        <v>2047</v>
      </c>
      <c r="I705">
        <v>1</v>
      </c>
      <c r="J705" t="s">
        <v>2318</v>
      </c>
      <c r="K705" s="1">
        <v>43831</v>
      </c>
      <c r="L705">
        <v>2020</v>
      </c>
      <c r="M705" t="s">
        <v>2045</v>
      </c>
    </row>
    <row r="706" spans="1:13" x14ac:dyDescent="0.3">
      <c r="A706">
        <v>704</v>
      </c>
      <c r="B706">
        <v>1708</v>
      </c>
      <c r="C706" t="s">
        <v>2053</v>
      </c>
      <c r="D706" t="s">
        <v>2048</v>
      </c>
      <c r="E706" s="6" t="s">
        <v>2308</v>
      </c>
      <c r="F706" s="1">
        <v>44621</v>
      </c>
      <c r="G706">
        <v>263</v>
      </c>
      <c r="H706" t="s">
        <v>2047</v>
      </c>
      <c r="I706">
        <v>2</v>
      </c>
      <c r="J706" t="s">
        <v>2068</v>
      </c>
      <c r="K706" s="1">
        <v>43831</v>
      </c>
      <c r="L706">
        <v>2020</v>
      </c>
      <c r="M706" t="s">
        <v>2045</v>
      </c>
    </row>
    <row r="707" spans="1:13" x14ac:dyDescent="0.3">
      <c r="A707">
        <v>705</v>
      </c>
      <c r="B707">
        <v>968</v>
      </c>
      <c r="C707" t="s">
        <v>2053</v>
      </c>
      <c r="D707" t="s">
        <v>2048</v>
      </c>
      <c r="E707" s="6" t="s">
        <v>2295</v>
      </c>
      <c r="F707" s="1">
        <v>43891</v>
      </c>
      <c r="G707">
        <v>831</v>
      </c>
      <c r="H707" t="s">
        <v>2047</v>
      </c>
      <c r="I707">
        <v>2</v>
      </c>
      <c r="J707" t="s">
        <v>2294</v>
      </c>
      <c r="K707" s="1">
        <v>43831</v>
      </c>
      <c r="L707">
        <v>2020</v>
      </c>
      <c r="M707" t="s">
        <v>2045</v>
      </c>
    </row>
    <row r="708" spans="1:13" x14ac:dyDescent="0.3">
      <c r="A708">
        <v>706</v>
      </c>
      <c r="B708">
        <v>612</v>
      </c>
      <c r="C708" t="s">
        <v>2053</v>
      </c>
      <c r="D708" t="s">
        <v>2052</v>
      </c>
      <c r="E708" s="6" t="s">
        <v>2287</v>
      </c>
      <c r="F708" s="1">
        <v>45413</v>
      </c>
      <c r="G708">
        <v>395</v>
      </c>
      <c r="H708" t="s">
        <v>2047</v>
      </c>
      <c r="I708">
        <v>1</v>
      </c>
      <c r="J708" t="s">
        <v>2286</v>
      </c>
      <c r="K708" s="1">
        <v>43831</v>
      </c>
      <c r="L708">
        <v>2020</v>
      </c>
      <c r="M708" t="s">
        <v>2045</v>
      </c>
    </row>
    <row r="709" spans="1:13" x14ac:dyDescent="0.3">
      <c r="A709">
        <v>707</v>
      </c>
      <c r="B709">
        <v>536</v>
      </c>
      <c r="C709" t="s">
        <v>2053</v>
      </c>
      <c r="D709" t="s">
        <v>2070</v>
      </c>
      <c r="E709" s="6" t="s">
        <v>2283</v>
      </c>
      <c r="F709" s="1">
        <v>43831</v>
      </c>
      <c r="G709">
        <v>614</v>
      </c>
      <c r="H709" t="s">
        <v>2047</v>
      </c>
      <c r="I709">
        <v>1</v>
      </c>
      <c r="J709" t="s">
        <v>2105</v>
      </c>
      <c r="K709" s="1">
        <v>43831</v>
      </c>
      <c r="L709">
        <v>2020</v>
      </c>
      <c r="M709" t="s">
        <v>2045</v>
      </c>
    </row>
    <row r="710" spans="1:13" x14ac:dyDescent="0.3">
      <c r="A710">
        <v>708</v>
      </c>
      <c r="B710">
        <v>536</v>
      </c>
      <c r="C710" t="s">
        <v>2053</v>
      </c>
      <c r="D710" t="s">
        <v>2052</v>
      </c>
      <c r="E710" s="6" t="s">
        <v>2280</v>
      </c>
      <c r="F710" s="1">
        <v>43862</v>
      </c>
      <c r="G710">
        <v>245</v>
      </c>
      <c r="H710" t="s">
        <v>2047</v>
      </c>
      <c r="I710">
        <v>1</v>
      </c>
      <c r="J710" t="s">
        <v>2279</v>
      </c>
      <c r="K710" s="1">
        <v>43831</v>
      </c>
      <c r="L710">
        <v>2020</v>
      </c>
      <c r="M710" t="s">
        <v>2045</v>
      </c>
    </row>
    <row r="711" spans="1:13" x14ac:dyDescent="0.3">
      <c r="A711">
        <v>709</v>
      </c>
      <c r="B711">
        <v>523</v>
      </c>
      <c r="C711" t="s">
        <v>2053</v>
      </c>
      <c r="D711" t="s">
        <v>2048</v>
      </c>
      <c r="E711" s="6" t="s">
        <v>2277</v>
      </c>
      <c r="F711" s="1">
        <v>43862</v>
      </c>
      <c r="G711">
        <v>232</v>
      </c>
      <c r="H711" t="s">
        <v>2047</v>
      </c>
      <c r="I711">
        <v>1</v>
      </c>
      <c r="J711" t="s">
        <v>2276</v>
      </c>
      <c r="K711" s="1">
        <v>43831</v>
      </c>
      <c r="L711">
        <v>2020</v>
      </c>
      <c r="M711" t="s">
        <v>2045</v>
      </c>
    </row>
    <row r="712" spans="1:13" x14ac:dyDescent="0.3">
      <c r="A712">
        <v>710</v>
      </c>
      <c r="B712">
        <v>928</v>
      </c>
      <c r="C712" t="s">
        <v>2053</v>
      </c>
      <c r="D712" t="s">
        <v>2048</v>
      </c>
      <c r="E712" s="6" t="s">
        <v>2274</v>
      </c>
      <c r="F712" s="1">
        <v>44166</v>
      </c>
      <c r="G712">
        <v>945</v>
      </c>
      <c r="H712" t="s">
        <v>2047</v>
      </c>
      <c r="I712">
        <v>1</v>
      </c>
      <c r="J712" t="s">
        <v>2273</v>
      </c>
      <c r="K712" s="1">
        <v>43831</v>
      </c>
      <c r="L712">
        <v>2020</v>
      </c>
      <c r="M712" t="s">
        <v>2045</v>
      </c>
    </row>
    <row r="713" spans="1:13" x14ac:dyDescent="0.3">
      <c r="A713">
        <v>711</v>
      </c>
      <c r="B713">
        <v>1962</v>
      </c>
      <c r="C713" t="s">
        <v>2053</v>
      </c>
      <c r="D713" t="s">
        <v>2052</v>
      </c>
      <c r="E713" s="6" t="s">
        <v>2264</v>
      </c>
      <c r="F713" s="1">
        <v>44470</v>
      </c>
      <c r="G713">
        <v>939</v>
      </c>
      <c r="H713" t="s">
        <v>2047</v>
      </c>
      <c r="I713">
        <v>2</v>
      </c>
      <c r="J713" t="s">
        <v>2263</v>
      </c>
      <c r="K713" s="1">
        <v>43831</v>
      </c>
      <c r="L713">
        <v>2020</v>
      </c>
      <c r="M713" t="s">
        <v>2045</v>
      </c>
    </row>
    <row r="714" spans="1:13" x14ac:dyDescent="0.3">
      <c r="A714">
        <v>712</v>
      </c>
      <c r="B714">
        <v>167</v>
      </c>
      <c r="C714" t="s">
        <v>2053</v>
      </c>
      <c r="D714" t="s">
        <v>2048</v>
      </c>
      <c r="E714" s="6" t="s">
        <v>2260</v>
      </c>
      <c r="F714" s="1">
        <v>43831</v>
      </c>
      <c r="G714">
        <v>75</v>
      </c>
      <c r="H714" t="s">
        <v>2047</v>
      </c>
      <c r="I714">
        <v>1</v>
      </c>
      <c r="J714" t="s">
        <v>1089</v>
      </c>
      <c r="K714" s="1">
        <v>43831</v>
      </c>
      <c r="L714">
        <v>2020</v>
      </c>
      <c r="M714" t="s">
        <v>2045</v>
      </c>
    </row>
    <row r="715" spans="1:13" x14ac:dyDescent="0.3">
      <c r="A715">
        <v>713</v>
      </c>
      <c r="B715">
        <v>1496</v>
      </c>
      <c r="C715" t="s">
        <v>2053</v>
      </c>
      <c r="D715" t="s">
        <v>2070</v>
      </c>
      <c r="E715" s="6" t="s">
        <v>2258</v>
      </c>
      <c r="F715" s="1">
        <v>45108</v>
      </c>
      <c r="G715">
        <v>594</v>
      </c>
      <c r="H715" t="s">
        <v>2047</v>
      </c>
      <c r="I715">
        <v>2</v>
      </c>
      <c r="J715" t="s">
        <v>2257</v>
      </c>
      <c r="K715" s="1">
        <v>43831</v>
      </c>
      <c r="L715">
        <v>2020</v>
      </c>
      <c r="M715" t="s">
        <v>2045</v>
      </c>
    </row>
    <row r="716" spans="1:13" x14ac:dyDescent="0.3">
      <c r="A716">
        <v>714</v>
      </c>
      <c r="B716">
        <v>1624</v>
      </c>
      <c r="C716" t="s">
        <v>2053</v>
      </c>
      <c r="D716" t="s">
        <v>2052</v>
      </c>
      <c r="E716" s="6" t="s">
        <v>2253</v>
      </c>
      <c r="F716" s="1">
        <v>45200</v>
      </c>
      <c r="G716">
        <v>639</v>
      </c>
      <c r="H716" t="s">
        <v>2055</v>
      </c>
      <c r="I716">
        <v>1</v>
      </c>
      <c r="J716" t="s">
        <v>2252</v>
      </c>
      <c r="K716" s="1">
        <v>43831</v>
      </c>
      <c r="L716">
        <v>2020</v>
      </c>
      <c r="M716" t="s">
        <v>2045</v>
      </c>
    </row>
    <row r="717" spans="1:13" x14ac:dyDescent="0.3">
      <c r="A717">
        <v>715</v>
      </c>
      <c r="B717">
        <v>499</v>
      </c>
      <c r="C717" t="s">
        <v>2053</v>
      </c>
      <c r="D717" t="s">
        <v>2052</v>
      </c>
      <c r="E717" s="6" t="s">
        <v>2236</v>
      </c>
      <c r="F717" s="1">
        <v>44927</v>
      </c>
      <c r="G717">
        <v>543</v>
      </c>
      <c r="H717" t="s">
        <v>2047</v>
      </c>
      <c r="I717">
        <v>2</v>
      </c>
      <c r="J717" t="s">
        <v>2235</v>
      </c>
      <c r="K717" s="1">
        <v>43831</v>
      </c>
      <c r="L717">
        <v>2020</v>
      </c>
      <c r="M717" t="s">
        <v>2045</v>
      </c>
    </row>
    <row r="718" spans="1:13" x14ac:dyDescent="0.3">
      <c r="A718">
        <v>716</v>
      </c>
      <c r="B718">
        <v>499</v>
      </c>
      <c r="C718" t="s">
        <v>2053</v>
      </c>
      <c r="D718" t="s">
        <v>2052</v>
      </c>
      <c r="E718" s="6" t="s">
        <v>2234</v>
      </c>
      <c r="F718" s="1">
        <v>43891</v>
      </c>
      <c r="G718">
        <v>539</v>
      </c>
      <c r="H718" t="s">
        <v>2047</v>
      </c>
      <c r="I718">
        <v>1</v>
      </c>
      <c r="J718" t="s">
        <v>1146</v>
      </c>
      <c r="K718" s="1">
        <v>43831</v>
      </c>
      <c r="L718">
        <v>2020</v>
      </c>
      <c r="M718" t="s">
        <v>2045</v>
      </c>
    </row>
    <row r="719" spans="1:13" x14ac:dyDescent="0.3">
      <c r="A719">
        <v>717</v>
      </c>
      <c r="B719">
        <v>631</v>
      </c>
      <c r="C719" t="s">
        <v>2053</v>
      </c>
      <c r="D719" t="s">
        <v>2048</v>
      </c>
      <c r="E719" s="6" t="s">
        <v>2233</v>
      </c>
      <c r="F719" s="1">
        <v>44682</v>
      </c>
      <c r="G719">
        <v>81</v>
      </c>
      <c r="H719" t="s">
        <v>2047</v>
      </c>
      <c r="I719">
        <v>1</v>
      </c>
      <c r="J719" t="s">
        <v>2104</v>
      </c>
      <c r="K719" s="1">
        <v>43831</v>
      </c>
      <c r="L719">
        <v>2020</v>
      </c>
      <c r="M719" t="s">
        <v>2045</v>
      </c>
    </row>
    <row r="720" spans="1:13" x14ac:dyDescent="0.3">
      <c r="A720">
        <v>718</v>
      </c>
      <c r="B720">
        <v>1070</v>
      </c>
      <c r="C720" t="s">
        <v>2053</v>
      </c>
      <c r="D720" t="s">
        <v>2052</v>
      </c>
      <c r="E720" s="6" t="s">
        <v>2232</v>
      </c>
      <c r="F720" s="1">
        <v>44593</v>
      </c>
      <c r="G720">
        <v>452</v>
      </c>
      <c r="H720" t="s">
        <v>2055</v>
      </c>
      <c r="I720">
        <v>2</v>
      </c>
      <c r="J720" t="s">
        <v>2231</v>
      </c>
      <c r="K720" s="1">
        <v>43831</v>
      </c>
      <c r="L720">
        <v>2020</v>
      </c>
      <c r="M720" t="s">
        <v>2045</v>
      </c>
    </row>
    <row r="721" spans="1:13" x14ac:dyDescent="0.3">
      <c r="A721">
        <v>719</v>
      </c>
      <c r="B721">
        <v>1375</v>
      </c>
      <c r="C721" t="s">
        <v>2053</v>
      </c>
      <c r="D721" t="s">
        <v>2052</v>
      </c>
      <c r="E721" s="6" t="s">
        <v>2224</v>
      </c>
      <c r="F721" s="1">
        <v>43983</v>
      </c>
      <c r="G721">
        <v>472</v>
      </c>
      <c r="H721" t="s">
        <v>2047</v>
      </c>
      <c r="I721">
        <v>1</v>
      </c>
      <c r="J721" t="s">
        <v>1262</v>
      </c>
      <c r="K721" s="1">
        <v>43831</v>
      </c>
      <c r="L721">
        <v>2020</v>
      </c>
      <c r="M721" t="s">
        <v>2045</v>
      </c>
    </row>
    <row r="722" spans="1:13" x14ac:dyDescent="0.3">
      <c r="A722">
        <v>720</v>
      </c>
      <c r="B722">
        <v>498</v>
      </c>
      <c r="C722" t="s">
        <v>2053</v>
      </c>
      <c r="D722" t="s">
        <v>2052</v>
      </c>
      <c r="E722" s="6" t="s">
        <v>2216</v>
      </c>
      <c r="F722" s="1">
        <v>45292</v>
      </c>
      <c r="G722">
        <v>55</v>
      </c>
      <c r="H722" t="s">
        <v>2047</v>
      </c>
      <c r="I722">
        <v>2</v>
      </c>
      <c r="J722" t="s">
        <v>2215</v>
      </c>
      <c r="K722" s="1">
        <v>43831</v>
      </c>
      <c r="L722">
        <v>2020</v>
      </c>
      <c r="M722" t="s">
        <v>2045</v>
      </c>
    </row>
    <row r="723" spans="1:13" x14ac:dyDescent="0.3">
      <c r="A723">
        <v>721</v>
      </c>
      <c r="B723">
        <v>897</v>
      </c>
      <c r="C723" t="s">
        <v>2053</v>
      </c>
      <c r="D723" t="s">
        <v>2048</v>
      </c>
      <c r="E723" s="6" t="s">
        <v>2210</v>
      </c>
      <c r="F723" s="1">
        <v>44621</v>
      </c>
      <c r="G723">
        <v>9</v>
      </c>
      <c r="H723" t="s">
        <v>2047</v>
      </c>
      <c r="I723">
        <v>2</v>
      </c>
      <c r="J723" t="s">
        <v>2209</v>
      </c>
      <c r="K723" s="1">
        <v>43831</v>
      </c>
      <c r="L723">
        <v>2020</v>
      </c>
      <c r="M723" t="s">
        <v>2045</v>
      </c>
    </row>
    <row r="724" spans="1:13" x14ac:dyDescent="0.3">
      <c r="A724">
        <v>722</v>
      </c>
      <c r="B724">
        <v>262</v>
      </c>
      <c r="C724" t="s">
        <v>2053</v>
      </c>
      <c r="D724" t="s">
        <v>2048</v>
      </c>
      <c r="E724" s="6" t="s">
        <v>2208</v>
      </c>
      <c r="F724" s="1">
        <v>45170</v>
      </c>
      <c r="G724">
        <v>200</v>
      </c>
      <c r="H724" t="s">
        <v>2047</v>
      </c>
      <c r="I724">
        <v>1</v>
      </c>
      <c r="J724" t="s">
        <v>2148</v>
      </c>
      <c r="K724" s="1">
        <v>43831</v>
      </c>
      <c r="L724">
        <v>2020</v>
      </c>
      <c r="M724" t="s">
        <v>2045</v>
      </c>
    </row>
    <row r="725" spans="1:13" x14ac:dyDescent="0.3">
      <c r="A725">
        <v>723</v>
      </c>
      <c r="B725">
        <v>1781</v>
      </c>
      <c r="C725" t="s">
        <v>2053</v>
      </c>
      <c r="D725" t="s">
        <v>2052</v>
      </c>
      <c r="E725" s="6" t="s">
        <v>2207</v>
      </c>
      <c r="F725" s="1">
        <v>43891</v>
      </c>
      <c r="G725">
        <v>412</v>
      </c>
      <c r="H725" t="s">
        <v>2047</v>
      </c>
      <c r="I725">
        <v>1</v>
      </c>
      <c r="J725" t="s">
        <v>2206</v>
      </c>
      <c r="K725" s="1">
        <v>43831</v>
      </c>
      <c r="L725">
        <v>2020</v>
      </c>
      <c r="M725" t="s">
        <v>2045</v>
      </c>
    </row>
    <row r="726" spans="1:13" x14ac:dyDescent="0.3">
      <c r="A726">
        <v>724</v>
      </c>
      <c r="B726">
        <v>1329</v>
      </c>
      <c r="C726" t="s">
        <v>2053</v>
      </c>
      <c r="D726" t="s">
        <v>2070</v>
      </c>
      <c r="E726" s="6" t="s">
        <v>2201</v>
      </c>
      <c r="F726" s="1">
        <v>43922</v>
      </c>
      <c r="G726">
        <v>851</v>
      </c>
      <c r="H726" t="s">
        <v>2047</v>
      </c>
      <c r="I726">
        <v>1</v>
      </c>
      <c r="J726" t="s">
        <v>1099</v>
      </c>
      <c r="K726" s="1">
        <v>43831</v>
      </c>
      <c r="L726">
        <v>2020</v>
      </c>
      <c r="M726" t="s">
        <v>2045</v>
      </c>
    </row>
    <row r="727" spans="1:13" x14ac:dyDescent="0.3">
      <c r="A727">
        <v>725</v>
      </c>
      <c r="B727">
        <v>1329</v>
      </c>
      <c r="C727" t="s">
        <v>2053</v>
      </c>
      <c r="D727" t="s">
        <v>2052</v>
      </c>
      <c r="E727" s="6" t="s">
        <v>2200</v>
      </c>
      <c r="F727" s="1">
        <v>45597</v>
      </c>
      <c r="G727">
        <v>203</v>
      </c>
      <c r="H727" t="s">
        <v>2055</v>
      </c>
      <c r="I727">
        <v>2</v>
      </c>
      <c r="J727" t="s">
        <v>2117</v>
      </c>
      <c r="K727" s="1">
        <v>43831</v>
      </c>
      <c r="L727">
        <v>2020</v>
      </c>
      <c r="M727" t="s">
        <v>2045</v>
      </c>
    </row>
    <row r="728" spans="1:13" x14ac:dyDescent="0.3">
      <c r="A728">
        <v>726</v>
      </c>
      <c r="B728">
        <v>1790</v>
      </c>
      <c r="C728" t="s">
        <v>2053</v>
      </c>
      <c r="D728" t="s">
        <v>2070</v>
      </c>
      <c r="E728" s="6" t="s">
        <v>2184</v>
      </c>
      <c r="F728" s="1">
        <v>44440</v>
      </c>
      <c r="G728">
        <v>689</v>
      </c>
      <c r="H728" t="s">
        <v>2047</v>
      </c>
      <c r="I728">
        <v>2</v>
      </c>
      <c r="J728" t="s">
        <v>2183</v>
      </c>
      <c r="K728" s="1">
        <v>43831</v>
      </c>
      <c r="L728">
        <v>2020</v>
      </c>
      <c r="M728" t="s">
        <v>2045</v>
      </c>
    </row>
    <row r="729" spans="1:13" x14ac:dyDescent="0.3">
      <c r="A729">
        <v>727</v>
      </c>
      <c r="B729">
        <v>1354</v>
      </c>
      <c r="C729" t="s">
        <v>2053</v>
      </c>
      <c r="D729" t="s">
        <v>2052</v>
      </c>
      <c r="E729" s="6" t="s">
        <v>2165</v>
      </c>
      <c r="F729" s="1">
        <v>43862</v>
      </c>
      <c r="G729">
        <v>372</v>
      </c>
      <c r="H729" t="s">
        <v>2047</v>
      </c>
      <c r="I729">
        <v>2</v>
      </c>
      <c r="J729" t="s">
        <v>2164</v>
      </c>
      <c r="K729" s="1">
        <v>43831</v>
      </c>
      <c r="L729">
        <v>2020</v>
      </c>
      <c r="M729" t="s">
        <v>2045</v>
      </c>
    </row>
    <row r="730" spans="1:13" x14ac:dyDescent="0.3">
      <c r="A730">
        <v>728</v>
      </c>
      <c r="B730">
        <v>902</v>
      </c>
      <c r="C730" t="s">
        <v>2053</v>
      </c>
      <c r="D730" t="s">
        <v>2052</v>
      </c>
      <c r="E730" s="6" t="s">
        <v>2159</v>
      </c>
      <c r="F730" s="1">
        <v>44986</v>
      </c>
      <c r="G730">
        <v>669</v>
      </c>
      <c r="H730" t="s">
        <v>2047</v>
      </c>
      <c r="I730">
        <v>1</v>
      </c>
      <c r="J730" t="s">
        <v>2158</v>
      </c>
      <c r="K730" s="1">
        <v>43831</v>
      </c>
      <c r="L730">
        <v>2020</v>
      </c>
      <c r="M730" t="s">
        <v>2045</v>
      </c>
    </row>
    <row r="731" spans="1:13" x14ac:dyDescent="0.3">
      <c r="A731">
        <v>729</v>
      </c>
      <c r="B731">
        <v>1318</v>
      </c>
      <c r="C731" t="s">
        <v>2053</v>
      </c>
      <c r="D731" t="s">
        <v>2052</v>
      </c>
      <c r="E731" s="6" t="s">
        <v>2156</v>
      </c>
      <c r="F731" s="1">
        <v>43831</v>
      </c>
      <c r="G731">
        <v>670</v>
      </c>
      <c r="H731" t="s">
        <v>2047</v>
      </c>
      <c r="I731">
        <v>1</v>
      </c>
      <c r="J731" t="s">
        <v>1573</v>
      </c>
      <c r="K731" s="1">
        <v>43831</v>
      </c>
      <c r="L731">
        <v>2020</v>
      </c>
      <c r="M731" t="s">
        <v>2045</v>
      </c>
    </row>
    <row r="732" spans="1:13" x14ac:dyDescent="0.3">
      <c r="A732">
        <v>730</v>
      </c>
      <c r="B732">
        <v>1318</v>
      </c>
      <c r="C732" t="s">
        <v>2053</v>
      </c>
      <c r="D732" t="s">
        <v>2052</v>
      </c>
      <c r="E732" s="6" t="s">
        <v>2155</v>
      </c>
      <c r="F732" s="1">
        <v>43891</v>
      </c>
      <c r="G732">
        <v>385</v>
      </c>
      <c r="H732" t="s">
        <v>2047</v>
      </c>
      <c r="I732">
        <v>1</v>
      </c>
      <c r="J732" t="s">
        <v>2154</v>
      </c>
      <c r="K732" s="1">
        <v>43831</v>
      </c>
      <c r="L732">
        <v>2020</v>
      </c>
      <c r="M732" t="s">
        <v>2045</v>
      </c>
    </row>
    <row r="733" spans="1:13" x14ac:dyDescent="0.3">
      <c r="A733">
        <v>731</v>
      </c>
      <c r="B733">
        <v>1545</v>
      </c>
      <c r="C733" t="s">
        <v>2053</v>
      </c>
      <c r="D733" t="s">
        <v>2052</v>
      </c>
      <c r="E733" s="6" t="s">
        <v>2152</v>
      </c>
      <c r="F733" s="1">
        <v>44835</v>
      </c>
      <c r="G733">
        <v>810</v>
      </c>
      <c r="H733" t="s">
        <v>2047</v>
      </c>
      <c r="I733">
        <v>2</v>
      </c>
      <c r="J733" t="s">
        <v>1612</v>
      </c>
      <c r="K733" s="1">
        <v>43831</v>
      </c>
      <c r="L733">
        <v>2020</v>
      </c>
      <c r="M733" t="s">
        <v>2045</v>
      </c>
    </row>
    <row r="734" spans="1:13" x14ac:dyDescent="0.3">
      <c r="A734">
        <v>732</v>
      </c>
      <c r="B734">
        <v>1001</v>
      </c>
      <c r="C734" t="s">
        <v>2053</v>
      </c>
      <c r="D734" t="s">
        <v>2052</v>
      </c>
      <c r="E734" s="6" t="s">
        <v>2151</v>
      </c>
      <c r="F734" s="1">
        <v>43831</v>
      </c>
      <c r="G734">
        <v>842</v>
      </c>
      <c r="H734" t="s">
        <v>2047</v>
      </c>
      <c r="I734">
        <v>2</v>
      </c>
      <c r="J734" t="s">
        <v>2150</v>
      </c>
      <c r="K734" s="1">
        <v>43831</v>
      </c>
      <c r="L734">
        <v>2020</v>
      </c>
      <c r="M734" t="s">
        <v>2045</v>
      </c>
    </row>
    <row r="735" spans="1:13" x14ac:dyDescent="0.3">
      <c r="A735">
        <v>733</v>
      </c>
      <c r="B735">
        <v>625</v>
      </c>
      <c r="C735" t="s">
        <v>2053</v>
      </c>
      <c r="D735" t="s">
        <v>2052</v>
      </c>
      <c r="E735" s="6" t="s">
        <v>2147</v>
      </c>
      <c r="F735" s="1">
        <v>45383</v>
      </c>
      <c r="G735">
        <v>156</v>
      </c>
      <c r="H735" t="s">
        <v>2047</v>
      </c>
      <c r="I735">
        <v>2</v>
      </c>
      <c r="J735" t="s">
        <v>2146</v>
      </c>
      <c r="K735" s="1">
        <v>43831</v>
      </c>
      <c r="L735">
        <v>2020</v>
      </c>
      <c r="M735" t="s">
        <v>2045</v>
      </c>
    </row>
    <row r="736" spans="1:13" x14ac:dyDescent="0.3">
      <c r="A736">
        <v>734</v>
      </c>
      <c r="B736">
        <v>1339</v>
      </c>
      <c r="C736" t="s">
        <v>2053</v>
      </c>
      <c r="D736" t="s">
        <v>2052</v>
      </c>
      <c r="E736" s="6" t="s">
        <v>2136</v>
      </c>
      <c r="F736" s="1">
        <v>45108</v>
      </c>
      <c r="G736">
        <v>970</v>
      </c>
      <c r="H736" t="s">
        <v>2055</v>
      </c>
      <c r="I736">
        <v>1</v>
      </c>
      <c r="J736" t="s">
        <v>2135</v>
      </c>
      <c r="K736" s="1">
        <v>43831</v>
      </c>
      <c r="L736">
        <v>2020</v>
      </c>
      <c r="M736" t="s">
        <v>2045</v>
      </c>
    </row>
    <row r="737" spans="1:13" x14ac:dyDescent="0.3">
      <c r="A737">
        <v>735</v>
      </c>
      <c r="B737">
        <v>1894</v>
      </c>
      <c r="C737" t="s">
        <v>2053</v>
      </c>
      <c r="D737" t="s">
        <v>2052</v>
      </c>
      <c r="E737" s="6" t="s">
        <v>2134</v>
      </c>
      <c r="F737" s="1">
        <v>45627</v>
      </c>
      <c r="G737">
        <v>371</v>
      </c>
      <c r="H737" t="s">
        <v>2047</v>
      </c>
      <c r="I737">
        <v>2</v>
      </c>
      <c r="J737" t="s">
        <v>2133</v>
      </c>
      <c r="K737" s="1">
        <v>43831</v>
      </c>
      <c r="L737">
        <v>2020</v>
      </c>
      <c r="M737" t="s">
        <v>2045</v>
      </c>
    </row>
    <row r="738" spans="1:13" x14ac:dyDescent="0.3">
      <c r="A738">
        <v>736</v>
      </c>
      <c r="B738">
        <v>1894</v>
      </c>
      <c r="C738" t="s">
        <v>2053</v>
      </c>
      <c r="D738" t="s">
        <v>2048</v>
      </c>
      <c r="E738" s="6" t="s">
        <v>2132</v>
      </c>
      <c r="F738" s="1">
        <v>43922</v>
      </c>
      <c r="G738">
        <v>377</v>
      </c>
      <c r="H738" t="s">
        <v>2047</v>
      </c>
      <c r="I738">
        <v>1</v>
      </c>
      <c r="J738" t="s">
        <v>2110</v>
      </c>
      <c r="K738" s="1">
        <v>43831</v>
      </c>
      <c r="L738">
        <v>2020</v>
      </c>
      <c r="M738" t="s">
        <v>2045</v>
      </c>
    </row>
    <row r="739" spans="1:13" x14ac:dyDescent="0.3">
      <c r="A739">
        <v>737</v>
      </c>
      <c r="B739">
        <v>971</v>
      </c>
      <c r="C739" t="s">
        <v>2053</v>
      </c>
      <c r="D739" t="s">
        <v>2052</v>
      </c>
      <c r="E739" s="6" t="s">
        <v>2121</v>
      </c>
      <c r="F739" s="1">
        <v>44593</v>
      </c>
      <c r="G739">
        <v>131</v>
      </c>
      <c r="H739" t="s">
        <v>2047</v>
      </c>
      <c r="I739">
        <v>2</v>
      </c>
      <c r="J739" t="s">
        <v>2120</v>
      </c>
      <c r="K739" s="1">
        <v>43831</v>
      </c>
      <c r="L739">
        <v>2020</v>
      </c>
      <c r="M739" t="s">
        <v>2045</v>
      </c>
    </row>
    <row r="740" spans="1:13" x14ac:dyDescent="0.3">
      <c r="A740">
        <v>738</v>
      </c>
      <c r="B740">
        <v>312</v>
      </c>
      <c r="C740" t="s">
        <v>2053</v>
      </c>
      <c r="D740" t="s">
        <v>2052</v>
      </c>
      <c r="E740" s="6" t="s">
        <v>2116</v>
      </c>
      <c r="F740" s="1">
        <v>45078</v>
      </c>
      <c r="G740">
        <v>654</v>
      </c>
      <c r="H740" t="s">
        <v>2047</v>
      </c>
      <c r="I740">
        <v>1</v>
      </c>
      <c r="J740" t="s">
        <v>2115</v>
      </c>
      <c r="K740" s="1">
        <v>43831</v>
      </c>
      <c r="L740">
        <v>2020</v>
      </c>
      <c r="M740" t="s">
        <v>2045</v>
      </c>
    </row>
    <row r="741" spans="1:13" x14ac:dyDescent="0.3">
      <c r="A741">
        <v>739</v>
      </c>
      <c r="B741">
        <v>420</v>
      </c>
      <c r="C741" t="s">
        <v>2053</v>
      </c>
      <c r="D741" t="s">
        <v>2070</v>
      </c>
      <c r="E741" s="6" t="s">
        <v>2109</v>
      </c>
      <c r="F741" s="1">
        <v>45108</v>
      </c>
      <c r="G741">
        <v>917</v>
      </c>
      <c r="H741" t="s">
        <v>2047</v>
      </c>
      <c r="I741">
        <v>2</v>
      </c>
      <c r="J741" t="s">
        <v>2108</v>
      </c>
      <c r="K741" s="1">
        <v>43831</v>
      </c>
      <c r="L741">
        <v>2020</v>
      </c>
      <c r="M741" t="s">
        <v>2045</v>
      </c>
    </row>
    <row r="742" spans="1:13" x14ac:dyDescent="0.3">
      <c r="A742">
        <v>740</v>
      </c>
      <c r="B742">
        <v>1278</v>
      </c>
      <c r="C742" t="s">
        <v>2053</v>
      </c>
      <c r="D742" t="s">
        <v>2070</v>
      </c>
      <c r="E742" s="6" t="s">
        <v>2091</v>
      </c>
      <c r="F742" s="1">
        <v>44896</v>
      </c>
      <c r="G742">
        <v>302</v>
      </c>
      <c r="H742" t="s">
        <v>2047</v>
      </c>
      <c r="I742">
        <v>1</v>
      </c>
      <c r="J742" t="s">
        <v>2090</v>
      </c>
      <c r="K742" s="1">
        <v>43831</v>
      </c>
      <c r="L742">
        <v>2020</v>
      </c>
      <c r="M742" t="s">
        <v>2045</v>
      </c>
    </row>
    <row r="743" spans="1:13" x14ac:dyDescent="0.3">
      <c r="A743">
        <v>741</v>
      </c>
      <c r="B743">
        <v>1278</v>
      </c>
      <c r="C743" t="s">
        <v>2053</v>
      </c>
      <c r="D743" t="s">
        <v>2052</v>
      </c>
      <c r="E743" s="6" t="s">
        <v>2089</v>
      </c>
      <c r="F743" s="1">
        <v>44378</v>
      </c>
      <c r="G743">
        <v>955</v>
      </c>
      <c r="H743" t="s">
        <v>2047</v>
      </c>
      <c r="I743">
        <v>2</v>
      </c>
      <c r="J743" t="s">
        <v>2088</v>
      </c>
      <c r="K743" s="1">
        <v>43831</v>
      </c>
      <c r="L743">
        <v>2020</v>
      </c>
      <c r="M743" t="s">
        <v>2045</v>
      </c>
    </row>
    <row r="744" spans="1:13" x14ac:dyDescent="0.3">
      <c r="A744">
        <v>742</v>
      </c>
      <c r="B744">
        <v>1380</v>
      </c>
      <c r="C744" t="s">
        <v>2053</v>
      </c>
      <c r="D744" t="s">
        <v>2052</v>
      </c>
      <c r="E744" s="6" t="s">
        <v>2085</v>
      </c>
      <c r="F744" s="1">
        <v>45170</v>
      </c>
      <c r="G744">
        <v>765</v>
      </c>
      <c r="H744" t="s">
        <v>2047</v>
      </c>
      <c r="I744">
        <v>1</v>
      </c>
      <c r="J744" t="s">
        <v>2084</v>
      </c>
      <c r="K744" s="1">
        <v>43831</v>
      </c>
      <c r="L744">
        <v>2020</v>
      </c>
      <c r="M744" t="s">
        <v>2045</v>
      </c>
    </row>
    <row r="745" spans="1:13" x14ac:dyDescent="0.3">
      <c r="A745">
        <v>743</v>
      </c>
      <c r="B745">
        <v>1110</v>
      </c>
      <c r="C745" t="s">
        <v>2053</v>
      </c>
      <c r="D745" t="s">
        <v>2052</v>
      </c>
      <c r="E745" s="6" t="s">
        <v>2051</v>
      </c>
      <c r="F745" s="1">
        <v>43831</v>
      </c>
      <c r="G745">
        <v>630</v>
      </c>
      <c r="H745" t="s">
        <v>2047</v>
      </c>
      <c r="I745">
        <v>1</v>
      </c>
      <c r="J745" t="s">
        <v>2050</v>
      </c>
      <c r="K745" s="1">
        <v>43831</v>
      </c>
      <c r="L745">
        <v>2020</v>
      </c>
      <c r="M745" t="s">
        <v>2045</v>
      </c>
    </row>
    <row r="746" spans="1:13" x14ac:dyDescent="0.3">
      <c r="A746">
        <v>744</v>
      </c>
      <c r="B746">
        <v>1711</v>
      </c>
      <c r="C746" t="s">
        <v>2049</v>
      </c>
      <c r="D746" t="s">
        <v>2052</v>
      </c>
      <c r="E746" s="6" t="s">
        <v>3703</v>
      </c>
      <c r="F746" s="1">
        <v>45047</v>
      </c>
      <c r="G746">
        <v>689</v>
      </c>
      <c r="H746" t="s">
        <v>2055</v>
      </c>
      <c r="I746">
        <v>2</v>
      </c>
      <c r="J746" t="s">
        <v>732</v>
      </c>
      <c r="K746" s="1">
        <v>43831</v>
      </c>
      <c r="L746">
        <v>2020</v>
      </c>
      <c r="M746" t="s">
        <v>2045</v>
      </c>
    </row>
    <row r="747" spans="1:13" x14ac:dyDescent="0.3">
      <c r="A747">
        <v>745</v>
      </c>
      <c r="B747">
        <v>640</v>
      </c>
      <c r="C747" t="s">
        <v>2049</v>
      </c>
      <c r="D747" t="s">
        <v>2052</v>
      </c>
      <c r="E747" s="6" t="s">
        <v>3700</v>
      </c>
      <c r="F747" s="1">
        <v>45047</v>
      </c>
      <c r="G747">
        <v>995</v>
      </c>
      <c r="H747" t="s">
        <v>2047</v>
      </c>
      <c r="I747">
        <v>1</v>
      </c>
      <c r="J747" t="s">
        <v>3699</v>
      </c>
      <c r="K747" s="1">
        <v>43831</v>
      </c>
      <c r="L747">
        <v>2020</v>
      </c>
      <c r="M747" t="s">
        <v>2045</v>
      </c>
    </row>
    <row r="748" spans="1:13" x14ac:dyDescent="0.3">
      <c r="A748">
        <v>746</v>
      </c>
      <c r="B748">
        <v>429</v>
      </c>
      <c r="C748" t="s">
        <v>2049</v>
      </c>
      <c r="D748" t="s">
        <v>2052</v>
      </c>
      <c r="E748" s="6" t="s">
        <v>3691</v>
      </c>
      <c r="F748" s="1">
        <v>44774</v>
      </c>
      <c r="G748">
        <v>738</v>
      </c>
      <c r="H748" t="s">
        <v>2047</v>
      </c>
      <c r="I748">
        <v>1</v>
      </c>
      <c r="J748" t="s">
        <v>3690</v>
      </c>
      <c r="K748" s="1">
        <v>43831</v>
      </c>
      <c r="L748">
        <v>2020</v>
      </c>
      <c r="M748" t="s">
        <v>2045</v>
      </c>
    </row>
    <row r="749" spans="1:13" x14ac:dyDescent="0.3">
      <c r="A749">
        <v>747</v>
      </c>
      <c r="B749">
        <v>309</v>
      </c>
      <c r="C749" t="s">
        <v>2049</v>
      </c>
      <c r="D749" t="s">
        <v>2048</v>
      </c>
      <c r="E749" s="6" t="s">
        <v>3685</v>
      </c>
      <c r="F749" s="1">
        <v>43831</v>
      </c>
      <c r="G749">
        <v>771</v>
      </c>
      <c r="H749" t="s">
        <v>2047</v>
      </c>
      <c r="I749">
        <v>1</v>
      </c>
      <c r="J749" t="s">
        <v>2191</v>
      </c>
      <c r="K749" s="1">
        <v>43831</v>
      </c>
      <c r="L749">
        <v>2020</v>
      </c>
      <c r="M749" t="s">
        <v>2045</v>
      </c>
    </row>
    <row r="750" spans="1:13" x14ac:dyDescent="0.3">
      <c r="A750">
        <v>748</v>
      </c>
      <c r="B750">
        <v>777</v>
      </c>
      <c r="C750" t="s">
        <v>2049</v>
      </c>
      <c r="D750" t="s">
        <v>2052</v>
      </c>
      <c r="E750" s="6" t="s">
        <v>3684</v>
      </c>
      <c r="F750" s="1">
        <v>45139</v>
      </c>
      <c r="G750">
        <v>580</v>
      </c>
      <c r="H750" t="s">
        <v>2047</v>
      </c>
      <c r="I750">
        <v>1</v>
      </c>
      <c r="J750" t="s">
        <v>3683</v>
      </c>
      <c r="K750" s="1">
        <v>43831</v>
      </c>
      <c r="L750">
        <v>2020</v>
      </c>
      <c r="M750" t="s">
        <v>2045</v>
      </c>
    </row>
    <row r="751" spans="1:13" x14ac:dyDescent="0.3">
      <c r="A751">
        <v>749</v>
      </c>
      <c r="B751">
        <v>54</v>
      </c>
      <c r="C751" t="s">
        <v>2049</v>
      </c>
      <c r="D751" t="s">
        <v>2052</v>
      </c>
      <c r="E751" s="6" t="s">
        <v>3662</v>
      </c>
      <c r="F751" s="1">
        <v>45047</v>
      </c>
      <c r="G751">
        <v>780</v>
      </c>
      <c r="H751" t="s">
        <v>2047</v>
      </c>
      <c r="I751">
        <v>1</v>
      </c>
      <c r="J751" t="s">
        <v>2928</v>
      </c>
      <c r="K751" s="1">
        <v>43831</v>
      </c>
      <c r="L751">
        <v>2020</v>
      </c>
      <c r="M751" t="s">
        <v>2045</v>
      </c>
    </row>
    <row r="752" spans="1:13" x14ac:dyDescent="0.3">
      <c r="A752">
        <v>750</v>
      </c>
      <c r="B752">
        <v>533</v>
      </c>
      <c r="C752" t="s">
        <v>2049</v>
      </c>
      <c r="D752" t="s">
        <v>2052</v>
      </c>
      <c r="E752" s="6" t="s">
        <v>3654</v>
      </c>
      <c r="F752" s="1">
        <v>44075</v>
      </c>
      <c r="G752">
        <v>847</v>
      </c>
      <c r="H752" t="s">
        <v>2047</v>
      </c>
      <c r="I752">
        <v>2</v>
      </c>
      <c r="J752" t="s">
        <v>3653</v>
      </c>
      <c r="K752" s="1">
        <v>43831</v>
      </c>
      <c r="L752">
        <v>2020</v>
      </c>
      <c r="M752" t="s">
        <v>2045</v>
      </c>
    </row>
    <row r="753" spans="1:13" x14ac:dyDescent="0.3">
      <c r="A753">
        <v>751</v>
      </c>
      <c r="B753">
        <v>1738</v>
      </c>
      <c r="C753" t="s">
        <v>2049</v>
      </c>
      <c r="D753" t="s">
        <v>2052</v>
      </c>
      <c r="E753" s="6" t="s">
        <v>3651</v>
      </c>
      <c r="F753" s="1">
        <v>44317</v>
      </c>
      <c r="G753">
        <v>579</v>
      </c>
      <c r="H753" t="s">
        <v>2047</v>
      </c>
      <c r="I753">
        <v>1</v>
      </c>
      <c r="J753" t="s">
        <v>3650</v>
      </c>
      <c r="K753" s="1">
        <v>43831</v>
      </c>
      <c r="L753">
        <v>2020</v>
      </c>
      <c r="M753" t="s">
        <v>2045</v>
      </c>
    </row>
    <row r="754" spans="1:13" x14ac:dyDescent="0.3">
      <c r="A754">
        <v>752</v>
      </c>
      <c r="B754">
        <v>985</v>
      </c>
      <c r="C754" t="s">
        <v>2049</v>
      </c>
      <c r="D754" t="s">
        <v>2052</v>
      </c>
      <c r="E754" s="6" t="s">
        <v>3644</v>
      </c>
      <c r="F754" s="1">
        <v>45474</v>
      </c>
      <c r="G754">
        <v>223</v>
      </c>
      <c r="H754" t="s">
        <v>2047</v>
      </c>
      <c r="I754">
        <v>2</v>
      </c>
      <c r="J754" t="s">
        <v>3643</v>
      </c>
      <c r="K754" s="1">
        <v>43831</v>
      </c>
      <c r="L754">
        <v>2020</v>
      </c>
      <c r="M754" t="s">
        <v>2045</v>
      </c>
    </row>
    <row r="755" spans="1:13" x14ac:dyDescent="0.3">
      <c r="A755">
        <v>753</v>
      </c>
      <c r="B755">
        <v>307</v>
      </c>
      <c r="C755" t="s">
        <v>2049</v>
      </c>
      <c r="D755" t="s">
        <v>2048</v>
      </c>
      <c r="E755" s="6" t="s">
        <v>3642</v>
      </c>
      <c r="F755" s="1">
        <v>43983</v>
      </c>
      <c r="G755">
        <v>561</v>
      </c>
      <c r="H755" t="s">
        <v>2055</v>
      </c>
      <c r="I755">
        <v>1</v>
      </c>
      <c r="J755" t="s">
        <v>2145</v>
      </c>
      <c r="K755" s="1">
        <v>43831</v>
      </c>
      <c r="L755">
        <v>2020</v>
      </c>
      <c r="M755" t="s">
        <v>2045</v>
      </c>
    </row>
    <row r="756" spans="1:13" x14ac:dyDescent="0.3">
      <c r="A756">
        <v>754</v>
      </c>
      <c r="B756">
        <v>800</v>
      </c>
      <c r="C756" t="s">
        <v>2049</v>
      </c>
      <c r="D756" t="s">
        <v>2052</v>
      </c>
      <c r="E756" s="6" t="s">
        <v>3633</v>
      </c>
      <c r="F756" s="1">
        <v>44896</v>
      </c>
      <c r="G756">
        <v>451</v>
      </c>
      <c r="H756" t="s">
        <v>2055</v>
      </c>
      <c r="I756">
        <v>1</v>
      </c>
      <c r="J756" t="s">
        <v>3632</v>
      </c>
      <c r="K756" s="1">
        <v>43831</v>
      </c>
      <c r="L756">
        <v>2020</v>
      </c>
      <c r="M756" t="s">
        <v>2045</v>
      </c>
    </row>
    <row r="757" spans="1:13" x14ac:dyDescent="0.3">
      <c r="A757">
        <v>755</v>
      </c>
      <c r="B757">
        <v>1301</v>
      </c>
      <c r="C757" t="s">
        <v>2049</v>
      </c>
      <c r="D757" t="s">
        <v>2052</v>
      </c>
      <c r="E757" s="6" t="s">
        <v>3627</v>
      </c>
      <c r="F757" s="1">
        <v>44866</v>
      </c>
      <c r="G757">
        <v>446</v>
      </c>
      <c r="H757" t="s">
        <v>2047</v>
      </c>
      <c r="I757">
        <v>1</v>
      </c>
      <c r="J757" t="s">
        <v>3626</v>
      </c>
      <c r="K757" s="1">
        <v>43831</v>
      </c>
      <c r="L757">
        <v>2020</v>
      </c>
      <c r="M757" t="s">
        <v>2045</v>
      </c>
    </row>
    <row r="758" spans="1:13" x14ac:dyDescent="0.3">
      <c r="A758">
        <v>756</v>
      </c>
      <c r="B758">
        <v>1399</v>
      </c>
      <c r="C758" t="s">
        <v>2049</v>
      </c>
      <c r="D758" t="s">
        <v>2070</v>
      </c>
      <c r="E758" s="6" t="s">
        <v>3623</v>
      </c>
      <c r="F758" s="1">
        <v>44166</v>
      </c>
      <c r="G758">
        <v>662</v>
      </c>
      <c r="H758" t="s">
        <v>2047</v>
      </c>
      <c r="I758">
        <v>1</v>
      </c>
      <c r="J758" t="s">
        <v>2408</v>
      </c>
      <c r="K758" s="1">
        <v>43831</v>
      </c>
      <c r="L758">
        <v>2020</v>
      </c>
      <c r="M758" t="s">
        <v>2045</v>
      </c>
    </row>
    <row r="759" spans="1:13" x14ac:dyDescent="0.3">
      <c r="A759">
        <v>757</v>
      </c>
      <c r="B759">
        <v>1943</v>
      </c>
      <c r="C759" t="s">
        <v>2049</v>
      </c>
      <c r="D759" t="s">
        <v>2048</v>
      </c>
      <c r="E759" s="6" t="s">
        <v>3609</v>
      </c>
      <c r="F759" s="1">
        <v>44743</v>
      </c>
      <c r="G759">
        <v>534</v>
      </c>
      <c r="H759" t="s">
        <v>2047</v>
      </c>
      <c r="I759">
        <v>1</v>
      </c>
      <c r="J759" t="s">
        <v>3083</v>
      </c>
      <c r="K759" s="1">
        <v>43831</v>
      </c>
      <c r="L759">
        <v>2020</v>
      </c>
      <c r="M759" t="s">
        <v>2045</v>
      </c>
    </row>
    <row r="760" spans="1:13" x14ac:dyDescent="0.3">
      <c r="A760">
        <v>758</v>
      </c>
      <c r="B760">
        <v>1159</v>
      </c>
      <c r="C760" t="s">
        <v>2049</v>
      </c>
      <c r="D760" t="s">
        <v>2070</v>
      </c>
      <c r="E760" s="6" t="s">
        <v>3604</v>
      </c>
      <c r="F760" s="1">
        <v>43831</v>
      </c>
      <c r="G760">
        <v>916</v>
      </c>
      <c r="H760" t="s">
        <v>2055</v>
      </c>
      <c r="I760">
        <v>2</v>
      </c>
      <c r="J760" t="s">
        <v>2108</v>
      </c>
      <c r="K760" s="1">
        <v>43831</v>
      </c>
      <c r="L760">
        <v>2020</v>
      </c>
      <c r="M760" t="s">
        <v>2045</v>
      </c>
    </row>
    <row r="761" spans="1:13" x14ac:dyDescent="0.3">
      <c r="A761">
        <v>759</v>
      </c>
      <c r="B761">
        <v>607</v>
      </c>
      <c r="C761" t="s">
        <v>2049</v>
      </c>
      <c r="D761" t="s">
        <v>2052</v>
      </c>
      <c r="E761" s="6" t="s">
        <v>3589</v>
      </c>
      <c r="F761" s="1">
        <v>43862</v>
      </c>
      <c r="G761">
        <v>711</v>
      </c>
      <c r="H761" t="s">
        <v>2047</v>
      </c>
      <c r="I761">
        <v>1</v>
      </c>
      <c r="J761" t="s">
        <v>3588</v>
      </c>
      <c r="K761" s="1">
        <v>43831</v>
      </c>
      <c r="L761">
        <v>2020</v>
      </c>
      <c r="M761" t="s">
        <v>2045</v>
      </c>
    </row>
    <row r="762" spans="1:13" x14ac:dyDescent="0.3">
      <c r="A762">
        <v>760</v>
      </c>
      <c r="B762">
        <v>1948</v>
      </c>
      <c r="C762" t="s">
        <v>2049</v>
      </c>
      <c r="D762" t="s">
        <v>2048</v>
      </c>
      <c r="E762" s="6" t="s">
        <v>3576</v>
      </c>
      <c r="F762" s="1">
        <v>44166</v>
      </c>
      <c r="G762">
        <v>999</v>
      </c>
      <c r="H762" t="s">
        <v>2047</v>
      </c>
      <c r="I762">
        <v>1</v>
      </c>
      <c r="J762" t="s">
        <v>2278</v>
      </c>
      <c r="K762" s="1">
        <v>43831</v>
      </c>
      <c r="L762">
        <v>2020</v>
      </c>
      <c r="M762" t="s">
        <v>2045</v>
      </c>
    </row>
    <row r="763" spans="1:13" x14ac:dyDescent="0.3">
      <c r="A763">
        <v>761</v>
      </c>
      <c r="B763">
        <v>1948</v>
      </c>
      <c r="C763" t="s">
        <v>2049</v>
      </c>
      <c r="D763" t="s">
        <v>2052</v>
      </c>
      <c r="E763" s="6" t="s">
        <v>3575</v>
      </c>
      <c r="F763" s="1">
        <v>44440</v>
      </c>
      <c r="G763">
        <v>778</v>
      </c>
      <c r="H763" t="s">
        <v>2047</v>
      </c>
      <c r="I763">
        <v>2</v>
      </c>
      <c r="J763" t="s">
        <v>3574</v>
      </c>
      <c r="K763" s="1">
        <v>43831</v>
      </c>
      <c r="L763">
        <v>2020</v>
      </c>
      <c r="M763" t="s">
        <v>2045</v>
      </c>
    </row>
    <row r="764" spans="1:13" x14ac:dyDescent="0.3">
      <c r="A764">
        <v>762</v>
      </c>
      <c r="B764">
        <v>1199</v>
      </c>
      <c r="C764" t="s">
        <v>2049</v>
      </c>
      <c r="D764" t="s">
        <v>2052</v>
      </c>
      <c r="E764" s="6" t="s">
        <v>3573</v>
      </c>
      <c r="F764" s="1">
        <v>45444</v>
      </c>
      <c r="G764">
        <v>388</v>
      </c>
      <c r="H764" t="s">
        <v>2047</v>
      </c>
      <c r="I764">
        <v>1</v>
      </c>
      <c r="J764" t="s">
        <v>3572</v>
      </c>
      <c r="K764" s="1">
        <v>43831</v>
      </c>
      <c r="L764">
        <v>2020</v>
      </c>
      <c r="M764" t="s">
        <v>2045</v>
      </c>
    </row>
    <row r="765" spans="1:13" x14ac:dyDescent="0.3">
      <c r="A765">
        <v>763</v>
      </c>
      <c r="B765">
        <v>1397</v>
      </c>
      <c r="C765" t="s">
        <v>2049</v>
      </c>
      <c r="D765" t="s">
        <v>2070</v>
      </c>
      <c r="E765" s="6" t="s">
        <v>3568</v>
      </c>
      <c r="F765" s="1">
        <v>45597</v>
      </c>
      <c r="G765">
        <v>204</v>
      </c>
      <c r="H765" t="s">
        <v>2047</v>
      </c>
      <c r="I765">
        <v>1</v>
      </c>
      <c r="J765" t="s">
        <v>2289</v>
      </c>
      <c r="K765" s="1">
        <v>43831</v>
      </c>
      <c r="L765">
        <v>2020</v>
      </c>
      <c r="M765" t="s">
        <v>2045</v>
      </c>
    </row>
    <row r="766" spans="1:13" x14ac:dyDescent="0.3">
      <c r="A766">
        <v>764</v>
      </c>
      <c r="B766">
        <v>299</v>
      </c>
      <c r="C766" t="s">
        <v>2049</v>
      </c>
      <c r="D766" t="s">
        <v>2048</v>
      </c>
      <c r="E766" s="6" t="s">
        <v>3558</v>
      </c>
      <c r="F766" s="1">
        <v>44774</v>
      </c>
      <c r="G766">
        <v>294</v>
      </c>
      <c r="H766" t="s">
        <v>2047</v>
      </c>
      <c r="I766">
        <v>1</v>
      </c>
      <c r="J766" t="s">
        <v>2075</v>
      </c>
      <c r="K766" s="1">
        <v>43831</v>
      </c>
      <c r="L766">
        <v>2020</v>
      </c>
      <c r="M766" t="s">
        <v>2045</v>
      </c>
    </row>
    <row r="767" spans="1:13" x14ac:dyDescent="0.3">
      <c r="A767">
        <v>765</v>
      </c>
      <c r="B767">
        <v>66</v>
      </c>
      <c r="C767" t="s">
        <v>2049</v>
      </c>
      <c r="D767" t="s">
        <v>2052</v>
      </c>
      <c r="E767" s="6" t="s">
        <v>3548</v>
      </c>
      <c r="F767" s="1">
        <v>45566</v>
      </c>
      <c r="G767">
        <v>667</v>
      </c>
      <c r="H767" t="s">
        <v>2047</v>
      </c>
      <c r="I767">
        <v>1</v>
      </c>
      <c r="J767" t="s">
        <v>3547</v>
      </c>
      <c r="K767" s="1">
        <v>43831</v>
      </c>
      <c r="L767">
        <v>2020</v>
      </c>
      <c r="M767" t="s">
        <v>2045</v>
      </c>
    </row>
    <row r="768" spans="1:13" x14ac:dyDescent="0.3">
      <c r="A768">
        <v>766</v>
      </c>
      <c r="B768">
        <v>806</v>
      </c>
      <c r="C768" t="s">
        <v>2049</v>
      </c>
      <c r="D768" t="s">
        <v>2052</v>
      </c>
      <c r="E768" s="6" t="s">
        <v>3546</v>
      </c>
      <c r="F768" s="1">
        <v>44256</v>
      </c>
      <c r="G768">
        <v>287</v>
      </c>
      <c r="H768" t="s">
        <v>2055</v>
      </c>
      <c r="I768">
        <v>2</v>
      </c>
      <c r="J768" t="s">
        <v>3545</v>
      </c>
      <c r="K768" s="1">
        <v>43831</v>
      </c>
      <c r="L768">
        <v>2020</v>
      </c>
      <c r="M768" t="s">
        <v>2045</v>
      </c>
    </row>
    <row r="769" spans="1:13" x14ac:dyDescent="0.3">
      <c r="A769">
        <v>767</v>
      </c>
      <c r="B769">
        <v>1191</v>
      </c>
      <c r="C769" t="s">
        <v>2049</v>
      </c>
      <c r="D769" t="s">
        <v>2052</v>
      </c>
      <c r="E769" s="6" t="s">
        <v>3544</v>
      </c>
      <c r="F769" s="1">
        <v>45292</v>
      </c>
      <c r="G769">
        <v>388</v>
      </c>
      <c r="H769" t="s">
        <v>2047</v>
      </c>
      <c r="I769">
        <v>2</v>
      </c>
      <c r="J769" t="s">
        <v>2144</v>
      </c>
      <c r="K769" s="1">
        <v>43831</v>
      </c>
      <c r="L769">
        <v>2020</v>
      </c>
      <c r="M769" t="s">
        <v>2045</v>
      </c>
    </row>
    <row r="770" spans="1:13" x14ac:dyDescent="0.3">
      <c r="A770">
        <v>768</v>
      </c>
      <c r="B770">
        <v>824</v>
      </c>
      <c r="C770" t="s">
        <v>2049</v>
      </c>
      <c r="D770" t="s">
        <v>2048</v>
      </c>
      <c r="E770" s="6" t="s">
        <v>3542</v>
      </c>
      <c r="F770" s="1">
        <v>43862</v>
      </c>
      <c r="G770">
        <v>351</v>
      </c>
      <c r="H770" t="s">
        <v>2047</v>
      </c>
      <c r="I770">
        <v>1</v>
      </c>
      <c r="J770" t="s">
        <v>2068</v>
      </c>
      <c r="K770" s="1">
        <v>43831</v>
      </c>
      <c r="L770">
        <v>2020</v>
      </c>
      <c r="M770" t="s">
        <v>2045</v>
      </c>
    </row>
    <row r="771" spans="1:13" x14ac:dyDescent="0.3">
      <c r="A771">
        <v>769</v>
      </c>
      <c r="B771">
        <v>1469</v>
      </c>
      <c r="C771" t="s">
        <v>2049</v>
      </c>
      <c r="D771" t="s">
        <v>2070</v>
      </c>
      <c r="E771" s="6" t="s">
        <v>3536</v>
      </c>
      <c r="F771" s="1">
        <v>45597</v>
      </c>
      <c r="G771">
        <v>957</v>
      </c>
      <c r="H771" t="s">
        <v>2047</v>
      </c>
      <c r="I771">
        <v>1</v>
      </c>
      <c r="J771" t="s">
        <v>3535</v>
      </c>
      <c r="K771" s="1">
        <v>43831</v>
      </c>
      <c r="L771">
        <v>2020</v>
      </c>
      <c r="M771" t="s">
        <v>2045</v>
      </c>
    </row>
    <row r="772" spans="1:13" x14ac:dyDescent="0.3">
      <c r="A772">
        <v>770</v>
      </c>
      <c r="B772">
        <v>930</v>
      </c>
      <c r="C772" t="s">
        <v>2049</v>
      </c>
      <c r="D772" t="s">
        <v>2052</v>
      </c>
      <c r="E772" s="6" t="s">
        <v>3534</v>
      </c>
      <c r="F772" s="1">
        <v>45383</v>
      </c>
      <c r="G772">
        <v>90</v>
      </c>
      <c r="H772" t="s">
        <v>2047</v>
      </c>
      <c r="I772">
        <v>1</v>
      </c>
      <c r="J772" t="s">
        <v>2416</v>
      </c>
      <c r="K772" s="1">
        <v>43831</v>
      </c>
      <c r="L772">
        <v>2020</v>
      </c>
      <c r="M772" t="s">
        <v>2045</v>
      </c>
    </row>
    <row r="773" spans="1:13" x14ac:dyDescent="0.3">
      <c r="A773">
        <v>771</v>
      </c>
      <c r="B773">
        <v>1804</v>
      </c>
      <c r="C773" t="s">
        <v>2049</v>
      </c>
      <c r="D773" t="s">
        <v>2048</v>
      </c>
      <c r="E773" s="6" t="s">
        <v>3531</v>
      </c>
      <c r="F773" s="1">
        <v>44986</v>
      </c>
      <c r="G773">
        <v>701</v>
      </c>
      <c r="H773" t="s">
        <v>2047</v>
      </c>
      <c r="I773">
        <v>2</v>
      </c>
      <c r="J773" t="s">
        <v>3221</v>
      </c>
      <c r="K773" s="1">
        <v>43831</v>
      </c>
      <c r="L773">
        <v>2020</v>
      </c>
      <c r="M773" t="s">
        <v>2045</v>
      </c>
    </row>
    <row r="774" spans="1:13" x14ac:dyDescent="0.3">
      <c r="A774">
        <v>772</v>
      </c>
      <c r="B774">
        <v>147</v>
      </c>
      <c r="C774" t="s">
        <v>2049</v>
      </c>
      <c r="D774" t="s">
        <v>2048</v>
      </c>
      <c r="E774" s="6" t="s">
        <v>3527</v>
      </c>
      <c r="F774" s="1">
        <v>43831</v>
      </c>
      <c r="G774">
        <v>255</v>
      </c>
      <c r="H774" t="s">
        <v>2047</v>
      </c>
      <c r="I774">
        <v>1</v>
      </c>
      <c r="J774" t="s">
        <v>2415</v>
      </c>
      <c r="K774" s="1">
        <v>43831</v>
      </c>
      <c r="L774">
        <v>2020</v>
      </c>
      <c r="M774" t="s">
        <v>2045</v>
      </c>
    </row>
    <row r="775" spans="1:13" x14ac:dyDescent="0.3">
      <c r="A775">
        <v>773</v>
      </c>
      <c r="B775">
        <v>191</v>
      </c>
      <c r="C775" t="s">
        <v>2049</v>
      </c>
      <c r="D775" t="s">
        <v>2052</v>
      </c>
      <c r="E775" s="6" t="s">
        <v>3526</v>
      </c>
      <c r="F775" s="1">
        <v>43831</v>
      </c>
      <c r="G775">
        <v>922</v>
      </c>
      <c r="H775" t="s">
        <v>2047</v>
      </c>
      <c r="I775">
        <v>1</v>
      </c>
      <c r="J775" t="s">
        <v>3525</v>
      </c>
      <c r="K775" s="1">
        <v>43831</v>
      </c>
      <c r="L775">
        <v>2020</v>
      </c>
      <c r="M775" t="s">
        <v>2045</v>
      </c>
    </row>
    <row r="776" spans="1:13" x14ac:dyDescent="0.3">
      <c r="A776">
        <v>774</v>
      </c>
      <c r="B776">
        <v>1401</v>
      </c>
      <c r="C776" t="s">
        <v>2049</v>
      </c>
      <c r="D776" t="s">
        <v>2048</v>
      </c>
      <c r="E776" s="6" t="s">
        <v>3523</v>
      </c>
      <c r="F776" s="1">
        <v>44197</v>
      </c>
      <c r="G776">
        <v>844</v>
      </c>
      <c r="H776" t="s">
        <v>2055</v>
      </c>
      <c r="I776">
        <v>1</v>
      </c>
      <c r="J776" t="s">
        <v>2337</v>
      </c>
      <c r="K776" s="1">
        <v>43831</v>
      </c>
      <c r="L776">
        <v>2020</v>
      </c>
      <c r="M776" t="s">
        <v>2045</v>
      </c>
    </row>
    <row r="777" spans="1:13" x14ac:dyDescent="0.3">
      <c r="A777">
        <v>775</v>
      </c>
      <c r="B777">
        <v>613</v>
      </c>
      <c r="C777" t="s">
        <v>2049</v>
      </c>
      <c r="D777" t="s">
        <v>2052</v>
      </c>
      <c r="E777" s="6" t="s">
        <v>3522</v>
      </c>
      <c r="F777" s="1">
        <v>44743</v>
      </c>
      <c r="G777">
        <v>790</v>
      </c>
      <c r="H777" t="s">
        <v>2047</v>
      </c>
      <c r="I777">
        <v>2</v>
      </c>
      <c r="J777" t="s">
        <v>3521</v>
      </c>
      <c r="K777" s="1">
        <v>43831</v>
      </c>
      <c r="L777">
        <v>2020</v>
      </c>
      <c r="M777" t="s">
        <v>2045</v>
      </c>
    </row>
    <row r="778" spans="1:13" x14ac:dyDescent="0.3">
      <c r="A778">
        <v>776</v>
      </c>
      <c r="B778">
        <v>1599</v>
      </c>
      <c r="C778" t="s">
        <v>2049</v>
      </c>
      <c r="D778" t="s">
        <v>2052</v>
      </c>
      <c r="E778" s="6" t="s">
        <v>3514</v>
      </c>
      <c r="F778" s="1">
        <v>44440</v>
      </c>
      <c r="G778">
        <v>229</v>
      </c>
      <c r="H778" t="s">
        <v>2047</v>
      </c>
      <c r="I778">
        <v>1</v>
      </c>
      <c r="J778" t="s">
        <v>3513</v>
      </c>
      <c r="K778" s="1">
        <v>43831</v>
      </c>
      <c r="L778">
        <v>2020</v>
      </c>
      <c r="M778" t="s">
        <v>2045</v>
      </c>
    </row>
    <row r="779" spans="1:13" x14ac:dyDescent="0.3">
      <c r="A779">
        <v>777</v>
      </c>
      <c r="B779">
        <v>1599</v>
      </c>
      <c r="C779" t="s">
        <v>2049</v>
      </c>
      <c r="D779" t="s">
        <v>2052</v>
      </c>
      <c r="E779" s="6" t="s">
        <v>3512</v>
      </c>
      <c r="F779" s="1">
        <v>44682</v>
      </c>
      <c r="G779">
        <v>502</v>
      </c>
      <c r="H779" t="s">
        <v>2047</v>
      </c>
      <c r="I779">
        <v>1</v>
      </c>
      <c r="J779" t="s">
        <v>3511</v>
      </c>
      <c r="K779" s="1">
        <v>43831</v>
      </c>
      <c r="L779">
        <v>2020</v>
      </c>
      <c r="M779" t="s">
        <v>2045</v>
      </c>
    </row>
    <row r="780" spans="1:13" x14ac:dyDescent="0.3">
      <c r="A780">
        <v>778</v>
      </c>
      <c r="B780">
        <v>1645</v>
      </c>
      <c r="C780" t="s">
        <v>2049</v>
      </c>
      <c r="D780" t="s">
        <v>2052</v>
      </c>
      <c r="E780" s="6" t="s">
        <v>3488</v>
      </c>
      <c r="F780" s="1">
        <v>43952</v>
      </c>
      <c r="G780">
        <v>369</v>
      </c>
      <c r="H780" t="s">
        <v>2055</v>
      </c>
      <c r="I780">
        <v>2</v>
      </c>
      <c r="J780" t="s">
        <v>2597</v>
      </c>
      <c r="K780" s="1">
        <v>43831</v>
      </c>
      <c r="L780">
        <v>2020</v>
      </c>
      <c r="M780" t="s">
        <v>2045</v>
      </c>
    </row>
    <row r="781" spans="1:13" x14ac:dyDescent="0.3">
      <c r="A781">
        <v>779</v>
      </c>
      <c r="B781">
        <v>283</v>
      </c>
      <c r="C781" t="s">
        <v>2049</v>
      </c>
      <c r="D781" t="s">
        <v>2048</v>
      </c>
      <c r="E781" s="6" t="s">
        <v>3477</v>
      </c>
      <c r="F781" s="1">
        <v>44562</v>
      </c>
      <c r="G781">
        <v>328</v>
      </c>
      <c r="H781" t="s">
        <v>2047</v>
      </c>
      <c r="I781">
        <v>2</v>
      </c>
      <c r="J781" t="s">
        <v>433</v>
      </c>
      <c r="K781" s="1">
        <v>43831</v>
      </c>
      <c r="L781">
        <v>2020</v>
      </c>
      <c r="M781" t="s">
        <v>2045</v>
      </c>
    </row>
    <row r="782" spans="1:13" x14ac:dyDescent="0.3">
      <c r="A782">
        <v>780</v>
      </c>
      <c r="B782">
        <v>108</v>
      </c>
      <c r="C782" t="s">
        <v>2049</v>
      </c>
      <c r="D782" t="s">
        <v>2052</v>
      </c>
      <c r="E782" s="6" t="s">
        <v>3465</v>
      </c>
      <c r="F782" s="1">
        <v>43831</v>
      </c>
      <c r="G782">
        <v>126</v>
      </c>
      <c r="H782" t="s">
        <v>2055</v>
      </c>
      <c r="I782">
        <v>1</v>
      </c>
      <c r="J782" t="s">
        <v>3464</v>
      </c>
      <c r="K782" s="1">
        <v>43831</v>
      </c>
      <c r="L782">
        <v>2020</v>
      </c>
      <c r="M782" t="s">
        <v>2045</v>
      </c>
    </row>
    <row r="783" spans="1:13" x14ac:dyDescent="0.3">
      <c r="A783">
        <v>781</v>
      </c>
      <c r="B783">
        <v>238</v>
      </c>
      <c r="C783" t="s">
        <v>2049</v>
      </c>
      <c r="D783" t="s">
        <v>2048</v>
      </c>
      <c r="E783" s="6" t="s">
        <v>3463</v>
      </c>
      <c r="F783" s="1">
        <v>44682</v>
      </c>
      <c r="G783">
        <v>245</v>
      </c>
      <c r="H783" t="s">
        <v>2047</v>
      </c>
      <c r="I783">
        <v>2</v>
      </c>
      <c r="J783" t="s">
        <v>2096</v>
      </c>
      <c r="K783" s="1">
        <v>43831</v>
      </c>
      <c r="L783">
        <v>2020</v>
      </c>
      <c r="M783" t="s">
        <v>2045</v>
      </c>
    </row>
    <row r="784" spans="1:13" x14ac:dyDescent="0.3">
      <c r="A784">
        <v>782</v>
      </c>
      <c r="B784">
        <v>1658</v>
      </c>
      <c r="C784" t="s">
        <v>2049</v>
      </c>
      <c r="D784" t="s">
        <v>2048</v>
      </c>
      <c r="E784" s="6" t="s">
        <v>3459</v>
      </c>
      <c r="F784" s="1">
        <v>43862</v>
      </c>
      <c r="G784">
        <v>164</v>
      </c>
      <c r="H784" t="s">
        <v>2047</v>
      </c>
      <c r="I784">
        <v>1</v>
      </c>
      <c r="J784" t="s">
        <v>22</v>
      </c>
      <c r="K784" s="1">
        <v>43831</v>
      </c>
      <c r="L784">
        <v>2020</v>
      </c>
      <c r="M784" t="s">
        <v>2045</v>
      </c>
    </row>
    <row r="785" spans="1:13" x14ac:dyDescent="0.3">
      <c r="A785">
        <v>783</v>
      </c>
      <c r="B785">
        <v>276</v>
      </c>
      <c r="C785" t="s">
        <v>2049</v>
      </c>
      <c r="D785" t="s">
        <v>2052</v>
      </c>
      <c r="E785" s="6" t="s">
        <v>3440</v>
      </c>
      <c r="F785" s="1">
        <v>45231</v>
      </c>
      <c r="G785">
        <v>875</v>
      </c>
      <c r="H785" t="s">
        <v>2047</v>
      </c>
      <c r="I785">
        <v>1</v>
      </c>
      <c r="J785" t="s">
        <v>3439</v>
      </c>
      <c r="K785" s="1">
        <v>43831</v>
      </c>
      <c r="L785">
        <v>2020</v>
      </c>
      <c r="M785" t="s">
        <v>2045</v>
      </c>
    </row>
    <row r="786" spans="1:13" x14ac:dyDescent="0.3">
      <c r="A786">
        <v>784</v>
      </c>
      <c r="B786">
        <v>1035</v>
      </c>
      <c r="C786" t="s">
        <v>2049</v>
      </c>
      <c r="D786" t="s">
        <v>2052</v>
      </c>
      <c r="E786" s="6" t="s">
        <v>3437</v>
      </c>
      <c r="F786" s="1">
        <v>44713</v>
      </c>
      <c r="G786">
        <v>929</v>
      </c>
      <c r="H786" t="s">
        <v>2055</v>
      </c>
      <c r="I786">
        <v>2</v>
      </c>
      <c r="J786" t="s">
        <v>2528</v>
      </c>
      <c r="K786" s="1">
        <v>43831</v>
      </c>
      <c r="L786">
        <v>2020</v>
      </c>
      <c r="M786" t="s">
        <v>2045</v>
      </c>
    </row>
    <row r="787" spans="1:13" x14ac:dyDescent="0.3">
      <c r="A787">
        <v>785</v>
      </c>
      <c r="B787">
        <v>936</v>
      </c>
      <c r="C787" t="s">
        <v>2049</v>
      </c>
      <c r="D787" t="s">
        <v>2070</v>
      </c>
      <c r="E787" s="6" t="s">
        <v>3432</v>
      </c>
      <c r="F787" s="1">
        <v>45474</v>
      </c>
      <c r="G787">
        <v>135</v>
      </c>
      <c r="H787" t="s">
        <v>2047</v>
      </c>
      <c r="I787">
        <v>1</v>
      </c>
      <c r="J787" t="s">
        <v>2718</v>
      </c>
      <c r="K787" s="1">
        <v>43831</v>
      </c>
      <c r="L787">
        <v>2020</v>
      </c>
      <c r="M787" t="s">
        <v>2045</v>
      </c>
    </row>
    <row r="788" spans="1:13" x14ac:dyDescent="0.3">
      <c r="A788">
        <v>786</v>
      </c>
      <c r="B788">
        <v>874</v>
      </c>
      <c r="C788" t="s">
        <v>2049</v>
      </c>
      <c r="D788" t="s">
        <v>2048</v>
      </c>
      <c r="E788" s="6" t="s">
        <v>3419</v>
      </c>
      <c r="F788" s="1">
        <v>45444</v>
      </c>
      <c r="G788">
        <v>153</v>
      </c>
      <c r="H788" t="s">
        <v>2055</v>
      </c>
      <c r="I788">
        <v>2</v>
      </c>
      <c r="J788" t="s">
        <v>3105</v>
      </c>
      <c r="K788" s="1">
        <v>43831</v>
      </c>
      <c r="L788">
        <v>2020</v>
      </c>
      <c r="M788" t="s">
        <v>2045</v>
      </c>
    </row>
    <row r="789" spans="1:13" x14ac:dyDescent="0.3">
      <c r="A789">
        <v>787</v>
      </c>
      <c r="B789">
        <v>339</v>
      </c>
      <c r="C789" t="s">
        <v>2049</v>
      </c>
      <c r="D789" t="s">
        <v>2048</v>
      </c>
      <c r="E789" s="6" t="s">
        <v>3412</v>
      </c>
      <c r="F789" s="1">
        <v>45292</v>
      </c>
      <c r="G789">
        <v>427</v>
      </c>
      <c r="H789" t="s">
        <v>2047</v>
      </c>
      <c r="I789">
        <v>1</v>
      </c>
      <c r="J789" t="s">
        <v>2077</v>
      </c>
      <c r="K789" s="1">
        <v>43831</v>
      </c>
      <c r="L789">
        <v>2020</v>
      </c>
      <c r="M789" t="s">
        <v>2045</v>
      </c>
    </row>
    <row r="790" spans="1:13" x14ac:dyDescent="0.3">
      <c r="A790">
        <v>788</v>
      </c>
      <c r="B790">
        <v>1353</v>
      </c>
      <c r="C790" t="s">
        <v>2049</v>
      </c>
      <c r="D790" t="s">
        <v>2052</v>
      </c>
      <c r="E790" s="6" t="s">
        <v>3411</v>
      </c>
      <c r="F790" s="1">
        <v>43831</v>
      </c>
      <c r="G790">
        <v>250</v>
      </c>
      <c r="H790" t="s">
        <v>2047</v>
      </c>
      <c r="I790">
        <v>1</v>
      </c>
      <c r="J790" t="s">
        <v>3410</v>
      </c>
      <c r="K790" s="1">
        <v>43831</v>
      </c>
      <c r="L790">
        <v>2020</v>
      </c>
      <c r="M790" t="s">
        <v>2045</v>
      </c>
    </row>
    <row r="791" spans="1:13" x14ac:dyDescent="0.3">
      <c r="A791">
        <v>789</v>
      </c>
      <c r="B791">
        <v>1455</v>
      </c>
      <c r="C791" t="s">
        <v>2049</v>
      </c>
      <c r="D791" t="s">
        <v>2048</v>
      </c>
      <c r="E791" s="6" t="s">
        <v>3391</v>
      </c>
      <c r="F791" s="1">
        <v>45566</v>
      </c>
      <c r="G791">
        <v>387</v>
      </c>
      <c r="H791" t="s">
        <v>2047</v>
      </c>
      <c r="I791">
        <v>1</v>
      </c>
      <c r="J791" t="s">
        <v>2230</v>
      </c>
      <c r="K791" s="1">
        <v>43831</v>
      </c>
      <c r="L791">
        <v>2020</v>
      </c>
      <c r="M791" t="s">
        <v>2045</v>
      </c>
    </row>
    <row r="792" spans="1:13" x14ac:dyDescent="0.3">
      <c r="A792">
        <v>790</v>
      </c>
      <c r="B792">
        <v>1108</v>
      </c>
      <c r="C792" t="s">
        <v>2049</v>
      </c>
      <c r="D792" t="s">
        <v>2052</v>
      </c>
      <c r="E792" s="6" t="s">
        <v>3382</v>
      </c>
      <c r="F792" s="1">
        <v>45383</v>
      </c>
      <c r="G792">
        <v>374</v>
      </c>
      <c r="H792" t="s">
        <v>2047</v>
      </c>
      <c r="I792">
        <v>2</v>
      </c>
      <c r="J792" t="s">
        <v>3381</v>
      </c>
      <c r="K792" s="1">
        <v>43831</v>
      </c>
      <c r="L792">
        <v>2020</v>
      </c>
      <c r="M792" t="s">
        <v>2045</v>
      </c>
    </row>
    <row r="793" spans="1:13" x14ac:dyDescent="0.3">
      <c r="A793">
        <v>791</v>
      </c>
      <c r="B793">
        <v>1304</v>
      </c>
      <c r="C793" t="s">
        <v>2049</v>
      </c>
      <c r="D793" t="s">
        <v>2048</v>
      </c>
      <c r="E793" s="6" t="s">
        <v>3375</v>
      </c>
      <c r="F793" s="1">
        <v>43862</v>
      </c>
      <c r="G793">
        <v>681</v>
      </c>
      <c r="H793" t="s">
        <v>2047</v>
      </c>
      <c r="I793">
        <v>1</v>
      </c>
      <c r="J793" t="s">
        <v>2262</v>
      </c>
      <c r="K793" s="1">
        <v>43831</v>
      </c>
      <c r="L793">
        <v>2020</v>
      </c>
      <c r="M793" t="s">
        <v>2045</v>
      </c>
    </row>
    <row r="794" spans="1:13" x14ac:dyDescent="0.3">
      <c r="A794">
        <v>792</v>
      </c>
      <c r="B794">
        <v>1751</v>
      </c>
      <c r="C794" t="s">
        <v>2049</v>
      </c>
      <c r="D794" t="s">
        <v>2052</v>
      </c>
      <c r="E794" s="6" t="s">
        <v>3374</v>
      </c>
      <c r="F794" s="1">
        <v>44743</v>
      </c>
      <c r="G794">
        <v>401</v>
      </c>
      <c r="H794" t="s">
        <v>2047</v>
      </c>
      <c r="I794">
        <v>1</v>
      </c>
      <c r="J794" t="s">
        <v>3373</v>
      </c>
      <c r="K794" s="1">
        <v>43831</v>
      </c>
      <c r="L794">
        <v>2020</v>
      </c>
      <c r="M794" t="s">
        <v>2045</v>
      </c>
    </row>
    <row r="795" spans="1:13" x14ac:dyDescent="0.3">
      <c r="A795">
        <v>793</v>
      </c>
      <c r="B795">
        <v>1021</v>
      </c>
      <c r="C795" t="s">
        <v>2049</v>
      </c>
      <c r="D795" t="s">
        <v>2052</v>
      </c>
      <c r="E795" s="6" t="s">
        <v>3371</v>
      </c>
      <c r="F795" s="1">
        <v>44440</v>
      </c>
      <c r="G795">
        <v>857</v>
      </c>
      <c r="H795" t="s">
        <v>2047</v>
      </c>
      <c r="I795">
        <v>1</v>
      </c>
      <c r="J795" t="s">
        <v>319</v>
      </c>
      <c r="K795" s="1">
        <v>43831</v>
      </c>
      <c r="L795">
        <v>2020</v>
      </c>
      <c r="M795" t="s">
        <v>2045</v>
      </c>
    </row>
    <row r="796" spans="1:13" x14ac:dyDescent="0.3">
      <c r="A796">
        <v>794</v>
      </c>
      <c r="B796">
        <v>1833</v>
      </c>
      <c r="C796" t="s">
        <v>2049</v>
      </c>
      <c r="D796" t="s">
        <v>2052</v>
      </c>
      <c r="E796" s="6" t="s">
        <v>3365</v>
      </c>
      <c r="F796" s="1">
        <v>44105</v>
      </c>
      <c r="G796">
        <v>83</v>
      </c>
      <c r="H796" t="s">
        <v>2047</v>
      </c>
      <c r="I796">
        <v>2</v>
      </c>
      <c r="J796" t="s">
        <v>3364</v>
      </c>
      <c r="K796" s="1">
        <v>43831</v>
      </c>
      <c r="L796">
        <v>2020</v>
      </c>
      <c r="M796" t="s">
        <v>2045</v>
      </c>
    </row>
    <row r="797" spans="1:13" x14ac:dyDescent="0.3">
      <c r="A797">
        <v>795</v>
      </c>
      <c r="B797">
        <v>841</v>
      </c>
      <c r="C797" t="s">
        <v>2049</v>
      </c>
      <c r="D797" t="s">
        <v>2048</v>
      </c>
      <c r="E797" s="6" t="s">
        <v>3352</v>
      </c>
      <c r="F797" s="1">
        <v>43831</v>
      </c>
      <c r="G797">
        <v>219</v>
      </c>
      <c r="H797" t="s">
        <v>2047</v>
      </c>
      <c r="I797">
        <v>2</v>
      </c>
      <c r="J797" t="s">
        <v>2275</v>
      </c>
      <c r="K797" s="1">
        <v>43831</v>
      </c>
      <c r="L797">
        <v>2020</v>
      </c>
      <c r="M797" t="s">
        <v>2045</v>
      </c>
    </row>
    <row r="798" spans="1:13" x14ac:dyDescent="0.3">
      <c r="A798">
        <v>796</v>
      </c>
      <c r="B798">
        <v>1388</v>
      </c>
      <c r="C798" t="s">
        <v>2049</v>
      </c>
      <c r="D798" t="s">
        <v>2048</v>
      </c>
      <c r="E798" s="6" t="s">
        <v>3351</v>
      </c>
      <c r="F798" s="1">
        <v>43952</v>
      </c>
      <c r="G798">
        <v>575</v>
      </c>
      <c r="H798" t="s">
        <v>2047</v>
      </c>
      <c r="I798">
        <v>1</v>
      </c>
      <c r="J798" t="s">
        <v>2316</v>
      </c>
      <c r="K798" s="1">
        <v>43831</v>
      </c>
      <c r="L798">
        <v>2020</v>
      </c>
      <c r="M798" t="s">
        <v>2045</v>
      </c>
    </row>
    <row r="799" spans="1:13" x14ac:dyDescent="0.3">
      <c r="A799">
        <v>797</v>
      </c>
      <c r="B799">
        <v>1388</v>
      </c>
      <c r="C799" t="s">
        <v>2049</v>
      </c>
      <c r="D799" t="s">
        <v>2052</v>
      </c>
      <c r="E799" s="6" t="s">
        <v>3350</v>
      </c>
      <c r="F799" s="1">
        <v>43862</v>
      </c>
      <c r="G799">
        <v>566</v>
      </c>
      <c r="H799" t="s">
        <v>2047</v>
      </c>
      <c r="I799">
        <v>1</v>
      </c>
      <c r="J799" t="s">
        <v>3349</v>
      </c>
      <c r="K799" s="1">
        <v>43831</v>
      </c>
      <c r="L799">
        <v>2020</v>
      </c>
      <c r="M799" t="s">
        <v>2045</v>
      </c>
    </row>
    <row r="800" spans="1:13" x14ac:dyDescent="0.3">
      <c r="A800">
        <v>798</v>
      </c>
      <c r="B800">
        <v>1056</v>
      </c>
      <c r="C800" t="s">
        <v>2049</v>
      </c>
      <c r="D800" t="s">
        <v>2052</v>
      </c>
      <c r="E800" s="6" t="s">
        <v>3348</v>
      </c>
      <c r="F800" s="1">
        <v>43891</v>
      </c>
      <c r="G800">
        <v>452</v>
      </c>
      <c r="H800" t="s">
        <v>2047</v>
      </c>
      <c r="I800">
        <v>1</v>
      </c>
      <c r="J800" t="s">
        <v>3347</v>
      </c>
      <c r="K800" s="1">
        <v>43831</v>
      </c>
      <c r="L800">
        <v>2020</v>
      </c>
      <c r="M800" t="s">
        <v>2045</v>
      </c>
    </row>
    <row r="801" spans="1:13" x14ac:dyDescent="0.3">
      <c r="A801">
        <v>799</v>
      </c>
      <c r="B801">
        <v>1396</v>
      </c>
      <c r="C801" t="s">
        <v>2049</v>
      </c>
      <c r="D801" t="s">
        <v>2070</v>
      </c>
      <c r="E801" s="6" t="s">
        <v>3330</v>
      </c>
      <c r="F801" s="1">
        <v>45413</v>
      </c>
      <c r="G801">
        <v>282</v>
      </c>
      <c r="H801" t="s">
        <v>2047</v>
      </c>
      <c r="I801">
        <v>1</v>
      </c>
      <c r="J801" t="s">
        <v>2461</v>
      </c>
      <c r="K801" s="1">
        <v>43831</v>
      </c>
      <c r="L801">
        <v>2020</v>
      </c>
      <c r="M801" t="s">
        <v>2045</v>
      </c>
    </row>
    <row r="802" spans="1:13" x14ac:dyDescent="0.3">
      <c r="A802">
        <v>800</v>
      </c>
      <c r="B802">
        <v>599</v>
      </c>
      <c r="C802" t="s">
        <v>2049</v>
      </c>
      <c r="D802" t="s">
        <v>2048</v>
      </c>
      <c r="E802" s="6" t="s">
        <v>3329</v>
      </c>
      <c r="F802" s="1">
        <v>45108</v>
      </c>
      <c r="G802">
        <v>928</v>
      </c>
      <c r="H802" t="s">
        <v>2047</v>
      </c>
      <c r="I802">
        <v>2</v>
      </c>
      <c r="J802" t="s">
        <v>2124</v>
      </c>
      <c r="K802" s="1">
        <v>43831</v>
      </c>
      <c r="L802">
        <v>2020</v>
      </c>
      <c r="M802" t="s">
        <v>2045</v>
      </c>
    </row>
    <row r="803" spans="1:13" x14ac:dyDescent="0.3">
      <c r="A803">
        <v>801</v>
      </c>
      <c r="B803">
        <v>1346</v>
      </c>
      <c r="C803" t="s">
        <v>2049</v>
      </c>
      <c r="D803" t="s">
        <v>2052</v>
      </c>
      <c r="E803" s="6" t="s">
        <v>3323</v>
      </c>
      <c r="F803" s="1">
        <v>43831</v>
      </c>
      <c r="G803">
        <v>314</v>
      </c>
      <c r="H803" t="s">
        <v>2047</v>
      </c>
      <c r="I803">
        <v>1</v>
      </c>
      <c r="J803" t="s">
        <v>3322</v>
      </c>
      <c r="K803" s="1">
        <v>43831</v>
      </c>
      <c r="L803">
        <v>2020</v>
      </c>
      <c r="M803" t="s">
        <v>2045</v>
      </c>
    </row>
    <row r="804" spans="1:13" x14ac:dyDescent="0.3">
      <c r="A804">
        <v>802</v>
      </c>
      <c r="B804">
        <v>731</v>
      </c>
      <c r="C804" t="s">
        <v>2049</v>
      </c>
      <c r="D804" t="s">
        <v>2052</v>
      </c>
      <c r="E804" s="6" t="s">
        <v>3290</v>
      </c>
      <c r="F804" s="1">
        <v>43831</v>
      </c>
      <c r="G804">
        <v>377</v>
      </c>
      <c r="H804" t="s">
        <v>2047</v>
      </c>
      <c r="I804">
        <v>2</v>
      </c>
      <c r="J804" t="s">
        <v>3289</v>
      </c>
      <c r="K804" s="1">
        <v>43831</v>
      </c>
      <c r="L804">
        <v>2020</v>
      </c>
      <c r="M804" t="s">
        <v>2045</v>
      </c>
    </row>
    <row r="805" spans="1:13" x14ac:dyDescent="0.3">
      <c r="A805">
        <v>803</v>
      </c>
      <c r="B805">
        <v>1886</v>
      </c>
      <c r="C805" t="s">
        <v>2049</v>
      </c>
      <c r="D805" t="s">
        <v>2052</v>
      </c>
      <c r="E805" s="6" t="s">
        <v>3283</v>
      </c>
      <c r="F805" s="1">
        <v>43862</v>
      </c>
      <c r="G805">
        <v>861</v>
      </c>
      <c r="H805" t="s">
        <v>2047</v>
      </c>
      <c r="I805">
        <v>2</v>
      </c>
      <c r="J805" t="s">
        <v>3282</v>
      </c>
      <c r="K805" s="1">
        <v>43831</v>
      </c>
      <c r="L805">
        <v>2020</v>
      </c>
      <c r="M805" t="s">
        <v>2045</v>
      </c>
    </row>
    <row r="806" spans="1:13" x14ac:dyDescent="0.3">
      <c r="A806">
        <v>804</v>
      </c>
      <c r="B806">
        <v>1506</v>
      </c>
      <c r="C806" t="s">
        <v>2049</v>
      </c>
      <c r="D806" t="s">
        <v>2052</v>
      </c>
      <c r="E806" s="6" t="s">
        <v>3275</v>
      </c>
      <c r="F806" s="1">
        <v>43862</v>
      </c>
      <c r="G806">
        <v>127</v>
      </c>
      <c r="H806" t="s">
        <v>2047</v>
      </c>
      <c r="I806">
        <v>1</v>
      </c>
      <c r="J806" t="s">
        <v>3274</v>
      </c>
      <c r="K806" s="1">
        <v>43831</v>
      </c>
      <c r="L806">
        <v>2020</v>
      </c>
      <c r="M806" t="s">
        <v>2045</v>
      </c>
    </row>
    <row r="807" spans="1:13" x14ac:dyDescent="0.3">
      <c r="A807">
        <v>805</v>
      </c>
      <c r="B807">
        <v>56</v>
      </c>
      <c r="C807" t="s">
        <v>2049</v>
      </c>
      <c r="D807" t="s">
        <v>2048</v>
      </c>
      <c r="E807" s="6" t="s">
        <v>3269</v>
      </c>
      <c r="F807" s="1">
        <v>45108</v>
      </c>
      <c r="G807">
        <v>820</v>
      </c>
      <c r="H807" t="s">
        <v>2047</v>
      </c>
      <c r="I807">
        <v>1</v>
      </c>
      <c r="J807" t="s">
        <v>2056</v>
      </c>
      <c r="K807" s="1">
        <v>43831</v>
      </c>
      <c r="L807">
        <v>2020</v>
      </c>
      <c r="M807" t="s">
        <v>2045</v>
      </c>
    </row>
    <row r="808" spans="1:13" x14ac:dyDescent="0.3">
      <c r="A808">
        <v>806</v>
      </c>
      <c r="B808">
        <v>251</v>
      </c>
      <c r="C808" t="s">
        <v>2049</v>
      </c>
      <c r="D808" t="s">
        <v>2052</v>
      </c>
      <c r="E808" s="6" t="s">
        <v>3264</v>
      </c>
      <c r="F808" s="1">
        <v>44287</v>
      </c>
      <c r="G808">
        <v>719</v>
      </c>
      <c r="H808" t="s">
        <v>2047</v>
      </c>
      <c r="I808">
        <v>1</v>
      </c>
      <c r="J808" t="s">
        <v>3263</v>
      </c>
      <c r="K808" s="1">
        <v>43831</v>
      </c>
      <c r="L808">
        <v>2020</v>
      </c>
      <c r="M808" t="s">
        <v>2045</v>
      </c>
    </row>
    <row r="809" spans="1:13" x14ac:dyDescent="0.3">
      <c r="A809">
        <v>807</v>
      </c>
      <c r="B809">
        <v>1587</v>
      </c>
      <c r="C809" t="s">
        <v>2049</v>
      </c>
      <c r="D809" t="s">
        <v>2052</v>
      </c>
      <c r="E809" s="6" t="s">
        <v>3233</v>
      </c>
      <c r="F809" s="1">
        <v>43862</v>
      </c>
      <c r="G809">
        <v>105</v>
      </c>
      <c r="H809" t="s">
        <v>2047</v>
      </c>
      <c r="I809">
        <v>1</v>
      </c>
      <c r="J809" t="s">
        <v>3232</v>
      </c>
      <c r="K809" s="1">
        <v>43831</v>
      </c>
      <c r="L809">
        <v>2020</v>
      </c>
      <c r="M809" t="s">
        <v>2045</v>
      </c>
    </row>
    <row r="810" spans="1:13" x14ac:dyDescent="0.3">
      <c r="A810">
        <v>808</v>
      </c>
      <c r="B810">
        <v>1232</v>
      </c>
      <c r="C810" t="s">
        <v>2049</v>
      </c>
      <c r="D810" t="s">
        <v>2052</v>
      </c>
      <c r="E810" s="6" t="s">
        <v>3229</v>
      </c>
      <c r="F810" s="1">
        <v>43983</v>
      </c>
      <c r="G810">
        <v>922</v>
      </c>
      <c r="H810" t="s">
        <v>2047</v>
      </c>
      <c r="I810">
        <v>2</v>
      </c>
      <c r="J810" t="s">
        <v>866</v>
      </c>
      <c r="K810" s="1">
        <v>43831</v>
      </c>
      <c r="L810">
        <v>2020</v>
      </c>
      <c r="M810" t="s">
        <v>2045</v>
      </c>
    </row>
    <row r="811" spans="1:13" x14ac:dyDescent="0.3">
      <c r="A811">
        <v>809</v>
      </c>
      <c r="B811">
        <v>1601</v>
      </c>
      <c r="C811" t="s">
        <v>2049</v>
      </c>
      <c r="D811" t="s">
        <v>2048</v>
      </c>
      <c r="E811" s="6" t="s">
        <v>3225</v>
      </c>
      <c r="F811" s="1">
        <v>44958</v>
      </c>
      <c r="G811">
        <v>938</v>
      </c>
      <c r="H811" t="s">
        <v>2047</v>
      </c>
      <c r="I811">
        <v>2</v>
      </c>
      <c r="J811" t="s">
        <v>2326</v>
      </c>
      <c r="K811" s="1">
        <v>43831</v>
      </c>
      <c r="L811">
        <v>2020</v>
      </c>
      <c r="M811" t="s">
        <v>2045</v>
      </c>
    </row>
    <row r="812" spans="1:13" x14ac:dyDescent="0.3">
      <c r="A812">
        <v>810</v>
      </c>
      <c r="B812">
        <v>513</v>
      </c>
      <c r="C812" t="s">
        <v>2049</v>
      </c>
      <c r="D812" t="s">
        <v>2048</v>
      </c>
      <c r="E812" s="6" t="s">
        <v>3218</v>
      </c>
      <c r="F812" s="1">
        <v>44501</v>
      </c>
      <c r="G812">
        <v>869</v>
      </c>
      <c r="H812" t="s">
        <v>2047</v>
      </c>
      <c r="I812">
        <v>2</v>
      </c>
      <c r="J812" t="s">
        <v>2199</v>
      </c>
      <c r="K812" s="1">
        <v>43831</v>
      </c>
      <c r="L812">
        <v>2020</v>
      </c>
      <c r="M812" t="s">
        <v>2045</v>
      </c>
    </row>
    <row r="813" spans="1:13" x14ac:dyDescent="0.3">
      <c r="A813">
        <v>811</v>
      </c>
      <c r="B813">
        <v>716</v>
      </c>
      <c r="C813" t="s">
        <v>2049</v>
      </c>
      <c r="D813" t="s">
        <v>2048</v>
      </c>
      <c r="E813" s="6" t="s">
        <v>3216</v>
      </c>
      <c r="F813" s="1">
        <v>44927</v>
      </c>
      <c r="G813">
        <v>900</v>
      </c>
      <c r="H813" t="s">
        <v>2047</v>
      </c>
      <c r="I813">
        <v>1</v>
      </c>
      <c r="J813" t="s">
        <v>2219</v>
      </c>
      <c r="K813" s="1">
        <v>43831</v>
      </c>
      <c r="L813">
        <v>2020</v>
      </c>
      <c r="M813" t="s">
        <v>2045</v>
      </c>
    </row>
    <row r="814" spans="1:13" x14ac:dyDescent="0.3">
      <c r="A814">
        <v>812</v>
      </c>
      <c r="B814">
        <v>226</v>
      </c>
      <c r="C814" t="s">
        <v>2049</v>
      </c>
      <c r="D814" t="s">
        <v>2052</v>
      </c>
      <c r="E814" s="6" t="s">
        <v>3210</v>
      </c>
      <c r="F814" s="1">
        <v>44835</v>
      </c>
      <c r="G814">
        <v>437</v>
      </c>
      <c r="H814" t="s">
        <v>2047</v>
      </c>
      <c r="I814">
        <v>2</v>
      </c>
      <c r="J814" t="s">
        <v>3209</v>
      </c>
      <c r="K814" s="1">
        <v>43831</v>
      </c>
      <c r="L814">
        <v>2020</v>
      </c>
      <c r="M814" t="s">
        <v>2045</v>
      </c>
    </row>
    <row r="815" spans="1:13" x14ac:dyDescent="0.3">
      <c r="A815">
        <v>813</v>
      </c>
      <c r="B815">
        <v>815</v>
      </c>
      <c r="C815" t="s">
        <v>2049</v>
      </c>
      <c r="D815" t="s">
        <v>2048</v>
      </c>
      <c r="E815" s="6" t="s">
        <v>3196</v>
      </c>
      <c r="F815" s="1">
        <v>43831</v>
      </c>
      <c r="G815">
        <v>49</v>
      </c>
      <c r="H815" t="s">
        <v>2047</v>
      </c>
      <c r="I815">
        <v>1</v>
      </c>
      <c r="J815" t="s">
        <v>2497</v>
      </c>
      <c r="K815" s="1">
        <v>43831</v>
      </c>
      <c r="L815">
        <v>2020</v>
      </c>
      <c r="M815" t="s">
        <v>2045</v>
      </c>
    </row>
    <row r="816" spans="1:13" x14ac:dyDescent="0.3">
      <c r="A816">
        <v>814</v>
      </c>
      <c r="B816">
        <v>1483</v>
      </c>
      <c r="C816" t="s">
        <v>2049</v>
      </c>
      <c r="D816" t="s">
        <v>2052</v>
      </c>
      <c r="E816" s="6" t="s">
        <v>3190</v>
      </c>
      <c r="F816" s="1">
        <v>44866</v>
      </c>
      <c r="G816">
        <v>109</v>
      </c>
      <c r="H816" t="s">
        <v>2047</v>
      </c>
      <c r="I816">
        <v>1</v>
      </c>
      <c r="J816" t="s">
        <v>2850</v>
      </c>
      <c r="K816" s="1">
        <v>43831</v>
      </c>
      <c r="L816">
        <v>2020</v>
      </c>
      <c r="M816" t="s">
        <v>2045</v>
      </c>
    </row>
    <row r="817" spans="1:13" x14ac:dyDescent="0.3">
      <c r="A817">
        <v>815</v>
      </c>
      <c r="B817">
        <v>1216</v>
      </c>
      <c r="C817" t="s">
        <v>2049</v>
      </c>
      <c r="D817" t="s">
        <v>2052</v>
      </c>
      <c r="E817" s="6" t="s">
        <v>3185</v>
      </c>
      <c r="F817" s="1">
        <v>44440</v>
      </c>
      <c r="G817">
        <v>433</v>
      </c>
      <c r="H817" t="s">
        <v>2047</v>
      </c>
      <c r="I817">
        <v>1</v>
      </c>
      <c r="J817" t="s">
        <v>87</v>
      </c>
      <c r="K817" s="1">
        <v>43831</v>
      </c>
      <c r="L817">
        <v>2020</v>
      </c>
      <c r="M817" t="s">
        <v>2045</v>
      </c>
    </row>
    <row r="818" spans="1:13" x14ac:dyDescent="0.3">
      <c r="A818">
        <v>816</v>
      </c>
      <c r="B818">
        <v>1216</v>
      </c>
      <c r="C818" t="s">
        <v>2049</v>
      </c>
      <c r="D818" t="s">
        <v>2052</v>
      </c>
      <c r="E818" s="6" t="s">
        <v>3184</v>
      </c>
      <c r="F818" s="1">
        <v>45139</v>
      </c>
      <c r="G818">
        <v>885</v>
      </c>
      <c r="H818" t="s">
        <v>2047</v>
      </c>
      <c r="I818">
        <v>2</v>
      </c>
      <c r="J818" t="s">
        <v>3183</v>
      </c>
      <c r="K818" s="1">
        <v>43831</v>
      </c>
      <c r="L818">
        <v>2020</v>
      </c>
      <c r="M818" t="s">
        <v>2045</v>
      </c>
    </row>
    <row r="819" spans="1:13" x14ac:dyDescent="0.3">
      <c r="A819">
        <v>817</v>
      </c>
      <c r="B819">
        <v>1216</v>
      </c>
      <c r="C819" t="s">
        <v>2049</v>
      </c>
      <c r="D819" t="s">
        <v>2048</v>
      </c>
      <c r="E819" s="6" t="s">
        <v>3182</v>
      </c>
      <c r="F819" s="1">
        <v>44470</v>
      </c>
      <c r="G819">
        <v>215</v>
      </c>
      <c r="H819" t="s">
        <v>2047</v>
      </c>
      <c r="I819">
        <v>2</v>
      </c>
      <c r="J819" t="s">
        <v>2075</v>
      </c>
      <c r="K819" s="1">
        <v>43831</v>
      </c>
      <c r="L819">
        <v>2020</v>
      </c>
      <c r="M819" t="s">
        <v>2045</v>
      </c>
    </row>
    <row r="820" spans="1:13" x14ac:dyDescent="0.3">
      <c r="A820">
        <v>818</v>
      </c>
      <c r="B820">
        <v>797</v>
      </c>
      <c r="C820" t="s">
        <v>2049</v>
      </c>
      <c r="D820" t="s">
        <v>2052</v>
      </c>
      <c r="E820" s="6" t="s">
        <v>3179</v>
      </c>
      <c r="F820" s="1">
        <v>43831</v>
      </c>
      <c r="G820">
        <v>143</v>
      </c>
      <c r="H820" t="s">
        <v>2047</v>
      </c>
      <c r="I820">
        <v>2</v>
      </c>
      <c r="J820" t="s">
        <v>3178</v>
      </c>
      <c r="K820" s="1">
        <v>43831</v>
      </c>
      <c r="L820">
        <v>2020</v>
      </c>
      <c r="M820" t="s">
        <v>2045</v>
      </c>
    </row>
    <row r="821" spans="1:13" x14ac:dyDescent="0.3">
      <c r="A821">
        <v>819</v>
      </c>
      <c r="B821">
        <v>610</v>
      </c>
      <c r="C821" t="s">
        <v>2049</v>
      </c>
      <c r="D821" t="s">
        <v>2048</v>
      </c>
      <c r="E821" s="6" t="s">
        <v>3176</v>
      </c>
      <c r="F821" s="1">
        <v>44927</v>
      </c>
      <c r="G821">
        <v>695</v>
      </c>
      <c r="H821" t="s">
        <v>2047</v>
      </c>
      <c r="I821">
        <v>1</v>
      </c>
      <c r="J821" t="s">
        <v>2467</v>
      </c>
      <c r="K821" s="1">
        <v>43831</v>
      </c>
      <c r="L821">
        <v>2020</v>
      </c>
      <c r="M821" t="s">
        <v>2045</v>
      </c>
    </row>
    <row r="822" spans="1:13" x14ac:dyDescent="0.3">
      <c r="A822">
        <v>820</v>
      </c>
      <c r="B822">
        <v>610</v>
      </c>
      <c r="C822" t="s">
        <v>2049</v>
      </c>
      <c r="D822" t="s">
        <v>2048</v>
      </c>
      <c r="E822" s="6" t="s">
        <v>3175</v>
      </c>
      <c r="F822" s="1">
        <v>45108</v>
      </c>
      <c r="G822">
        <v>280</v>
      </c>
      <c r="H822" t="s">
        <v>2047</v>
      </c>
      <c r="I822">
        <v>1</v>
      </c>
      <c r="J822" t="s">
        <v>2387</v>
      </c>
      <c r="K822" s="1">
        <v>43831</v>
      </c>
      <c r="L822">
        <v>2020</v>
      </c>
      <c r="M822" t="s">
        <v>2045</v>
      </c>
    </row>
    <row r="823" spans="1:13" x14ac:dyDescent="0.3">
      <c r="A823">
        <v>821</v>
      </c>
      <c r="B823">
        <v>347</v>
      </c>
      <c r="C823" t="s">
        <v>2049</v>
      </c>
      <c r="D823" t="s">
        <v>2052</v>
      </c>
      <c r="E823" s="6" t="s">
        <v>3174</v>
      </c>
      <c r="F823" s="1">
        <v>44228</v>
      </c>
      <c r="G823">
        <v>289</v>
      </c>
      <c r="H823" t="s">
        <v>2047</v>
      </c>
      <c r="I823">
        <v>2</v>
      </c>
      <c r="J823" t="s">
        <v>3173</v>
      </c>
      <c r="K823" s="1">
        <v>43831</v>
      </c>
      <c r="L823">
        <v>2020</v>
      </c>
      <c r="M823" t="s">
        <v>2045</v>
      </c>
    </row>
    <row r="824" spans="1:13" x14ac:dyDescent="0.3">
      <c r="A824">
        <v>822</v>
      </c>
      <c r="B824">
        <v>1368</v>
      </c>
      <c r="C824" t="s">
        <v>2049</v>
      </c>
      <c r="D824" t="s">
        <v>2048</v>
      </c>
      <c r="E824" s="6" t="s">
        <v>3172</v>
      </c>
      <c r="F824" s="1">
        <v>43922</v>
      </c>
      <c r="G824">
        <v>370</v>
      </c>
      <c r="H824" t="s">
        <v>2047</v>
      </c>
      <c r="I824">
        <v>1</v>
      </c>
      <c r="J824" t="s">
        <v>2426</v>
      </c>
      <c r="K824" s="1">
        <v>43831</v>
      </c>
      <c r="L824">
        <v>2020</v>
      </c>
      <c r="M824" t="s">
        <v>2045</v>
      </c>
    </row>
    <row r="825" spans="1:13" x14ac:dyDescent="0.3">
      <c r="A825">
        <v>823</v>
      </c>
      <c r="B825">
        <v>1864</v>
      </c>
      <c r="C825" t="s">
        <v>2049</v>
      </c>
      <c r="D825" t="s">
        <v>2052</v>
      </c>
      <c r="E825" s="6" t="s">
        <v>3164</v>
      </c>
      <c r="F825" s="1">
        <v>44075</v>
      </c>
      <c r="G825">
        <v>27</v>
      </c>
      <c r="H825" t="s">
        <v>2055</v>
      </c>
      <c r="I825">
        <v>1</v>
      </c>
      <c r="J825" t="s">
        <v>3163</v>
      </c>
      <c r="K825" s="1">
        <v>43831</v>
      </c>
      <c r="L825">
        <v>2020</v>
      </c>
      <c r="M825" t="s">
        <v>2045</v>
      </c>
    </row>
    <row r="826" spans="1:13" x14ac:dyDescent="0.3">
      <c r="A826">
        <v>824</v>
      </c>
      <c r="B826">
        <v>865</v>
      </c>
      <c r="C826" t="s">
        <v>2049</v>
      </c>
      <c r="D826" t="s">
        <v>2048</v>
      </c>
      <c r="E826" s="6" t="s">
        <v>3162</v>
      </c>
      <c r="F826" s="1">
        <v>43831</v>
      </c>
      <c r="G826">
        <v>94</v>
      </c>
      <c r="H826" t="s">
        <v>2047</v>
      </c>
      <c r="I826">
        <v>2</v>
      </c>
      <c r="J826" t="s">
        <v>2081</v>
      </c>
      <c r="K826" s="1">
        <v>43831</v>
      </c>
      <c r="L826">
        <v>2020</v>
      </c>
      <c r="M826" t="s">
        <v>2045</v>
      </c>
    </row>
    <row r="827" spans="1:13" x14ac:dyDescent="0.3">
      <c r="A827">
        <v>825</v>
      </c>
      <c r="B827">
        <v>707</v>
      </c>
      <c r="C827" t="s">
        <v>2049</v>
      </c>
      <c r="D827" t="s">
        <v>2052</v>
      </c>
      <c r="E827" s="6" t="s">
        <v>3160</v>
      </c>
      <c r="F827" s="1">
        <v>43862</v>
      </c>
      <c r="G827">
        <v>92</v>
      </c>
      <c r="H827" t="s">
        <v>2047</v>
      </c>
      <c r="I827">
        <v>1</v>
      </c>
      <c r="J827" t="s">
        <v>3159</v>
      </c>
      <c r="K827" s="1">
        <v>43831</v>
      </c>
      <c r="L827">
        <v>2020</v>
      </c>
      <c r="M827" t="s">
        <v>2045</v>
      </c>
    </row>
    <row r="828" spans="1:13" x14ac:dyDescent="0.3">
      <c r="A828">
        <v>826</v>
      </c>
      <c r="B828">
        <v>1821</v>
      </c>
      <c r="C828" t="s">
        <v>2049</v>
      </c>
      <c r="D828" t="s">
        <v>2052</v>
      </c>
      <c r="E828" s="6" t="s">
        <v>3151</v>
      </c>
      <c r="F828" s="1">
        <v>45413</v>
      </c>
      <c r="G828">
        <v>806</v>
      </c>
      <c r="H828" t="s">
        <v>2047</v>
      </c>
      <c r="I828">
        <v>2</v>
      </c>
      <c r="J828" t="s">
        <v>3150</v>
      </c>
      <c r="K828" s="1">
        <v>43831</v>
      </c>
      <c r="L828">
        <v>2020</v>
      </c>
      <c r="M828" t="s">
        <v>2045</v>
      </c>
    </row>
    <row r="829" spans="1:13" x14ac:dyDescent="0.3">
      <c r="A829">
        <v>827</v>
      </c>
      <c r="B829">
        <v>834</v>
      </c>
      <c r="C829" t="s">
        <v>2049</v>
      </c>
      <c r="D829" t="s">
        <v>2048</v>
      </c>
      <c r="E829" s="6" t="s">
        <v>3147</v>
      </c>
      <c r="F829" s="1">
        <v>45261</v>
      </c>
      <c r="G829">
        <v>537</v>
      </c>
      <c r="H829" t="s">
        <v>2047</v>
      </c>
      <c r="I829">
        <v>1</v>
      </c>
      <c r="J829" t="s">
        <v>2223</v>
      </c>
      <c r="K829" s="1">
        <v>43831</v>
      </c>
      <c r="L829">
        <v>2020</v>
      </c>
      <c r="M829" t="s">
        <v>2045</v>
      </c>
    </row>
    <row r="830" spans="1:13" x14ac:dyDescent="0.3">
      <c r="A830">
        <v>828</v>
      </c>
      <c r="B830">
        <v>1583</v>
      </c>
      <c r="C830" t="s">
        <v>2049</v>
      </c>
      <c r="D830" t="s">
        <v>2052</v>
      </c>
      <c r="E830" s="6" t="s">
        <v>3143</v>
      </c>
      <c r="F830" s="1">
        <v>43862</v>
      </c>
      <c r="G830">
        <v>382</v>
      </c>
      <c r="H830" t="s">
        <v>2047</v>
      </c>
      <c r="I830">
        <v>2</v>
      </c>
      <c r="J830" t="s">
        <v>3142</v>
      </c>
      <c r="K830" s="1">
        <v>43831</v>
      </c>
      <c r="L830">
        <v>2020</v>
      </c>
      <c r="M830" t="s">
        <v>2045</v>
      </c>
    </row>
    <row r="831" spans="1:13" x14ac:dyDescent="0.3">
      <c r="A831">
        <v>829</v>
      </c>
      <c r="B831">
        <v>1666</v>
      </c>
      <c r="C831" t="s">
        <v>2049</v>
      </c>
      <c r="D831" t="s">
        <v>2048</v>
      </c>
      <c r="E831" s="6" t="s">
        <v>3141</v>
      </c>
      <c r="F831" s="1">
        <v>44713</v>
      </c>
      <c r="G831">
        <v>217</v>
      </c>
      <c r="H831" t="s">
        <v>2047</v>
      </c>
      <c r="I831">
        <v>2</v>
      </c>
      <c r="J831" t="s">
        <v>2474</v>
      </c>
      <c r="K831" s="1">
        <v>43831</v>
      </c>
      <c r="L831">
        <v>2020</v>
      </c>
      <c r="M831" t="s">
        <v>2045</v>
      </c>
    </row>
    <row r="832" spans="1:13" x14ac:dyDescent="0.3">
      <c r="A832">
        <v>830</v>
      </c>
      <c r="B832">
        <v>693</v>
      </c>
      <c r="C832" t="s">
        <v>2049</v>
      </c>
      <c r="D832" t="s">
        <v>2052</v>
      </c>
      <c r="E832" s="6" t="s">
        <v>3119</v>
      </c>
      <c r="F832" s="1">
        <v>45536</v>
      </c>
      <c r="G832">
        <v>112</v>
      </c>
      <c r="H832" t="s">
        <v>2047</v>
      </c>
      <c r="I832">
        <v>2</v>
      </c>
      <c r="J832" t="s">
        <v>3118</v>
      </c>
      <c r="K832" s="1">
        <v>43831</v>
      </c>
      <c r="L832">
        <v>2020</v>
      </c>
      <c r="M832" t="s">
        <v>2045</v>
      </c>
    </row>
    <row r="833" spans="1:13" x14ac:dyDescent="0.3">
      <c r="A833">
        <v>831</v>
      </c>
      <c r="B833">
        <v>1292</v>
      </c>
      <c r="C833" t="s">
        <v>2049</v>
      </c>
      <c r="D833" t="s">
        <v>2052</v>
      </c>
      <c r="E833" s="6" t="s">
        <v>3115</v>
      </c>
      <c r="F833" s="1">
        <v>45108</v>
      </c>
      <c r="G833">
        <v>590</v>
      </c>
      <c r="H833" t="s">
        <v>2047</v>
      </c>
      <c r="I833">
        <v>1</v>
      </c>
      <c r="J833" t="s">
        <v>3114</v>
      </c>
      <c r="K833" s="1">
        <v>43831</v>
      </c>
      <c r="L833">
        <v>2020</v>
      </c>
      <c r="M833" t="s">
        <v>2045</v>
      </c>
    </row>
    <row r="834" spans="1:13" x14ac:dyDescent="0.3">
      <c r="A834">
        <v>832</v>
      </c>
      <c r="B834">
        <v>1113</v>
      </c>
      <c r="C834" t="s">
        <v>2049</v>
      </c>
      <c r="D834" t="s">
        <v>2048</v>
      </c>
      <c r="E834" s="6" t="s">
        <v>3113</v>
      </c>
      <c r="F834" s="1">
        <v>44593</v>
      </c>
      <c r="G834">
        <v>300</v>
      </c>
      <c r="H834" t="s">
        <v>2055</v>
      </c>
      <c r="I834">
        <v>1</v>
      </c>
      <c r="J834" t="s">
        <v>2068</v>
      </c>
      <c r="K834" s="1">
        <v>43831</v>
      </c>
      <c r="L834">
        <v>2020</v>
      </c>
      <c r="M834" t="s">
        <v>2045</v>
      </c>
    </row>
    <row r="835" spans="1:13" x14ac:dyDescent="0.3">
      <c r="A835">
        <v>833</v>
      </c>
      <c r="B835">
        <v>1113</v>
      </c>
      <c r="C835" t="s">
        <v>2049</v>
      </c>
      <c r="D835" t="s">
        <v>2048</v>
      </c>
      <c r="E835" s="6" t="s">
        <v>3112</v>
      </c>
      <c r="F835" s="1">
        <v>45474</v>
      </c>
      <c r="G835">
        <v>416</v>
      </c>
      <c r="H835" t="s">
        <v>2055</v>
      </c>
      <c r="I835">
        <v>2</v>
      </c>
      <c r="J835" t="s">
        <v>2080</v>
      </c>
      <c r="K835" s="1">
        <v>43831</v>
      </c>
      <c r="L835">
        <v>2020</v>
      </c>
      <c r="M835" t="s">
        <v>2045</v>
      </c>
    </row>
    <row r="836" spans="1:13" x14ac:dyDescent="0.3">
      <c r="A836">
        <v>834</v>
      </c>
      <c r="B836">
        <v>1656</v>
      </c>
      <c r="C836" t="s">
        <v>2049</v>
      </c>
      <c r="D836" t="s">
        <v>2052</v>
      </c>
      <c r="E836" s="6" t="s">
        <v>3090</v>
      </c>
      <c r="F836" s="1">
        <v>44378</v>
      </c>
      <c r="G836">
        <v>364</v>
      </c>
      <c r="H836" t="s">
        <v>2047</v>
      </c>
      <c r="I836">
        <v>2</v>
      </c>
      <c r="J836" t="s">
        <v>882</v>
      </c>
      <c r="K836" s="1">
        <v>43831</v>
      </c>
      <c r="L836">
        <v>2020</v>
      </c>
      <c r="M836" t="s">
        <v>2045</v>
      </c>
    </row>
    <row r="837" spans="1:13" x14ac:dyDescent="0.3">
      <c r="A837">
        <v>835</v>
      </c>
      <c r="B837">
        <v>1062</v>
      </c>
      <c r="C837" t="s">
        <v>2049</v>
      </c>
      <c r="D837" t="s">
        <v>2052</v>
      </c>
      <c r="E837" s="6" t="s">
        <v>3084</v>
      </c>
      <c r="F837" s="1">
        <v>43862</v>
      </c>
      <c r="G837">
        <v>877</v>
      </c>
      <c r="H837" t="s">
        <v>2055</v>
      </c>
      <c r="I837">
        <v>1</v>
      </c>
      <c r="J837" t="s">
        <v>1891</v>
      </c>
      <c r="K837" s="1">
        <v>43831</v>
      </c>
      <c r="L837">
        <v>2020</v>
      </c>
      <c r="M837" t="s">
        <v>2045</v>
      </c>
    </row>
    <row r="838" spans="1:13" x14ac:dyDescent="0.3">
      <c r="A838">
        <v>836</v>
      </c>
      <c r="B838">
        <v>743</v>
      </c>
      <c r="C838" t="s">
        <v>2049</v>
      </c>
      <c r="D838" t="s">
        <v>2052</v>
      </c>
      <c r="E838" s="6" t="s">
        <v>3080</v>
      </c>
      <c r="F838" s="1">
        <v>44835</v>
      </c>
      <c r="G838">
        <v>219</v>
      </c>
      <c r="H838" t="s">
        <v>2047</v>
      </c>
      <c r="I838">
        <v>1</v>
      </c>
      <c r="J838" t="s">
        <v>3079</v>
      </c>
      <c r="K838" s="1">
        <v>43831</v>
      </c>
      <c r="L838">
        <v>2020</v>
      </c>
      <c r="M838" t="s">
        <v>2045</v>
      </c>
    </row>
    <row r="839" spans="1:13" x14ac:dyDescent="0.3">
      <c r="A839">
        <v>837</v>
      </c>
      <c r="B839">
        <v>999</v>
      </c>
      <c r="C839" t="s">
        <v>2049</v>
      </c>
      <c r="D839" t="s">
        <v>2052</v>
      </c>
      <c r="E839" s="6" t="s">
        <v>3078</v>
      </c>
      <c r="F839" s="1">
        <v>45627</v>
      </c>
      <c r="G839">
        <v>735</v>
      </c>
      <c r="H839" t="s">
        <v>2047</v>
      </c>
      <c r="I839">
        <v>2</v>
      </c>
      <c r="J839" t="s">
        <v>459</v>
      </c>
      <c r="K839" s="1">
        <v>43831</v>
      </c>
      <c r="L839">
        <v>2020</v>
      </c>
      <c r="M839" t="s">
        <v>2045</v>
      </c>
    </row>
    <row r="840" spans="1:13" x14ac:dyDescent="0.3">
      <c r="A840">
        <v>838</v>
      </c>
      <c r="B840">
        <v>1989</v>
      </c>
      <c r="C840" t="s">
        <v>2049</v>
      </c>
      <c r="D840" t="s">
        <v>2048</v>
      </c>
      <c r="E840" s="6" t="s">
        <v>3061</v>
      </c>
      <c r="F840" s="1">
        <v>44835</v>
      </c>
      <c r="G840">
        <v>896</v>
      </c>
      <c r="H840" t="s">
        <v>2047</v>
      </c>
      <c r="I840">
        <v>1</v>
      </c>
      <c r="J840" t="s">
        <v>2094</v>
      </c>
      <c r="K840" s="1">
        <v>43831</v>
      </c>
      <c r="L840">
        <v>2020</v>
      </c>
      <c r="M840" t="s">
        <v>2045</v>
      </c>
    </row>
    <row r="841" spans="1:13" x14ac:dyDescent="0.3">
      <c r="A841">
        <v>839</v>
      </c>
      <c r="B841">
        <v>412</v>
      </c>
      <c r="C841" t="s">
        <v>2049</v>
      </c>
      <c r="D841" t="s">
        <v>2048</v>
      </c>
      <c r="E841" s="6" t="s">
        <v>3058</v>
      </c>
      <c r="F841" s="1">
        <v>45047</v>
      </c>
      <c r="G841">
        <v>503</v>
      </c>
      <c r="H841" t="s">
        <v>2047</v>
      </c>
      <c r="I841">
        <v>2</v>
      </c>
      <c r="J841" t="s">
        <v>2278</v>
      </c>
      <c r="K841" s="1">
        <v>43831</v>
      </c>
      <c r="L841">
        <v>2020</v>
      </c>
      <c r="M841" t="s">
        <v>2045</v>
      </c>
    </row>
    <row r="842" spans="1:13" x14ac:dyDescent="0.3">
      <c r="A842">
        <v>840</v>
      </c>
      <c r="B842">
        <v>76</v>
      </c>
      <c r="C842" t="s">
        <v>2049</v>
      </c>
      <c r="D842" t="s">
        <v>2048</v>
      </c>
      <c r="E842" s="6" t="s">
        <v>3025</v>
      </c>
      <c r="F842" s="1">
        <v>44348</v>
      </c>
      <c r="G842">
        <v>736</v>
      </c>
      <c r="H842" t="s">
        <v>2047</v>
      </c>
      <c r="I842">
        <v>2</v>
      </c>
      <c r="J842" t="s">
        <v>3024</v>
      </c>
      <c r="K842" s="1">
        <v>43831</v>
      </c>
      <c r="L842">
        <v>2020</v>
      </c>
      <c r="M842" t="s">
        <v>2045</v>
      </c>
    </row>
    <row r="843" spans="1:13" x14ac:dyDescent="0.3">
      <c r="A843">
        <v>841</v>
      </c>
      <c r="B843">
        <v>1647</v>
      </c>
      <c r="C843" t="s">
        <v>2049</v>
      </c>
      <c r="D843" t="s">
        <v>2070</v>
      </c>
      <c r="E843" s="6" t="s">
        <v>3005</v>
      </c>
      <c r="F843" s="1">
        <v>43831</v>
      </c>
      <c r="G843">
        <v>108</v>
      </c>
      <c r="H843" t="s">
        <v>2055</v>
      </c>
      <c r="I843">
        <v>1</v>
      </c>
      <c r="J843" t="s">
        <v>2113</v>
      </c>
      <c r="K843" s="1">
        <v>43831</v>
      </c>
      <c r="L843">
        <v>2020</v>
      </c>
      <c r="M843" t="s">
        <v>2045</v>
      </c>
    </row>
    <row r="844" spans="1:13" x14ac:dyDescent="0.3">
      <c r="A844">
        <v>842</v>
      </c>
      <c r="B844">
        <v>1387</v>
      </c>
      <c r="C844" t="s">
        <v>2049</v>
      </c>
      <c r="D844" t="s">
        <v>2048</v>
      </c>
      <c r="E844" s="6" t="s">
        <v>3004</v>
      </c>
      <c r="F844" s="1">
        <v>44896</v>
      </c>
      <c r="G844">
        <v>674</v>
      </c>
      <c r="H844" t="s">
        <v>2047</v>
      </c>
      <c r="I844">
        <v>2</v>
      </c>
      <c r="J844" t="s">
        <v>2237</v>
      </c>
      <c r="K844" s="1">
        <v>43831</v>
      </c>
      <c r="L844">
        <v>2020</v>
      </c>
      <c r="M844" t="s">
        <v>2045</v>
      </c>
    </row>
    <row r="845" spans="1:13" x14ac:dyDescent="0.3">
      <c r="A845">
        <v>843</v>
      </c>
      <c r="B845">
        <v>263</v>
      </c>
      <c r="C845" t="s">
        <v>2049</v>
      </c>
      <c r="D845" t="s">
        <v>2048</v>
      </c>
      <c r="E845" s="6" t="s">
        <v>2973</v>
      </c>
      <c r="F845" s="1">
        <v>43891</v>
      </c>
      <c r="G845">
        <v>978</v>
      </c>
      <c r="H845" t="s">
        <v>2055</v>
      </c>
      <c r="I845">
        <v>2</v>
      </c>
      <c r="J845" t="s">
        <v>2073</v>
      </c>
      <c r="K845" s="1">
        <v>43831</v>
      </c>
      <c r="L845">
        <v>2020</v>
      </c>
      <c r="M845" t="s">
        <v>2045</v>
      </c>
    </row>
    <row r="846" spans="1:13" x14ac:dyDescent="0.3">
      <c r="A846">
        <v>844</v>
      </c>
      <c r="B846">
        <v>319</v>
      </c>
      <c r="C846" t="s">
        <v>2049</v>
      </c>
      <c r="D846" t="s">
        <v>2070</v>
      </c>
      <c r="E846" s="6" t="s">
        <v>2969</v>
      </c>
      <c r="F846" s="1">
        <v>44593</v>
      </c>
      <c r="G846">
        <v>858</v>
      </c>
      <c r="H846" t="s">
        <v>2047</v>
      </c>
      <c r="I846">
        <v>1</v>
      </c>
      <c r="J846" t="s">
        <v>2794</v>
      </c>
      <c r="K846" s="1">
        <v>43831</v>
      </c>
      <c r="L846">
        <v>2020</v>
      </c>
      <c r="M846" t="s">
        <v>2045</v>
      </c>
    </row>
    <row r="847" spans="1:13" x14ac:dyDescent="0.3">
      <c r="A847">
        <v>845</v>
      </c>
      <c r="B847">
        <v>740</v>
      </c>
      <c r="C847" t="s">
        <v>2049</v>
      </c>
      <c r="D847" t="s">
        <v>2052</v>
      </c>
      <c r="E847" s="6" t="s">
        <v>2966</v>
      </c>
      <c r="F847" s="1">
        <v>44986</v>
      </c>
      <c r="G847">
        <v>189</v>
      </c>
      <c r="H847" t="s">
        <v>2047</v>
      </c>
      <c r="I847">
        <v>2</v>
      </c>
      <c r="J847" t="s">
        <v>2965</v>
      </c>
      <c r="K847" s="1">
        <v>43831</v>
      </c>
      <c r="L847">
        <v>2020</v>
      </c>
      <c r="M847" t="s">
        <v>2045</v>
      </c>
    </row>
    <row r="848" spans="1:13" x14ac:dyDescent="0.3">
      <c r="A848">
        <v>846</v>
      </c>
      <c r="B848">
        <v>965</v>
      </c>
      <c r="C848" t="s">
        <v>2049</v>
      </c>
      <c r="D848" t="s">
        <v>2052</v>
      </c>
      <c r="E848" s="6" t="s">
        <v>2964</v>
      </c>
      <c r="F848" s="1">
        <v>44531</v>
      </c>
      <c r="G848">
        <v>542</v>
      </c>
      <c r="H848" t="s">
        <v>2047</v>
      </c>
      <c r="I848">
        <v>2</v>
      </c>
      <c r="J848" t="s">
        <v>2963</v>
      </c>
      <c r="K848" s="1">
        <v>43831</v>
      </c>
      <c r="L848">
        <v>2020</v>
      </c>
      <c r="M848" t="s">
        <v>2045</v>
      </c>
    </row>
    <row r="849" spans="1:13" x14ac:dyDescent="0.3">
      <c r="A849">
        <v>847</v>
      </c>
      <c r="B849">
        <v>1663</v>
      </c>
      <c r="C849" t="s">
        <v>2049</v>
      </c>
      <c r="D849" t="s">
        <v>2052</v>
      </c>
      <c r="E849" s="6" t="s">
        <v>2956</v>
      </c>
      <c r="F849" s="1">
        <v>44409</v>
      </c>
      <c r="G849">
        <v>134</v>
      </c>
      <c r="H849" t="s">
        <v>2047</v>
      </c>
      <c r="I849">
        <v>2</v>
      </c>
      <c r="J849" t="s">
        <v>2955</v>
      </c>
      <c r="K849" s="1">
        <v>43831</v>
      </c>
      <c r="L849">
        <v>2020</v>
      </c>
      <c r="M849" t="s">
        <v>2045</v>
      </c>
    </row>
    <row r="850" spans="1:13" x14ac:dyDescent="0.3">
      <c r="A850">
        <v>848</v>
      </c>
      <c r="B850">
        <v>558</v>
      </c>
      <c r="C850" t="s">
        <v>2049</v>
      </c>
      <c r="D850" t="s">
        <v>2048</v>
      </c>
      <c r="E850" s="6" t="s">
        <v>2937</v>
      </c>
      <c r="F850" s="1">
        <v>44896</v>
      </c>
      <c r="G850">
        <v>400</v>
      </c>
      <c r="H850" t="s">
        <v>2047</v>
      </c>
      <c r="I850">
        <v>2</v>
      </c>
      <c r="J850" t="s">
        <v>2238</v>
      </c>
      <c r="K850" s="1">
        <v>43831</v>
      </c>
      <c r="L850">
        <v>2020</v>
      </c>
      <c r="M850" t="s">
        <v>2045</v>
      </c>
    </row>
    <row r="851" spans="1:13" x14ac:dyDescent="0.3">
      <c r="A851">
        <v>849</v>
      </c>
      <c r="B851">
        <v>1068</v>
      </c>
      <c r="C851" t="s">
        <v>2049</v>
      </c>
      <c r="D851" t="s">
        <v>2052</v>
      </c>
      <c r="E851" s="6" t="s">
        <v>2935</v>
      </c>
      <c r="F851" s="1">
        <v>45627</v>
      </c>
      <c r="G851">
        <v>50</v>
      </c>
      <c r="H851" t="s">
        <v>2047</v>
      </c>
      <c r="I851">
        <v>1</v>
      </c>
      <c r="J851" t="s">
        <v>2934</v>
      </c>
      <c r="K851" s="1">
        <v>43831</v>
      </c>
      <c r="L851">
        <v>2020</v>
      </c>
      <c r="M851" t="s">
        <v>2045</v>
      </c>
    </row>
    <row r="852" spans="1:13" x14ac:dyDescent="0.3">
      <c r="A852">
        <v>850</v>
      </c>
      <c r="B852">
        <v>600</v>
      </c>
      <c r="C852" t="s">
        <v>2049</v>
      </c>
      <c r="D852" t="s">
        <v>2052</v>
      </c>
      <c r="E852" s="6" t="s">
        <v>2927</v>
      </c>
      <c r="F852" s="1">
        <v>43922</v>
      </c>
      <c r="G852">
        <v>458</v>
      </c>
      <c r="H852" t="s">
        <v>2047</v>
      </c>
      <c r="I852">
        <v>1</v>
      </c>
      <c r="J852" t="s">
        <v>2926</v>
      </c>
      <c r="K852" s="1">
        <v>43831</v>
      </c>
      <c r="L852">
        <v>2020</v>
      </c>
      <c r="M852" t="s">
        <v>2045</v>
      </c>
    </row>
    <row r="853" spans="1:13" x14ac:dyDescent="0.3">
      <c r="A853">
        <v>851</v>
      </c>
      <c r="B853">
        <v>1093</v>
      </c>
      <c r="C853" t="s">
        <v>2049</v>
      </c>
      <c r="D853" t="s">
        <v>2048</v>
      </c>
      <c r="E853" s="6" t="s">
        <v>2922</v>
      </c>
      <c r="F853" s="1">
        <v>44440</v>
      </c>
      <c r="G853">
        <v>535</v>
      </c>
      <c r="H853" t="s">
        <v>2047</v>
      </c>
      <c r="I853">
        <v>1</v>
      </c>
      <c r="J853" t="s">
        <v>2251</v>
      </c>
      <c r="K853" s="1">
        <v>43831</v>
      </c>
      <c r="L853">
        <v>2020</v>
      </c>
      <c r="M853" t="s">
        <v>2045</v>
      </c>
    </row>
    <row r="854" spans="1:13" x14ac:dyDescent="0.3">
      <c r="A854">
        <v>852</v>
      </c>
      <c r="B854">
        <v>28</v>
      </c>
      <c r="C854" t="s">
        <v>2049</v>
      </c>
      <c r="D854" t="s">
        <v>2052</v>
      </c>
      <c r="E854" s="6" t="s">
        <v>2921</v>
      </c>
      <c r="F854" s="1">
        <v>45383</v>
      </c>
      <c r="G854">
        <v>263</v>
      </c>
      <c r="H854" t="s">
        <v>2047</v>
      </c>
      <c r="I854">
        <v>1</v>
      </c>
      <c r="J854" t="s">
        <v>2920</v>
      </c>
      <c r="K854" s="1">
        <v>43831</v>
      </c>
      <c r="L854">
        <v>2020</v>
      </c>
      <c r="M854" t="s">
        <v>2045</v>
      </c>
    </row>
    <row r="855" spans="1:13" x14ac:dyDescent="0.3">
      <c r="A855">
        <v>853</v>
      </c>
      <c r="B855">
        <v>188</v>
      </c>
      <c r="C855" t="s">
        <v>2049</v>
      </c>
      <c r="D855" t="s">
        <v>2070</v>
      </c>
      <c r="E855" s="6" t="s">
        <v>2916</v>
      </c>
      <c r="F855" s="1">
        <v>43831</v>
      </c>
      <c r="G855">
        <v>402</v>
      </c>
      <c r="H855" t="s">
        <v>2047</v>
      </c>
      <c r="I855">
        <v>1</v>
      </c>
      <c r="J855" t="s">
        <v>2185</v>
      </c>
      <c r="K855" s="1">
        <v>43831</v>
      </c>
      <c r="L855">
        <v>2020</v>
      </c>
      <c r="M855" t="s">
        <v>2045</v>
      </c>
    </row>
    <row r="856" spans="1:13" x14ac:dyDescent="0.3">
      <c r="A856">
        <v>854</v>
      </c>
      <c r="B856">
        <v>188</v>
      </c>
      <c r="C856" t="s">
        <v>2049</v>
      </c>
      <c r="D856" t="s">
        <v>2052</v>
      </c>
      <c r="E856" s="6" t="s">
        <v>2915</v>
      </c>
      <c r="F856" s="1">
        <v>43952</v>
      </c>
      <c r="G856">
        <v>701</v>
      </c>
      <c r="H856" t="s">
        <v>2047</v>
      </c>
      <c r="I856">
        <v>2</v>
      </c>
      <c r="J856" t="s">
        <v>2914</v>
      </c>
      <c r="K856" s="1">
        <v>43831</v>
      </c>
      <c r="L856">
        <v>2020</v>
      </c>
      <c r="M856" t="s">
        <v>2045</v>
      </c>
    </row>
    <row r="857" spans="1:13" x14ac:dyDescent="0.3">
      <c r="A857">
        <v>855</v>
      </c>
      <c r="B857">
        <v>1343</v>
      </c>
      <c r="C857" t="s">
        <v>2049</v>
      </c>
      <c r="D857" t="s">
        <v>2048</v>
      </c>
      <c r="E857" s="6" t="s">
        <v>2911</v>
      </c>
      <c r="F857" s="1">
        <v>44713</v>
      </c>
      <c r="G857">
        <v>576</v>
      </c>
      <c r="H857" t="s">
        <v>2047</v>
      </c>
      <c r="I857">
        <v>1</v>
      </c>
      <c r="J857" t="s">
        <v>2275</v>
      </c>
      <c r="K857" s="1">
        <v>43831</v>
      </c>
      <c r="L857">
        <v>2020</v>
      </c>
      <c r="M857" t="s">
        <v>2045</v>
      </c>
    </row>
    <row r="858" spans="1:13" x14ac:dyDescent="0.3">
      <c r="A858">
        <v>856</v>
      </c>
      <c r="B858">
        <v>1343</v>
      </c>
      <c r="C858" t="s">
        <v>2049</v>
      </c>
      <c r="D858" t="s">
        <v>2052</v>
      </c>
      <c r="E858" s="6" t="s">
        <v>2910</v>
      </c>
      <c r="F858" s="1">
        <v>44317</v>
      </c>
      <c r="G858">
        <v>833</v>
      </c>
      <c r="H858" t="s">
        <v>2047</v>
      </c>
      <c r="I858">
        <v>2</v>
      </c>
      <c r="J858" t="s">
        <v>2909</v>
      </c>
      <c r="K858" s="1">
        <v>43831</v>
      </c>
      <c r="L858">
        <v>2020</v>
      </c>
      <c r="M858" t="s">
        <v>2045</v>
      </c>
    </row>
    <row r="859" spans="1:13" x14ac:dyDescent="0.3">
      <c r="A859">
        <v>857</v>
      </c>
      <c r="B859">
        <v>1260</v>
      </c>
      <c r="C859" t="s">
        <v>2049</v>
      </c>
      <c r="D859" t="s">
        <v>2048</v>
      </c>
      <c r="E859" s="6" t="s">
        <v>2905</v>
      </c>
      <c r="F859" s="1">
        <v>44743</v>
      </c>
      <c r="G859">
        <v>312</v>
      </c>
      <c r="H859" t="s">
        <v>2047</v>
      </c>
      <c r="I859">
        <v>1</v>
      </c>
      <c r="J859" t="s">
        <v>2367</v>
      </c>
      <c r="K859" s="1">
        <v>43831</v>
      </c>
      <c r="L859">
        <v>2020</v>
      </c>
      <c r="M859" t="s">
        <v>2045</v>
      </c>
    </row>
    <row r="860" spans="1:13" x14ac:dyDescent="0.3">
      <c r="A860">
        <v>858</v>
      </c>
      <c r="B860">
        <v>88</v>
      </c>
      <c r="C860" t="s">
        <v>2049</v>
      </c>
      <c r="D860" t="s">
        <v>2048</v>
      </c>
      <c r="E860" s="6" t="s">
        <v>2902</v>
      </c>
      <c r="F860" s="1">
        <v>45383</v>
      </c>
      <c r="G860">
        <v>876</v>
      </c>
      <c r="H860" t="s">
        <v>2047</v>
      </c>
      <c r="I860">
        <v>1</v>
      </c>
      <c r="J860" t="s">
        <v>2509</v>
      </c>
      <c r="K860" s="1">
        <v>43831</v>
      </c>
      <c r="L860">
        <v>2020</v>
      </c>
      <c r="M860" t="s">
        <v>2045</v>
      </c>
    </row>
    <row r="861" spans="1:13" x14ac:dyDescent="0.3">
      <c r="A861">
        <v>859</v>
      </c>
      <c r="B861">
        <v>916</v>
      </c>
      <c r="C861" t="s">
        <v>2049</v>
      </c>
      <c r="D861" t="s">
        <v>2052</v>
      </c>
      <c r="E861" s="6" t="s">
        <v>2878</v>
      </c>
      <c r="F861" s="1">
        <v>44986</v>
      </c>
      <c r="G861">
        <v>320</v>
      </c>
      <c r="H861" t="s">
        <v>2047</v>
      </c>
      <c r="I861">
        <v>1</v>
      </c>
      <c r="J861" t="s">
        <v>2710</v>
      </c>
      <c r="K861" s="1">
        <v>43831</v>
      </c>
      <c r="L861">
        <v>2020</v>
      </c>
      <c r="M861" t="s">
        <v>2045</v>
      </c>
    </row>
    <row r="862" spans="1:13" x14ac:dyDescent="0.3">
      <c r="A862">
        <v>860</v>
      </c>
      <c r="B862">
        <v>916</v>
      </c>
      <c r="C862" t="s">
        <v>2049</v>
      </c>
      <c r="D862" t="s">
        <v>2052</v>
      </c>
      <c r="E862" s="6" t="s">
        <v>2877</v>
      </c>
      <c r="F862" s="1">
        <v>43952</v>
      </c>
      <c r="G862">
        <v>196</v>
      </c>
      <c r="H862" t="s">
        <v>2047</v>
      </c>
      <c r="I862">
        <v>1</v>
      </c>
      <c r="J862" t="s">
        <v>662</v>
      </c>
      <c r="K862" s="1">
        <v>43831</v>
      </c>
      <c r="L862">
        <v>2020</v>
      </c>
      <c r="M862" t="s">
        <v>2045</v>
      </c>
    </row>
    <row r="863" spans="1:13" x14ac:dyDescent="0.3">
      <c r="A863">
        <v>861</v>
      </c>
      <c r="B863">
        <v>969</v>
      </c>
      <c r="C863" t="s">
        <v>2049</v>
      </c>
      <c r="D863" t="s">
        <v>2052</v>
      </c>
      <c r="E863" s="6" t="s">
        <v>2864</v>
      </c>
      <c r="F863" s="1">
        <v>45383</v>
      </c>
      <c r="G863">
        <v>930</v>
      </c>
      <c r="H863" t="s">
        <v>2047</v>
      </c>
      <c r="I863">
        <v>2</v>
      </c>
      <c r="J863" t="s">
        <v>2863</v>
      </c>
      <c r="K863" s="1">
        <v>43831</v>
      </c>
      <c r="L863">
        <v>2020</v>
      </c>
      <c r="M863" t="s">
        <v>2045</v>
      </c>
    </row>
    <row r="864" spans="1:13" x14ac:dyDescent="0.3">
      <c r="A864">
        <v>862</v>
      </c>
      <c r="B864">
        <v>450</v>
      </c>
      <c r="C864" t="s">
        <v>2049</v>
      </c>
      <c r="D864" t="s">
        <v>2052</v>
      </c>
      <c r="E864" s="6" t="s">
        <v>2861</v>
      </c>
      <c r="F864" s="1">
        <v>45627</v>
      </c>
      <c r="G864">
        <v>403</v>
      </c>
      <c r="H864" t="s">
        <v>2047</v>
      </c>
      <c r="I864">
        <v>2</v>
      </c>
      <c r="J864" t="s">
        <v>895</v>
      </c>
      <c r="K864" s="1">
        <v>43831</v>
      </c>
      <c r="L864">
        <v>2020</v>
      </c>
      <c r="M864" t="s">
        <v>2045</v>
      </c>
    </row>
    <row r="865" spans="1:13" x14ac:dyDescent="0.3">
      <c r="A865">
        <v>863</v>
      </c>
      <c r="B865">
        <v>43</v>
      </c>
      <c r="C865" t="s">
        <v>2049</v>
      </c>
      <c r="D865" t="s">
        <v>2048</v>
      </c>
      <c r="E865" s="6" t="s">
        <v>2859</v>
      </c>
      <c r="F865" s="1">
        <v>44044</v>
      </c>
      <c r="G865">
        <v>561</v>
      </c>
      <c r="H865" t="s">
        <v>2055</v>
      </c>
      <c r="I865">
        <v>1</v>
      </c>
      <c r="J865" t="s">
        <v>2131</v>
      </c>
      <c r="K865" s="1">
        <v>43831</v>
      </c>
      <c r="L865">
        <v>2020</v>
      </c>
      <c r="M865" t="s">
        <v>2045</v>
      </c>
    </row>
    <row r="866" spans="1:13" x14ac:dyDescent="0.3">
      <c r="A866">
        <v>864</v>
      </c>
      <c r="B866">
        <v>1187</v>
      </c>
      <c r="C866" t="s">
        <v>2049</v>
      </c>
      <c r="D866" t="s">
        <v>2052</v>
      </c>
      <c r="E866" s="6" t="s">
        <v>2858</v>
      </c>
      <c r="F866" s="1">
        <v>44105</v>
      </c>
      <c r="G866">
        <v>188</v>
      </c>
      <c r="H866" t="s">
        <v>2047</v>
      </c>
      <c r="I866">
        <v>1</v>
      </c>
      <c r="J866" t="s">
        <v>2857</v>
      </c>
      <c r="K866" s="1">
        <v>43831</v>
      </c>
      <c r="L866">
        <v>2020</v>
      </c>
      <c r="M866" t="s">
        <v>2045</v>
      </c>
    </row>
    <row r="867" spans="1:13" x14ac:dyDescent="0.3">
      <c r="A867">
        <v>865</v>
      </c>
      <c r="B867">
        <v>1367</v>
      </c>
      <c r="C867" t="s">
        <v>2049</v>
      </c>
      <c r="D867" t="s">
        <v>2070</v>
      </c>
      <c r="E867" s="6" t="s">
        <v>2847</v>
      </c>
      <c r="F867" s="1">
        <v>44896</v>
      </c>
      <c r="G867">
        <v>435</v>
      </c>
      <c r="H867" t="s">
        <v>2047</v>
      </c>
      <c r="I867">
        <v>2</v>
      </c>
      <c r="J867" t="s">
        <v>2246</v>
      </c>
      <c r="K867" s="1">
        <v>43831</v>
      </c>
      <c r="L867">
        <v>2020</v>
      </c>
      <c r="M867" t="s">
        <v>2045</v>
      </c>
    </row>
    <row r="868" spans="1:13" x14ac:dyDescent="0.3">
      <c r="A868">
        <v>866</v>
      </c>
      <c r="B868">
        <v>170</v>
      </c>
      <c r="C868" t="s">
        <v>2049</v>
      </c>
      <c r="D868" t="s">
        <v>2052</v>
      </c>
      <c r="E868" s="6" t="s">
        <v>2840</v>
      </c>
      <c r="F868" s="1">
        <v>43862</v>
      </c>
      <c r="G868">
        <v>378</v>
      </c>
      <c r="H868" t="s">
        <v>2047</v>
      </c>
      <c r="I868">
        <v>1</v>
      </c>
      <c r="J868" t="s">
        <v>2519</v>
      </c>
      <c r="K868" s="1">
        <v>43831</v>
      </c>
      <c r="L868">
        <v>2020</v>
      </c>
      <c r="M868" t="s">
        <v>2045</v>
      </c>
    </row>
    <row r="869" spans="1:13" x14ac:dyDescent="0.3">
      <c r="A869">
        <v>867</v>
      </c>
      <c r="B869">
        <v>1892</v>
      </c>
      <c r="C869" t="s">
        <v>2049</v>
      </c>
      <c r="D869" t="s">
        <v>2052</v>
      </c>
      <c r="E869" s="6" t="s">
        <v>2834</v>
      </c>
      <c r="F869" s="1">
        <v>43983</v>
      </c>
      <c r="G869">
        <v>688</v>
      </c>
      <c r="H869" t="s">
        <v>2047</v>
      </c>
      <c r="I869">
        <v>1</v>
      </c>
      <c r="J869" t="s">
        <v>2833</v>
      </c>
      <c r="K869" s="1">
        <v>43831</v>
      </c>
      <c r="L869">
        <v>2020</v>
      </c>
      <c r="M869" t="s">
        <v>2045</v>
      </c>
    </row>
    <row r="870" spans="1:13" x14ac:dyDescent="0.3">
      <c r="A870">
        <v>868</v>
      </c>
      <c r="B870">
        <v>426</v>
      </c>
      <c r="C870" t="s">
        <v>2049</v>
      </c>
      <c r="D870" t="s">
        <v>2048</v>
      </c>
      <c r="E870" s="6" t="s">
        <v>2827</v>
      </c>
      <c r="F870" s="1">
        <v>43831</v>
      </c>
      <c r="G870">
        <v>709</v>
      </c>
      <c r="H870" t="s">
        <v>2047</v>
      </c>
      <c r="I870">
        <v>1</v>
      </c>
      <c r="J870" t="s">
        <v>1089</v>
      </c>
      <c r="K870" s="1">
        <v>43831</v>
      </c>
      <c r="L870">
        <v>2020</v>
      </c>
      <c r="M870" t="s">
        <v>2045</v>
      </c>
    </row>
    <row r="871" spans="1:13" x14ac:dyDescent="0.3">
      <c r="A871">
        <v>869</v>
      </c>
      <c r="B871">
        <v>426</v>
      </c>
      <c r="C871" t="s">
        <v>2049</v>
      </c>
      <c r="D871" t="s">
        <v>2052</v>
      </c>
      <c r="E871" s="6" t="s">
        <v>2826</v>
      </c>
      <c r="F871" s="1">
        <v>43862</v>
      </c>
      <c r="G871">
        <v>997</v>
      </c>
      <c r="H871" t="s">
        <v>2047</v>
      </c>
      <c r="I871">
        <v>1</v>
      </c>
      <c r="J871" t="s">
        <v>2825</v>
      </c>
      <c r="K871" s="1">
        <v>43831</v>
      </c>
      <c r="L871">
        <v>2020</v>
      </c>
      <c r="M871" t="s">
        <v>2045</v>
      </c>
    </row>
    <row r="872" spans="1:13" x14ac:dyDescent="0.3">
      <c r="A872">
        <v>870</v>
      </c>
      <c r="B872">
        <v>1135</v>
      </c>
      <c r="C872" t="s">
        <v>2049</v>
      </c>
      <c r="D872" t="s">
        <v>2052</v>
      </c>
      <c r="E872" s="6" t="s">
        <v>2822</v>
      </c>
      <c r="F872" s="1">
        <v>44713</v>
      </c>
      <c r="G872">
        <v>178</v>
      </c>
      <c r="H872" t="s">
        <v>2047</v>
      </c>
      <c r="I872">
        <v>1</v>
      </c>
      <c r="J872" t="s">
        <v>2821</v>
      </c>
      <c r="K872" s="1">
        <v>43831</v>
      </c>
      <c r="L872">
        <v>2020</v>
      </c>
      <c r="M872" t="s">
        <v>2045</v>
      </c>
    </row>
    <row r="873" spans="1:13" x14ac:dyDescent="0.3">
      <c r="A873">
        <v>871</v>
      </c>
      <c r="B873">
        <v>539</v>
      </c>
      <c r="C873" t="s">
        <v>2049</v>
      </c>
      <c r="D873" t="s">
        <v>2052</v>
      </c>
      <c r="E873" s="6" t="s">
        <v>2803</v>
      </c>
      <c r="F873" s="1">
        <v>43862</v>
      </c>
      <c r="G873">
        <v>721</v>
      </c>
      <c r="H873" t="s">
        <v>2047</v>
      </c>
      <c r="I873">
        <v>1</v>
      </c>
      <c r="J873" t="s">
        <v>2802</v>
      </c>
      <c r="K873" s="1">
        <v>43831</v>
      </c>
      <c r="L873">
        <v>2020</v>
      </c>
      <c r="M873" t="s">
        <v>2045</v>
      </c>
    </row>
    <row r="874" spans="1:13" x14ac:dyDescent="0.3">
      <c r="A874">
        <v>872</v>
      </c>
      <c r="B874">
        <v>239</v>
      </c>
      <c r="C874" t="s">
        <v>2049</v>
      </c>
      <c r="D874" t="s">
        <v>2052</v>
      </c>
      <c r="E874" s="6" t="s">
        <v>2790</v>
      </c>
      <c r="F874" s="1">
        <v>43862</v>
      </c>
      <c r="G874">
        <v>6</v>
      </c>
      <c r="H874" t="s">
        <v>2047</v>
      </c>
      <c r="I874">
        <v>2</v>
      </c>
      <c r="J874" t="s">
        <v>2789</v>
      </c>
      <c r="K874" s="1">
        <v>43831</v>
      </c>
      <c r="L874">
        <v>2020</v>
      </c>
      <c r="M874" t="s">
        <v>2045</v>
      </c>
    </row>
    <row r="875" spans="1:13" x14ac:dyDescent="0.3">
      <c r="A875">
        <v>873</v>
      </c>
      <c r="B875">
        <v>893</v>
      </c>
      <c r="C875" t="s">
        <v>2049</v>
      </c>
      <c r="D875" t="s">
        <v>2070</v>
      </c>
      <c r="E875" s="6" t="s">
        <v>2781</v>
      </c>
      <c r="F875" s="1">
        <v>44440</v>
      </c>
      <c r="G875">
        <v>874</v>
      </c>
      <c r="H875" t="s">
        <v>2047</v>
      </c>
      <c r="I875">
        <v>1</v>
      </c>
      <c r="J875" t="s">
        <v>2190</v>
      </c>
      <c r="K875" s="1">
        <v>43831</v>
      </c>
      <c r="L875">
        <v>2020</v>
      </c>
      <c r="M875" t="s">
        <v>2045</v>
      </c>
    </row>
    <row r="876" spans="1:13" x14ac:dyDescent="0.3">
      <c r="A876">
        <v>874</v>
      </c>
      <c r="B876">
        <v>67</v>
      </c>
      <c r="C876" t="s">
        <v>2049</v>
      </c>
      <c r="D876" t="s">
        <v>2048</v>
      </c>
      <c r="E876" s="6" t="s">
        <v>2775</v>
      </c>
      <c r="F876" s="1">
        <v>44713</v>
      </c>
      <c r="G876">
        <v>889</v>
      </c>
      <c r="H876" t="s">
        <v>2047</v>
      </c>
      <c r="I876">
        <v>2</v>
      </c>
      <c r="J876" t="s">
        <v>2153</v>
      </c>
      <c r="K876" s="1">
        <v>43831</v>
      </c>
      <c r="L876">
        <v>2020</v>
      </c>
      <c r="M876" t="s">
        <v>2045</v>
      </c>
    </row>
    <row r="877" spans="1:13" x14ac:dyDescent="0.3">
      <c r="A877">
        <v>875</v>
      </c>
      <c r="B877">
        <v>1205</v>
      </c>
      <c r="C877" t="s">
        <v>2049</v>
      </c>
      <c r="D877" t="s">
        <v>2048</v>
      </c>
      <c r="E877" s="6" t="s">
        <v>2769</v>
      </c>
      <c r="F877" s="1">
        <v>44986</v>
      </c>
      <c r="G877">
        <v>740</v>
      </c>
      <c r="H877" t="s">
        <v>2055</v>
      </c>
      <c r="I877">
        <v>2</v>
      </c>
      <c r="J877" t="s">
        <v>2449</v>
      </c>
      <c r="K877" s="1">
        <v>43831</v>
      </c>
      <c r="L877">
        <v>2020</v>
      </c>
      <c r="M877" t="s">
        <v>2045</v>
      </c>
    </row>
    <row r="878" spans="1:13" x14ac:dyDescent="0.3">
      <c r="A878">
        <v>876</v>
      </c>
      <c r="B878">
        <v>626</v>
      </c>
      <c r="C878" t="s">
        <v>2049</v>
      </c>
      <c r="D878" t="s">
        <v>2052</v>
      </c>
      <c r="E878" s="6" t="s">
        <v>2767</v>
      </c>
      <c r="F878" s="1">
        <v>43831</v>
      </c>
      <c r="G878">
        <v>756</v>
      </c>
      <c r="H878" t="s">
        <v>2047</v>
      </c>
      <c r="I878">
        <v>2</v>
      </c>
      <c r="J878" t="s">
        <v>2766</v>
      </c>
      <c r="K878" s="1">
        <v>43831</v>
      </c>
      <c r="L878">
        <v>2020</v>
      </c>
      <c r="M878" t="s">
        <v>2045</v>
      </c>
    </row>
    <row r="879" spans="1:13" x14ac:dyDescent="0.3">
      <c r="A879">
        <v>877</v>
      </c>
      <c r="B879">
        <v>594</v>
      </c>
      <c r="C879" t="s">
        <v>2049</v>
      </c>
      <c r="D879" t="s">
        <v>2052</v>
      </c>
      <c r="E879" s="6" t="s">
        <v>2762</v>
      </c>
      <c r="F879" s="1">
        <v>44682</v>
      </c>
      <c r="G879">
        <v>44</v>
      </c>
      <c r="H879" t="s">
        <v>2047</v>
      </c>
      <c r="I879">
        <v>1</v>
      </c>
      <c r="J879" t="s">
        <v>2761</v>
      </c>
      <c r="K879" s="1">
        <v>43831</v>
      </c>
      <c r="L879">
        <v>2020</v>
      </c>
      <c r="M879" t="s">
        <v>2045</v>
      </c>
    </row>
    <row r="880" spans="1:13" x14ac:dyDescent="0.3">
      <c r="A880">
        <v>878</v>
      </c>
      <c r="B880">
        <v>923</v>
      </c>
      <c r="C880" t="s">
        <v>2049</v>
      </c>
      <c r="D880" t="s">
        <v>2048</v>
      </c>
      <c r="E880" s="6" t="s">
        <v>2757</v>
      </c>
      <c r="F880" s="1">
        <v>44958</v>
      </c>
      <c r="G880">
        <v>394</v>
      </c>
      <c r="H880" t="s">
        <v>2047</v>
      </c>
      <c r="I880">
        <v>1</v>
      </c>
      <c r="J880" t="s">
        <v>2160</v>
      </c>
      <c r="K880" s="1">
        <v>43831</v>
      </c>
      <c r="L880">
        <v>2020</v>
      </c>
      <c r="M880" t="s">
        <v>2045</v>
      </c>
    </row>
    <row r="881" spans="1:13" x14ac:dyDescent="0.3">
      <c r="A881">
        <v>879</v>
      </c>
      <c r="B881">
        <v>405</v>
      </c>
      <c r="C881" t="s">
        <v>2049</v>
      </c>
      <c r="D881" t="s">
        <v>2052</v>
      </c>
      <c r="E881" s="6" t="s">
        <v>2754</v>
      </c>
      <c r="F881" s="1">
        <v>45536</v>
      </c>
      <c r="G881">
        <v>337</v>
      </c>
      <c r="H881" t="s">
        <v>2047</v>
      </c>
      <c r="I881">
        <v>2</v>
      </c>
      <c r="J881" t="s">
        <v>2753</v>
      </c>
      <c r="K881" s="1">
        <v>43831</v>
      </c>
      <c r="L881">
        <v>2020</v>
      </c>
      <c r="M881" t="s">
        <v>2045</v>
      </c>
    </row>
    <row r="882" spans="1:13" x14ac:dyDescent="0.3">
      <c r="A882">
        <v>880</v>
      </c>
      <c r="B882">
        <v>1868</v>
      </c>
      <c r="C882" t="s">
        <v>2049</v>
      </c>
      <c r="D882" t="s">
        <v>2052</v>
      </c>
      <c r="E882" s="6" t="s">
        <v>2749</v>
      </c>
      <c r="F882" s="1">
        <v>45536</v>
      </c>
      <c r="G882">
        <v>800</v>
      </c>
      <c r="H882" t="s">
        <v>2047</v>
      </c>
      <c r="I882">
        <v>1</v>
      </c>
      <c r="J882" t="s">
        <v>2748</v>
      </c>
      <c r="K882" s="1">
        <v>43831</v>
      </c>
      <c r="L882">
        <v>2020</v>
      </c>
      <c r="M882" t="s">
        <v>2045</v>
      </c>
    </row>
    <row r="883" spans="1:13" x14ac:dyDescent="0.3">
      <c r="A883">
        <v>881</v>
      </c>
      <c r="B883">
        <v>1869</v>
      </c>
      <c r="C883" t="s">
        <v>2049</v>
      </c>
      <c r="D883" t="s">
        <v>2052</v>
      </c>
      <c r="E883" s="6" t="s">
        <v>2741</v>
      </c>
      <c r="F883" s="1">
        <v>43831</v>
      </c>
      <c r="G883">
        <v>780</v>
      </c>
      <c r="H883" t="s">
        <v>2047</v>
      </c>
      <c r="I883">
        <v>2</v>
      </c>
      <c r="J883" t="s">
        <v>2740</v>
      </c>
      <c r="K883" s="1">
        <v>43831</v>
      </c>
      <c r="L883">
        <v>2020</v>
      </c>
      <c r="M883" t="s">
        <v>2045</v>
      </c>
    </row>
    <row r="884" spans="1:13" x14ac:dyDescent="0.3">
      <c r="A884">
        <v>882</v>
      </c>
      <c r="B884">
        <v>938</v>
      </c>
      <c r="C884" t="s">
        <v>2049</v>
      </c>
      <c r="D884" t="s">
        <v>2070</v>
      </c>
      <c r="E884" s="6" t="s">
        <v>2738</v>
      </c>
      <c r="F884" s="1">
        <v>45078</v>
      </c>
      <c r="G884">
        <v>993</v>
      </c>
      <c r="H884" t="s">
        <v>2047</v>
      </c>
      <c r="I884">
        <v>2</v>
      </c>
      <c r="J884" t="s">
        <v>2737</v>
      </c>
      <c r="K884" s="1">
        <v>43831</v>
      </c>
      <c r="L884">
        <v>2020</v>
      </c>
      <c r="M884" t="s">
        <v>2045</v>
      </c>
    </row>
    <row r="885" spans="1:13" x14ac:dyDescent="0.3">
      <c r="A885">
        <v>883</v>
      </c>
      <c r="B885">
        <v>58</v>
      </c>
      <c r="C885" t="s">
        <v>2049</v>
      </c>
      <c r="D885" t="s">
        <v>2052</v>
      </c>
      <c r="E885" s="6" t="s">
        <v>2733</v>
      </c>
      <c r="F885" s="1">
        <v>45627</v>
      </c>
      <c r="G885">
        <v>524</v>
      </c>
      <c r="H885" t="s">
        <v>2047</v>
      </c>
      <c r="I885">
        <v>1</v>
      </c>
      <c r="J885" t="s">
        <v>2732</v>
      </c>
      <c r="K885" s="1">
        <v>43831</v>
      </c>
      <c r="L885">
        <v>2020</v>
      </c>
      <c r="M885" t="s">
        <v>2045</v>
      </c>
    </row>
    <row r="886" spans="1:13" x14ac:dyDescent="0.3">
      <c r="A886">
        <v>884</v>
      </c>
      <c r="B886">
        <v>960</v>
      </c>
      <c r="C886" t="s">
        <v>2049</v>
      </c>
      <c r="D886" t="s">
        <v>2048</v>
      </c>
      <c r="E886" s="6" t="s">
        <v>2723</v>
      </c>
      <c r="F886" s="1">
        <v>43862</v>
      </c>
      <c r="G886">
        <v>760</v>
      </c>
      <c r="H886" t="s">
        <v>2047</v>
      </c>
      <c r="I886">
        <v>1</v>
      </c>
      <c r="J886" t="s">
        <v>2110</v>
      </c>
      <c r="K886" s="1">
        <v>43831</v>
      </c>
      <c r="L886">
        <v>2020</v>
      </c>
      <c r="M886" t="s">
        <v>2045</v>
      </c>
    </row>
    <row r="887" spans="1:13" x14ac:dyDescent="0.3">
      <c r="A887">
        <v>885</v>
      </c>
      <c r="B887">
        <v>434</v>
      </c>
      <c r="C887" t="s">
        <v>2049</v>
      </c>
      <c r="D887" t="s">
        <v>2052</v>
      </c>
      <c r="E887" s="6" t="s">
        <v>2717</v>
      </c>
      <c r="F887" s="1">
        <v>44652</v>
      </c>
      <c r="G887">
        <v>423</v>
      </c>
      <c r="H887" t="s">
        <v>2047</v>
      </c>
      <c r="I887">
        <v>2</v>
      </c>
      <c r="J887" t="s">
        <v>63</v>
      </c>
      <c r="K887" s="1">
        <v>43831</v>
      </c>
      <c r="L887">
        <v>2020</v>
      </c>
      <c r="M887" t="s">
        <v>2045</v>
      </c>
    </row>
    <row r="888" spans="1:13" x14ac:dyDescent="0.3">
      <c r="A888">
        <v>886</v>
      </c>
      <c r="B888">
        <v>434</v>
      </c>
      <c r="C888" t="s">
        <v>2049</v>
      </c>
      <c r="D888" t="s">
        <v>2052</v>
      </c>
      <c r="E888" s="6" t="s">
        <v>2716</v>
      </c>
      <c r="F888" s="1">
        <v>43862</v>
      </c>
      <c r="G888">
        <v>142</v>
      </c>
      <c r="H888" t="s">
        <v>2047</v>
      </c>
      <c r="I888">
        <v>1</v>
      </c>
      <c r="J888" t="s">
        <v>2715</v>
      </c>
      <c r="K888" s="1">
        <v>43831</v>
      </c>
      <c r="L888">
        <v>2020</v>
      </c>
      <c r="M888" t="s">
        <v>2045</v>
      </c>
    </row>
    <row r="889" spans="1:13" x14ac:dyDescent="0.3">
      <c r="A889">
        <v>887</v>
      </c>
      <c r="B889">
        <v>717</v>
      </c>
      <c r="C889" t="s">
        <v>2049</v>
      </c>
      <c r="D889" t="s">
        <v>2070</v>
      </c>
      <c r="E889" s="6" t="s">
        <v>2694</v>
      </c>
      <c r="F889" s="1">
        <v>44713</v>
      </c>
      <c r="G889">
        <v>651</v>
      </c>
      <c r="H889" t="s">
        <v>2047</v>
      </c>
      <c r="I889">
        <v>2</v>
      </c>
      <c r="J889" t="s">
        <v>2090</v>
      </c>
      <c r="K889" s="1">
        <v>43831</v>
      </c>
      <c r="L889">
        <v>2020</v>
      </c>
      <c r="M889" t="s">
        <v>2045</v>
      </c>
    </row>
    <row r="890" spans="1:13" x14ac:dyDescent="0.3">
      <c r="A890">
        <v>888</v>
      </c>
      <c r="B890">
        <v>1036</v>
      </c>
      <c r="C890" t="s">
        <v>2049</v>
      </c>
      <c r="D890" t="s">
        <v>2052</v>
      </c>
      <c r="E890" s="6" t="s">
        <v>2685</v>
      </c>
      <c r="F890" s="1">
        <v>44835</v>
      </c>
      <c r="G890">
        <v>165</v>
      </c>
      <c r="H890" t="s">
        <v>2047</v>
      </c>
      <c r="I890">
        <v>1</v>
      </c>
      <c r="J890" t="s">
        <v>2684</v>
      </c>
      <c r="K890" s="1">
        <v>43831</v>
      </c>
      <c r="L890">
        <v>2020</v>
      </c>
      <c r="M890" t="s">
        <v>2045</v>
      </c>
    </row>
    <row r="891" spans="1:13" x14ac:dyDescent="0.3">
      <c r="A891">
        <v>889</v>
      </c>
      <c r="B891">
        <v>1392</v>
      </c>
      <c r="C891" t="s">
        <v>2049</v>
      </c>
      <c r="D891" t="s">
        <v>2052</v>
      </c>
      <c r="E891" s="6" t="s">
        <v>2673</v>
      </c>
      <c r="F891" s="1">
        <v>45078</v>
      </c>
      <c r="G891">
        <v>288</v>
      </c>
      <c r="H891" t="s">
        <v>2047</v>
      </c>
      <c r="I891">
        <v>2</v>
      </c>
      <c r="J891" t="s">
        <v>2672</v>
      </c>
      <c r="K891" s="1">
        <v>43831</v>
      </c>
      <c r="L891">
        <v>2020</v>
      </c>
      <c r="M891" t="s">
        <v>2045</v>
      </c>
    </row>
    <row r="892" spans="1:13" x14ac:dyDescent="0.3">
      <c r="A892">
        <v>890</v>
      </c>
      <c r="B892">
        <v>700</v>
      </c>
      <c r="C892" t="s">
        <v>2049</v>
      </c>
      <c r="D892" t="s">
        <v>2070</v>
      </c>
      <c r="E892" s="6" t="s">
        <v>2657</v>
      </c>
      <c r="F892" s="1">
        <v>44105</v>
      </c>
      <c r="G892">
        <v>374</v>
      </c>
      <c r="H892" t="s">
        <v>2047</v>
      </c>
      <c r="I892">
        <v>2</v>
      </c>
      <c r="J892" t="s">
        <v>2651</v>
      </c>
      <c r="K892" s="1">
        <v>43831</v>
      </c>
      <c r="L892">
        <v>2020</v>
      </c>
      <c r="M892" t="s">
        <v>2045</v>
      </c>
    </row>
    <row r="893" spans="1:13" x14ac:dyDescent="0.3">
      <c r="A893">
        <v>891</v>
      </c>
      <c r="B893">
        <v>1363</v>
      </c>
      <c r="C893" t="s">
        <v>2049</v>
      </c>
      <c r="D893" t="s">
        <v>2052</v>
      </c>
      <c r="E893" s="6" t="s">
        <v>2656</v>
      </c>
      <c r="F893" s="1">
        <v>43831</v>
      </c>
      <c r="G893">
        <v>404</v>
      </c>
      <c r="H893" t="s">
        <v>2047</v>
      </c>
      <c r="I893">
        <v>2</v>
      </c>
      <c r="J893" t="s">
        <v>2655</v>
      </c>
      <c r="K893" s="1">
        <v>43831</v>
      </c>
      <c r="L893">
        <v>2020</v>
      </c>
      <c r="M893" t="s">
        <v>2045</v>
      </c>
    </row>
    <row r="894" spans="1:13" x14ac:dyDescent="0.3">
      <c r="A894">
        <v>892</v>
      </c>
      <c r="B894">
        <v>935</v>
      </c>
      <c r="C894" t="s">
        <v>2049</v>
      </c>
      <c r="D894" t="s">
        <v>2052</v>
      </c>
      <c r="E894" s="6" t="s">
        <v>2648</v>
      </c>
      <c r="F894" s="1">
        <v>44075</v>
      </c>
      <c r="G894">
        <v>547</v>
      </c>
      <c r="H894" t="s">
        <v>2055</v>
      </c>
      <c r="I894">
        <v>1</v>
      </c>
      <c r="J894" t="s">
        <v>2647</v>
      </c>
      <c r="K894" s="1">
        <v>43831</v>
      </c>
      <c r="L894">
        <v>2020</v>
      </c>
      <c r="M894" t="s">
        <v>2045</v>
      </c>
    </row>
    <row r="895" spans="1:13" x14ac:dyDescent="0.3">
      <c r="A895">
        <v>893</v>
      </c>
      <c r="B895">
        <v>413</v>
      </c>
      <c r="C895" t="s">
        <v>2049</v>
      </c>
      <c r="D895" t="s">
        <v>2048</v>
      </c>
      <c r="E895" s="6" t="s">
        <v>2645</v>
      </c>
      <c r="F895" s="1">
        <v>44166</v>
      </c>
      <c r="G895">
        <v>4</v>
      </c>
      <c r="H895" t="s">
        <v>2047</v>
      </c>
      <c r="I895">
        <v>1</v>
      </c>
      <c r="J895" t="s">
        <v>2166</v>
      </c>
      <c r="K895" s="1">
        <v>43831</v>
      </c>
      <c r="L895">
        <v>2020</v>
      </c>
      <c r="M895" t="s">
        <v>2045</v>
      </c>
    </row>
    <row r="896" spans="1:13" x14ac:dyDescent="0.3">
      <c r="A896">
        <v>894</v>
      </c>
      <c r="B896">
        <v>531</v>
      </c>
      <c r="C896" t="s">
        <v>2049</v>
      </c>
      <c r="D896" t="s">
        <v>2052</v>
      </c>
      <c r="E896" s="6" t="s">
        <v>2632</v>
      </c>
      <c r="F896" s="1">
        <v>44013</v>
      </c>
      <c r="G896">
        <v>959</v>
      </c>
      <c r="H896" t="s">
        <v>2047</v>
      </c>
      <c r="I896">
        <v>1</v>
      </c>
      <c r="J896" t="s">
        <v>2631</v>
      </c>
      <c r="K896" s="1">
        <v>43831</v>
      </c>
      <c r="L896">
        <v>2020</v>
      </c>
      <c r="M896" t="s">
        <v>2045</v>
      </c>
    </row>
    <row r="897" spans="1:13" x14ac:dyDescent="0.3">
      <c r="A897">
        <v>895</v>
      </c>
      <c r="B897">
        <v>1458</v>
      </c>
      <c r="C897" t="s">
        <v>2049</v>
      </c>
      <c r="D897" t="s">
        <v>2048</v>
      </c>
      <c r="E897" s="6" t="s">
        <v>2627</v>
      </c>
      <c r="F897" s="1">
        <v>44013</v>
      </c>
      <c r="G897">
        <v>265</v>
      </c>
      <c r="H897" t="s">
        <v>2047</v>
      </c>
      <c r="I897">
        <v>2</v>
      </c>
      <c r="J897" t="s">
        <v>2273</v>
      </c>
      <c r="K897" s="1">
        <v>43831</v>
      </c>
      <c r="L897">
        <v>2020</v>
      </c>
      <c r="M897" t="s">
        <v>2045</v>
      </c>
    </row>
    <row r="898" spans="1:13" x14ac:dyDescent="0.3">
      <c r="A898">
        <v>896</v>
      </c>
      <c r="B898">
        <v>1857</v>
      </c>
      <c r="C898" t="s">
        <v>2049</v>
      </c>
      <c r="D898" t="s">
        <v>2052</v>
      </c>
      <c r="E898" s="6" t="s">
        <v>2625</v>
      </c>
      <c r="F898" s="1">
        <v>44228</v>
      </c>
      <c r="G898">
        <v>414</v>
      </c>
      <c r="H898" t="s">
        <v>2047</v>
      </c>
      <c r="I898">
        <v>1</v>
      </c>
      <c r="J898" t="s">
        <v>2624</v>
      </c>
      <c r="K898" s="1">
        <v>43831</v>
      </c>
      <c r="L898">
        <v>2020</v>
      </c>
      <c r="M898" t="s">
        <v>2045</v>
      </c>
    </row>
    <row r="899" spans="1:13" x14ac:dyDescent="0.3">
      <c r="A899">
        <v>897</v>
      </c>
      <c r="B899">
        <v>1767</v>
      </c>
      <c r="C899" t="s">
        <v>2049</v>
      </c>
      <c r="D899" t="s">
        <v>2052</v>
      </c>
      <c r="E899" s="6" t="s">
        <v>2619</v>
      </c>
      <c r="F899" s="1">
        <v>45352</v>
      </c>
      <c r="G899">
        <v>939</v>
      </c>
      <c r="H899" t="s">
        <v>2047</v>
      </c>
      <c r="I899">
        <v>1</v>
      </c>
      <c r="J899" t="s">
        <v>2618</v>
      </c>
      <c r="K899" s="1">
        <v>43831</v>
      </c>
      <c r="L899">
        <v>2020</v>
      </c>
      <c r="M899" t="s">
        <v>2045</v>
      </c>
    </row>
    <row r="900" spans="1:13" x14ac:dyDescent="0.3">
      <c r="A900">
        <v>898</v>
      </c>
      <c r="B900">
        <v>1767</v>
      </c>
      <c r="C900" t="s">
        <v>2049</v>
      </c>
      <c r="D900" t="s">
        <v>2070</v>
      </c>
      <c r="E900" s="6" t="s">
        <v>2617</v>
      </c>
      <c r="F900" s="1">
        <v>44166</v>
      </c>
      <c r="G900">
        <v>474</v>
      </c>
      <c r="H900" t="s">
        <v>2047</v>
      </c>
      <c r="I900">
        <v>3</v>
      </c>
      <c r="J900" t="s">
        <v>1099</v>
      </c>
      <c r="K900" s="1">
        <v>43831</v>
      </c>
      <c r="L900">
        <v>2020</v>
      </c>
      <c r="M900" t="s">
        <v>2045</v>
      </c>
    </row>
    <row r="901" spans="1:13" x14ac:dyDescent="0.3">
      <c r="A901">
        <v>899</v>
      </c>
      <c r="B901">
        <v>1423</v>
      </c>
      <c r="C901" t="s">
        <v>2049</v>
      </c>
      <c r="D901" t="s">
        <v>2048</v>
      </c>
      <c r="E901" s="6" t="s">
        <v>2612</v>
      </c>
      <c r="F901" s="1">
        <v>45292</v>
      </c>
      <c r="G901">
        <v>450</v>
      </c>
      <c r="H901" t="s">
        <v>2047</v>
      </c>
      <c r="I901">
        <v>2</v>
      </c>
      <c r="J901" t="s">
        <v>2611</v>
      </c>
      <c r="K901" s="1">
        <v>43831</v>
      </c>
      <c r="L901">
        <v>2020</v>
      </c>
      <c r="M901" t="s">
        <v>2045</v>
      </c>
    </row>
    <row r="902" spans="1:13" x14ac:dyDescent="0.3">
      <c r="A902">
        <v>900</v>
      </c>
      <c r="B902">
        <v>500</v>
      </c>
      <c r="C902" t="s">
        <v>2049</v>
      </c>
      <c r="D902" t="s">
        <v>2052</v>
      </c>
      <c r="E902" s="6" t="s">
        <v>2610</v>
      </c>
      <c r="F902" s="1">
        <v>45536</v>
      </c>
      <c r="G902">
        <v>45</v>
      </c>
      <c r="H902" t="s">
        <v>2047</v>
      </c>
      <c r="I902">
        <v>1</v>
      </c>
      <c r="J902" t="s">
        <v>2609</v>
      </c>
      <c r="K902" s="1">
        <v>43831</v>
      </c>
      <c r="L902">
        <v>2020</v>
      </c>
      <c r="M902" t="s">
        <v>2045</v>
      </c>
    </row>
    <row r="903" spans="1:13" x14ac:dyDescent="0.3">
      <c r="A903">
        <v>901</v>
      </c>
      <c r="B903">
        <v>500</v>
      </c>
      <c r="C903" t="s">
        <v>2049</v>
      </c>
      <c r="D903" t="s">
        <v>2052</v>
      </c>
      <c r="E903" s="6" t="s">
        <v>2608</v>
      </c>
      <c r="F903" s="1">
        <v>43891</v>
      </c>
      <c r="G903">
        <v>501</v>
      </c>
      <c r="H903" t="s">
        <v>2047</v>
      </c>
      <c r="I903">
        <v>1</v>
      </c>
      <c r="J903" t="s">
        <v>2607</v>
      </c>
      <c r="K903" s="1">
        <v>43831</v>
      </c>
      <c r="L903">
        <v>2020</v>
      </c>
      <c r="M903" t="s">
        <v>2045</v>
      </c>
    </row>
    <row r="904" spans="1:13" x14ac:dyDescent="0.3">
      <c r="A904">
        <v>902</v>
      </c>
      <c r="B904">
        <v>1249</v>
      </c>
      <c r="C904" t="s">
        <v>2049</v>
      </c>
      <c r="D904" t="s">
        <v>2048</v>
      </c>
      <c r="E904" s="6" t="s">
        <v>2596</v>
      </c>
      <c r="F904" s="1">
        <v>43862</v>
      </c>
      <c r="G904">
        <v>7</v>
      </c>
      <c r="H904" t="s">
        <v>2047</v>
      </c>
      <c r="I904">
        <v>2</v>
      </c>
      <c r="J904" t="s">
        <v>2275</v>
      </c>
      <c r="K904" s="1">
        <v>43831</v>
      </c>
      <c r="L904">
        <v>2020</v>
      </c>
      <c r="M904" t="s">
        <v>2045</v>
      </c>
    </row>
    <row r="905" spans="1:13" x14ac:dyDescent="0.3">
      <c r="A905">
        <v>903</v>
      </c>
      <c r="B905">
        <v>1632</v>
      </c>
      <c r="C905" t="s">
        <v>2049</v>
      </c>
      <c r="D905" t="s">
        <v>2052</v>
      </c>
      <c r="E905" s="6" t="s">
        <v>2589</v>
      </c>
      <c r="F905" s="1">
        <v>43831</v>
      </c>
      <c r="G905">
        <v>884</v>
      </c>
      <c r="H905" t="s">
        <v>2047</v>
      </c>
      <c r="I905">
        <v>1</v>
      </c>
      <c r="J905" t="s">
        <v>2588</v>
      </c>
      <c r="K905" s="1">
        <v>43831</v>
      </c>
      <c r="L905">
        <v>2020</v>
      </c>
      <c r="M905" t="s">
        <v>2045</v>
      </c>
    </row>
    <row r="906" spans="1:13" x14ac:dyDescent="0.3">
      <c r="A906">
        <v>904</v>
      </c>
      <c r="B906">
        <v>1632</v>
      </c>
      <c r="C906" t="s">
        <v>2049</v>
      </c>
      <c r="D906" t="s">
        <v>2052</v>
      </c>
      <c r="E906" s="6" t="s">
        <v>2587</v>
      </c>
      <c r="F906" s="1">
        <v>45413</v>
      </c>
      <c r="G906">
        <v>812</v>
      </c>
      <c r="H906" t="s">
        <v>2055</v>
      </c>
      <c r="I906">
        <v>1</v>
      </c>
      <c r="J906" t="s">
        <v>2586</v>
      </c>
      <c r="K906" s="1">
        <v>43831</v>
      </c>
      <c r="L906">
        <v>2020</v>
      </c>
      <c r="M906" t="s">
        <v>2045</v>
      </c>
    </row>
    <row r="907" spans="1:13" x14ac:dyDescent="0.3">
      <c r="A907">
        <v>905</v>
      </c>
      <c r="B907">
        <v>1224</v>
      </c>
      <c r="C907" t="s">
        <v>2049</v>
      </c>
      <c r="D907" t="s">
        <v>2048</v>
      </c>
      <c r="E907" s="6" t="s">
        <v>2585</v>
      </c>
      <c r="F907" s="1">
        <v>45566</v>
      </c>
      <c r="G907">
        <v>933</v>
      </c>
      <c r="H907" t="s">
        <v>2047</v>
      </c>
      <c r="I907">
        <v>1</v>
      </c>
      <c r="J907" t="s">
        <v>22</v>
      </c>
      <c r="K907" s="1">
        <v>43831</v>
      </c>
      <c r="L907">
        <v>2020</v>
      </c>
      <c r="M907" t="s">
        <v>2045</v>
      </c>
    </row>
    <row r="908" spans="1:13" x14ac:dyDescent="0.3">
      <c r="A908">
        <v>906</v>
      </c>
      <c r="B908">
        <v>1025</v>
      </c>
      <c r="C908" t="s">
        <v>2049</v>
      </c>
      <c r="D908" t="s">
        <v>2048</v>
      </c>
      <c r="E908" s="6" t="s">
        <v>2581</v>
      </c>
      <c r="F908" s="1">
        <v>44440</v>
      </c>
      <c r="G908">
        <v>146</v>
      </c>
      <c r="H908" t="s">
        <v>2047</v>
      </c>
      <c r="I908">
        <v>1</v>
      </c>
      <c r="J908" t="s">
        <v>2102</v>
      </c>
      <c r="K908" s="1">
        <v>43831</v>
      </c>
      <c r="L908">
        <v>2020</v>
      </c>
      <c r="M908" t="s">
        <v>2045</v>
      </c>
    </row>
    <row r="909" spans="1:13" x14ac:dyDescent="0.3">
      <c r="A909">
        <v>907</v>
      </c>
      <c r="B909">
        <v>86</v>
      </c>
      <c r="C909" t="s">
        <v>2049</v>
      </c>
      <c r="D909" t="s">
        <v>2052</v>
      </c>
      <c r="E909" s="6" t="s">
        <v>2579</v>
      </c>
      <c r="F909" s="1">
        <v>44013</v>
      </c>
      <c r="G909">
        <v>972</v>
      </c>
      <c r="H909" t="s">
        <v>2047</v>
      </c>
      <c r="I909">
        <v>2</v>
      </c>
      <c r="J909" t="s">
        <v>2578</v>
      </c>
      <c r="K909" s="1">
        <v>43831</v>
      </c>
      <c r="L909">
        <v>2020</v>
      </c>
      <c r="M909" t="s">
        <v>2045</v>
      </c>
    </row>
    <row r="910" spans="1:13" x14ac:dyDescent="0.3">
      <c r="A910">
        <v>908</v>
      </c>
      <c r="B910">
        <v>212</v>
      </c>
      <c r="C910" t="s">
        <v>2049</v>
      </c>
      <c r="D910" t="s">
        <v>2070</v>
      </c>
      <c r="E910" s="6" t="s">
        <v>2571</v>
      </c>
      <c r="F910" s="1">
        <v>44562</v>
      </c>
      <c r="G910">
        <v>989</v>
      </c>
      <c r="H910" t="s">
        <v>2047</v>
      </c>
      <c r="I910">
        <v>1</v>
      </c>
      <c r="J910" t="s">
        <v>2313</v>
      </c>
      <c r="K910" s="1">
        <v>43831</v>
      </c>
      <c r="L910">
        <v>2020</v>
      </c>
      <c r="M910" t="s">
        <v>2045</v>
      </c>
    </row>
    <row r="911" spans="1:13" x14ac:dyDescent="0.3">
      <c r="A911">
        <v>909</v>
      </c>
      <c r="B911">
        <v>907</v>
      </c>
      <c r="C911" t="s">
        <v>2049</v>
      </c>
      <c r="D911" t="s">
        <v>2052</v>
      </c>
      <c r="E911" s="6" t="s">
        <v>2553</v>
      </c>
      <c r="F911" s="1">
        <v>44621</v>
      </c>
      <c r="G911">
        <v>429</v>
      </c>
      <c r="H911" t="s">
        <v>2047</v>
      </c>
      <c r="I911">
        <v>1</v>
      </c>
      <c r="J911" t="s">
        <v>2552</v>
      </c>
      <c r="K911" s="1">
        <v>43831</v>
      </c>
      <c r="L911">
        <v>2020</v>
      </c>
      <c r="M911" t="s">
        <v>2045</v>
      </c>
    </row>
    <row r="912" spans="1:13" x14ac:dyDescent="0.3">
      <c r="A912">
        <v>910</v>
      </c>
      <c r="B912">
        <v>1665</v>
      </c>
      <c r="C912" t="s">
        <v>2049</v>
      </c>
      <c r="D912" t="s">
        <v>2052</v>
      </c>
      <c r="E912" s="6" t="s">
        <v>2549</v>
      </c>
      <c r="F912" s="1">
        <v>43862</v>
      </c>
      <c r="G912">
        <v>546</v>
      </c>
      <c r="H912" t="s">
        <v>2047</v>
      </c>
      <c r="I912">
        <v>1</v>
      </c>
      <c r="J912" t="s">
        <v>2548</v>
      </c>
      <c r="K912" s="1">
        <v>43831</v>
      </c>
      <c r="L912">
        <v>2020</v>
      </c>
      <c r="M912" t="s">
        <v>2045</v>
      </c>
    </row>
    <row r="913" spans="1:13" x14ac:dyDescent="0.3">
      <c r="A913">
        <v>911</v>
      </c>
      <c r="B913">
        <v>670</v>
      </c>
      <c r="C913" t="s">
        <v>2049</v>
      </c>
      <c r="D913" t="s">
        <v>2052</v>
      </c>
      <c r="E913" s="6" t="s">
        <v>2546</v>
      </c>
      <c r="F913" s="1">
        <v>43952</v>
      </c>
      <c r="G913">
        <v>31</v>
      </c>
      <c r="H913" t="s">
        <v>2047</v>
      </c>
      <c r="I913">
        <v>2</v>
      </c>
      <c r="J913" t="s">
        <v>2545</v>
      </c>
      <c r="K913" s="1">
        <v>43831</v>
      </c>
      <c r="L913">
        <v>2020</v>
      </c>
      <c r="M913" t="s">
        <v>2045</v>
      </c>
    </row>
    <row r="914" spans="1:13" x14ac:dyDescent="0.3">
      <c r="A914">
        <v>912</v>
      </c>
      <c r="B914">
        <v>1593</v>
      </c>
      <c r="C914" t="s">
        <v>2049</v>
      </c>
      <c r="D914" t="s">
        <v>2048</v>
      </c>
      <c r="E914" s="6" t="s">
        <v>2538</v>
      </c>
      <c r="F914" s="1">
        <v>44835</v>
      </c>
      <c r="G914">
        <v>943</v>
      </c>
      <c r="H914" t="s">
        <v>2047</v>
      </c>
      <c r="I914">
        <v>1</v>
      </c>
      <c r="J914" t="s">
        <v>2229</v>
      </c>
      <c r="K914" s="1">
        <v>43831</v>
      </c>
      <c r="L914">
        <v>2020</v>
      </c>
      <c r="M914" t="s">
        <v>2045</v>
      </c>
    </row>
    <row r="915" spans="1:13" x14ac:dyDescent="0.3">
      <c r="A915">
        <v>913</v>
      </c>
      <c r="B915">
        <v>843</v>
      </c>
      <c r="C915" t="s">
        <v>2049</v>
      </c>
      <c r="D915" t="s">
        <v>2070</v>
      </c>
      <c r="E915" s="6" t="s">
        <v>2535</v>
      </c>
      <c r="F915" s="1">
        <v>44682</v>
      </c>
      <c r="G915">
        <v>775</v>
      </c>
      <c r="H915" t="s">
        <v>2055</v>
      </c>
      <c r="I915">
        <v>1</v>
      </c>
      <c r="J915" t="s">
        <v>2190</v>
      </c>
      <c r="K915" s="1">
        <v>43831</v>
      </c>
      <c r="L915">
        <v>2020</v>
      </c>
      <c r="M915" t="s">
        <v>2045</v>
      </c>
    </row>
    <row r="916" spans="1:13" x14ac:dyDescent="0.3">
      <c r="A916">
        <v>914</v>
      </c>
      <c r="B916">
        <v>638</v>
      </c>
      <c r="C916" t="s">
        <v>2049</v>
      </c>
      <c r="D916" t="s">
        <v>2052</v>
      </c>
      <c r="E916" s="6" t="s">
        <v>2508</v>
      </c>
      <c r="F916" s="1">
        <v>45261</v>
      </c>
      <c r="G916">
        <v>739</v>
      </c>
      <c r="H916" t="s">
        <v>2047</v>
      </c>
      <c r="I916">
        <v>2</v>
      </c>
      <c r="J916" t="s">
        <v>2507</v>
      </c>
      <c r="K916" s="1">
        <v>43831</v>
      </c>
      <c r="L916">
        <v>2020</v>
      </c>
      <c r="M916" t="s">
        <v>2045</v>
      </c>
    </row>
    <row r="917" spans="1:13" x14ac:dyDescent="0.3">
      <c r="A917">
        <v>915</v>
      </c>
      <c r="B917">
        <v>672</v>
      </c>
      <c r="C917" t="s">
        <v>2049</v>
      </c>
      <c r="D917" t="s">
        <v>2052</v>
      </c>
      <c r="E917" s="6" t="s">
        <v>2499</v>
      </c>
      <c r="F917" s="1">
        <v>44075</v>
      </c>
      <c r="G917">
        <v>740</v>
      </c>
      <c r="H917" t="s">
        <v>2047</v>
      </c>
      <c r="I917">
        <v>1</v>
      </c>
      <c r="J917" t="s">
        <v>2498</v>
      </c>
      <c r="K917" s="1">
        <v>43831</v>
      </c>
      <c r="L917">
        <v>2020</v>
      </c>
      <c r="M917" t="s">
        <v>2045</v>
      </c>
    </row>
    <row r="918" spans="1:13" x14ac:dyDescent="0.3">
      <c r="A918">
        <v>916</v>
      </c>
      <c r="B918">
        <v>510</v>
      </c>
      <c r="C918" t="s">
        <v>2049</v>
      </c>
      <c r="D918" t="s">
        <v>2048</v>
      </c>
      <c r="E918" s="6" t="s">
        <v>2494</v>
      </c>
      <c r="F918" s="1">
        <v>44958</v>
      </c>
      <c r="G918">
        <v>114</v>
      </c>
      <c r="H918" t="s">
        <v>2055</v>
      </c>
      <c r="I918">
        <v>1</v>
      </c>
      <c r="J918" t="s">
        <v>2054</v>
      </c>
      <c r="K918" s="1">
        <v>43831</v>
      </c>
      <c r="L918">
        <v>2020</v>
      </c>
      <c r="M918" t="s">
        <v>2045</v>
      </c>
    </row>
    <row r="919" spans="1:13" x14ac:dyDescent="0.3">
      <c r="A919">
        <v>917</v>
      </c>
      <c r="B919">
        <v>510</v>
      </c>
      <c r="C919" t="s">
        <v>2049</v>
      </c>
      <c r="D919" t="s">
        <v>2052</v>
      </c>
      <c r="E919" s="6" t="s">
        <v>2493</v>
      </c>
      <c r="F919" s="1">
        <v>43831</v>
      </c>
      <c r="G919">
        <v>573</v>
      </c>
      <c r="H919" t="s">
        <v>2047</v>
      </c>
      <c r="I919">
        <v>2</v>
      </c>
      <c r="J919" t="s">
        <v>2492</v>
      </c>
      <c r="K919" s="1">
        <v>43831</v>
      </c>
      <c r="L919">
        <v>2020</v>
      </c>
      <c r="M919" t="s">
        <v>2045</v>
      </c>
    </row>
    <row r="920" spans="1:13" x14ac:dyDescent="0.3">
      <c r="A920">
        <v>918</v>
      </c>
      <c r="B920">
        <v>805</v>
      </c>
      <c r="C920" t="s">
        <v>2049</v>
      </c>
      <c r="D920" t="s">
        <v>2052</v>
      </c>
      <c r="E920" s="6" t="s">
        <v>2479</v>
      </c>
      <c r="F920" s="1">
        <v>43831</v>
      </c>
      <c r="G920">
        <v>433</v>
      </c>
      <c r="H920" t="s">
        <v>2047</v>
      </c>
      <c r="I920">
        <v>1</v>
      </c>
      <c r="J920" t="s">
        <v>2478</v>
      </c>
      <c r="K920" s="1">
        <v>43831</v>
      </c>
      <c r="L920">
        <v>2020</v>
      </c>
      <c r="M920" t="s">
        <v>2045</v>
      </c>
    </row>
    <row r="921" spans="1:13" x14ac:dyDescent="0.3">
      <c r="A921">
        <v>919</v>
      </c>
      <c r="B921">
        <v>101</v>
      </c>
      <c r="C921" t="s">
        <v>2049</v>
      </c>
      <c r="D921" t="s">
        <v>2048</v>
      </c>
      <c r="E921" s="6" t="s">
        <v>2454</v>
      </c>
      <c r="F921" s="1">
        <v>45261</v>
      </c>
      <c r="G921">
        <v>286</v>
      </c>
      <c r="H921" t="s">
        <v>2047</v>
      </c>
      <c r="I921">
        <v>2</v>
      </c>
      <c r="J921" t="s">
        <v>2453</v>
      </c>
      <c r="K921" s="1">
        <v>43831</v>
      </c>
      <c r="L921">
        <v>2020</v>
      </c>
      <c r="M921" t="s">
        <v>2045</v>
      </c>
    </row>
    <row r="922" spans="1:13" x14ac:dyDescent="0.3">
      <c r="A922">
        <v>920</v>
      </c>
      <c r="B922">
        <v>481</v>
      </c>
      <c r="C922" t="s">
        <v>2049</v>
      </c>
      <c r="D922" t="s">
        <v>2048</v>
      </c>
      <c r="E922" s="6" t="s">
        <v>2448</v>
      </c>
      <c r="F922" s="1">
        <v>45292</v>
      </c>
      <c r="G922">
        <v>660</v>
      </c>
      <c r="H922" t="s">
        <v>2047</v>
      </c>
      <c r="I922">
        <v>1</v>
      </c>
      <c r="J922" t="s">
        <v>2447</v>
      </c>
      <c r="K922" s="1">
        <v>43831</v>
      </c>
      <c r="L922">
        <v>2020</v>
      </c>
      <c r="M922" t="s">
        <v>2045</v>
      </c>
    </row>
    <row r="923" spans="1:13" x14ac:dyDescent="0.3">
      <c r="A923">
        <v>921</v>
      </c>
      <c r="B923">
        <v>862</v>
      </c>
      <c r="C923" t="s">
        <v>2049</v>
      </c>
      <c r="D923" t="s">
        <v>2052</v>
      </c>
      <c r="E923" s="6" t="s">
        <v>2431</v>
      </c>
      <c r="F923" s="1">
        <v>44166</v>
      </c>
      <c r="G923">
        <v>371</v>
      </c>
      <c r="H923" t="s">
        <v>2047</v>
      </c>
      <c r="I923">
        <v>2</v>
      </c>
      <c r="J923" t="s">
        <v>2430</v>
      </c>
      <c r="K923" s="1">
        <v>43831</v>
      </c>
      <c r="L923">
        <v>2020</v>
      </c>
      <c r="M923" t="s">
        <v>2045</v>
      </c>
    </row>
    <row r="924" spans="1:13" x14ac:dyDescent="0.3">
      <c r="A924">
        <v>922</v>
      </c>
      <c r="B924">
        <v>1698</v>
      </c>
      <c r="C924" t="s">
        <v>2049</v>
      </c>
      <c r="D924" t="s">
        <v>2048</v>
      </c>
      <c r="E924" s="6" t="s">
        <v>2425</v>
      </c>
      <c r="F924" s="1">
        <v>43831</v>
      </c>
      <c r="G924">
        <v>565</v>
      </c>
      <c r="H924" t="s">
        <v>2047</v>
      </c>
      <c r="I924">
        <v>1</v>
      </c>
      <c r="J924" t="s">
        <v>2369</v>
      </c>
      <c r="K924" s="1">
        <v>43831</v>
      </c>
      <c r="L924">
        <v>2020</v>
      </c>
      <c r="M924" t="s">
        <v>2045</v>
      </c>
    </row>
    <row r="925" spans="1:13" x14ac:dyDescent="0.3">
      <c r="A925">
        <v>923</v>
      </c>
      <c r="B925">
        <v>1400</v>
      </c>
      <c r="C925" t="s">
        <v>2049</v>
      </c>
      <c r="D925" t="s">
        <v>2048</v>
      </c>
      <c r="E925" s="6" t="s">
        <v>2414</v>
      </c>
      <c r="F925" s="1">
        <v>44958</v>
      </c>
      <c r="G925">
        <v>42</v>
      </c>
      <c r="H925" t="s">
        <v>2047</v>
      </c>
      <c r="I925">
        <v>1</v>
      </c>
      <c r="J925" t="s">
        <v>2056</v>
      </c>
      <c r="K925" s="1">
        <v>43831</v>
      </c>
      <c r="L925">
        <v>2020</v>
      </c>
      <c r="M925" t="s">
        <v>2045</v>
      </c>
    </row>
    <row r="926" spans="1:13" x14ac:dyDescent="0.3">
      <c r="A926">
        <v>924</v>
      </c>
      <c r="B926">
        <v>1054</v>
      </c>
      <c r="C926" t="s">
        <v>2049</v>
      </c>
      <c r="D926" t="s">
        <v>2048</v>
      </c>
      <c r="E926" s="6" t="s">
        <v>2406</v>
      </c>
      <c r="F926" s="1">
        <v>44986</v>
      </c>
      <c r="G926">
        <v>349</v>
      </c>
      <c r="H926" t="s">
        <v>2047</v>
      </c>
      <c r="I926">
        <v>2</v>
      </c>
      <c r="J926" t="s">
        <v>2405</v>
      </c>
      <c r="K926" s="1">
        <v>43831</v>
      </c>
      <c r="L926">
        <v>2020</v>
      </c>
      <c r="M926" t="s">
        <v>2045</v>
      </c>
    </row>
    <row r="927" spans="1:13" x14ac:dyDescent="0.3">
      <c r="A927">
        <v>925</v>
      </c>
      <c r="B927">
        <v>1597</v>
      </c>
      <c r="C927" t="s">
        <v>2049</v>
      </c>
      <c r="D927" t="s">
        <v>2052</v>
      </c>
      <c r="E927" s="6" t="s">
        <v>2395</v>
      </c>
      <c r="F927" s="1">
        <v>45627</v>
      </c>
      <c r="G927">
        <v>558</v>
      </c>
      <c r="H927" t="s">
        <v>2047</v>
      </c>
      <c r="I927">
        <v>2</v>
      </c>
      <c r="J927" t="s">
        <v>2394</v>
      </c>
      <c r="K927" s="1">
        <v>43831</v>
      </c>
      <c r="L927">
        <v>2020</v>
      </c>
      <c r="M927" t="s">
        <v>2045</v>
      </c>
    </row>
    <row r="928" spans="1:13" x14ac:dyDescent="0.3">
      <c r="A928">
        <v>926</v>
      </c>
      <c r="B928">
        <v>1597</v>
      </c>
      <c r="C928" t="s">
        <v>2049</v>
      </c>
      <c r="D928" t="s">
        <v>2048</v>
      </c>
      <c r="E928" s="6" t="s">
        <v>2393</v>
      </c>
      <c r="F928" s="1">
        <v>44013</v>
      </c>
      <c r="G928">
        <v>495</v>
      </c>
      <c r="H928" t="s">
        <v>2047</v>
      </c>
      <c r="I928">
        <v>2</v>
      </c>
      <c r="J928" t="s">
        <v>2103</v>
      </c>
      <c r="K928" s="1">
        <v>43831</v>
      </c>
      <c r="L928">
        <v>2020</v>
      </c>
      <c r="M928" t="s">
        <v>2045</v>
      </c>
    </row>
    <row r="929" spans="1:13" x14ac:dyDescent="0.3">
      <c r="A929">
        <v>927</v>
      </c>
      <c r="B929">
        <v>202</v>
      </c>
      <c r="C929" t="s">
        <v>2049</v>
      </c>
      <c r="D929" t="s">
        <v>2048</v>
      </c>
      <c r="E929" s="6" t="s">
        <v>2390</v>
      </c>
      <c r="F929" s="1">
        <v>45323</v>
      </c>
      <c r="G929">
        <v>906</v>
      </c>
      <c r="H929" t="s">
        <v>2047</v>
      </c>
      <c r="I929">
        <v>2</v>
      </c>
      <c r="J929" t="s">
        <v>2073</v>
      </c>
      <c r="K929" s="1">
        <v>43831</v>
      </c>
      <c r="L929">
        <v>2020</v>
      </c>
      <c r="M929" t="s">
        <v>2045</v>
      </c>
    </row>
    <row r="930" spans="1:13" x14ac:dyDescent="0.3">
      <c r="A930">
        <v>928</v>
      </c>
      <c r="B930">
        <v>1275</v>
      </c>
      <c r="C930" t="s">
        <v>2049</v>
      </c>
      <c r="D930" t="s">
        <v>2048</v>
      </c>
      <c r="E930" s="6" t="s">
        <v>2372</v>
      </c>
      <c r="F930" s="1">
        <v>44501</v>
      </c>
      <c r="G930">
        <v>121</v>
      </c>
      <c r="H930" t="s">
        <v>2047</v>
      </c>
      <c r="I930">
        <v>2</v>
      </c>
      <c r="J930" t="s">
        <v>2371</v>
      </c>
      <c r="K930" s="1">
        <v>43831</v>
      </c>
      <c r="L930">
        <v>2020</v>
      </c>
      <c r="M930" t="s">
        <v>2045</v>
      </c>
    </row>
    <row r="931" spans="1:13" x14ac:dyDescent="0.3">
      <c r="A931">
        <v>929</v>
      </c>
      <c r="B931">
        <v>1553</v>
      </c>
      <c r="C931" t="s">
        <v>2049</v>
      </c>
      <c r="D931" t="s">
        <v>2048</v>
      </c>
      <c r="E931" s="6" t="s">
        <v>2348</v>
      </c>
      <c r="F931" s="1">
        <v>45047</v>
      </c>
      <c r="G931">
        <v>634</v>
      </c>
      <c r="H931" t="s">
        <v>2055</v>
      </c>
      <c r="I931">
        <v>1</v>
      </c>
      <c r="J931" t="s">
        <v>1655</v>
      </c>
      <c r="K931" s="1">
        <v>43831</v>
      </c>
      <c r="L931">
        <v>2020</v>
      </c>
      <c r="M931" t="s">
        <v>2045</v>
      </c>
    </row>
    <row r="932" spans="1:13" x14ac:dyDescent="0.3">
      <c r="A932">
        <v>930</v>
      </c>
      <c r="B932">
        <v>532</v>
      </c>
      <c r="C932" t="s">
        <v>2049</v>
      </c>
      <c r="D932" t="s">
        <v>2052</v>
      </c>
      <c r="E932" s="6" t="s">
        <v>2347</v>
      </c>
      <c r="F932" s="1">
        <v>43983</v>
      </c>
      <c r="G932">
        <v>723</v>
      </c>
      <c r="H932" t="s">
        <v>2047</v>
      </c>
      <c r="I932">
        <v>1</v>
      </c>
      <c r="J932" t="s">
        <v>2346</v>
      </c>
      <c r="K932" s="1">
        <v>43831</v>
      </c>
      <c r="L932">
        <v>2020</v>
      </c>
      <c r="M932" t="s">
        <v>2045</v>
      </c>
    </row>
    <row r="933" spans="1:13" x14ac:dyDescent="0.3">
      <c r="A933">
        <v>931</v>
      </c>
      <c r="B933">
        <v>532</v>
      </c>
      <c r="C933" t="s">
        <v>2049</v>
      </c>
      <c r="D933" t="s">
        <v>2052</v>
      </c>
      <c r="E933" s="6" t="s">
        <v>2345</v>
      </c>
      <c r="F933" s="1">
        <v>44743</v>
      </c>
      <c r="G933">
        <v>655</v>
      </c>
      <c r="H933" t="s">
        <v>2055</v>
      </c>
      <c r="I933">
        <v>1</v>
      </c>
      <c r="J933" t="s">
        <v>2344</v>
      </c>
      <c r="K933" s="1">
        <v>43831</v>
      </c>
      <c r="L933">
        <v>2020</v>
      </c>
      <c r="M933" t="s">
        <v>2045</v>
      </c>
    </row>
    <row r="934" spans="1:13" x14ac:dyDescent="0.3">
      <c r="A934">
        <v>932</v>
      </c>
      <c r="B934">
        <v>1542</v>
      </c>
      <c r="C934" t="s">
        <v>2049</v>
      </c>
      <c r="D934" t="s">
        <v>2052</v>
      </c>
      <c r="E934" s="6" t="s">
        <v>2333</v>
      </c>
      <c r="F934" s="1">
        <v>45108</v>
      </c>
      <c r="G934">
        <v>65</v>
      </c>
      <c r="H934" t="s">
        <v>2047</v>
      </c>
      <c r="I934">
        <v>1</v>
      </c>
      <c r="J934" t="s">
        <v>2332</v>
      </c>
      <c r="K934" s="1">
        <v>43831</v>
      </c>
      <c r="L934">
        <v>2020</v>
      </c>
      <c r="M934" t="s">
        <v>2045</v>
      </c>
    </row>
    <row r="935" spans="1:13" x14ac:dyDescent="0.3">
      <c r="A935">
        <v>933</v>
      </c>
      <c r="B935">
        <v>1743</v>
      </c>
      <c r="C935" t="s">
        <v>2049</v>
      </c>
      <c r="D935" t="s">
        <v>2070</v>
      </c>
      <c r="E935" s="6" t="s">
        <v>2314</v>
      </c>
      <c r="F935" s="1">
        <v>44075</v>
      </c>
      <c r="G935">
        <v>779</v>
      </c>
      <c r="H935" t="s">
        <v>2047</v>
      </c>
      <c r="I935">
        <v>1</v>
      </c>
      <c r="J935" t="s">
        <v>2313</v>
      </c>
      <c r="K935" s="1">
        <v>43831</v>
      </c>
      <c r="L935">
        <v>2020</v>
      </c>
      <c r="M935" t="s">
        <v>2045</v>
      </c>
    </row>
    <row r="936" spans="1:13" x14ac:dyDescent="0.3">
      <c r="A936">
        <v>934</v>
      </c>
      <c r="B936">
        <v>1743</v>
      </c>
      <c r="C936" t="s">
        <v>2049</v>
      </c>
      <c r="D936" t="s">
        <v>2052</v>
      </c>
      <c r="E936" s="6" t="s">
        <v>2312</v>
      </c>
      <c r="F936" s="1">
        <v>44835</v>
      </c>
      <c r="G936">
        <v>215</v>
      </c>
      <c r="H936" t="s">
        <v>2047</v>
      </c>
      <c r="I936">
        <v>2</v>
      </c>
      <c r="J936" t="s">
        <v>2311</v>
      </c>
      <c r="K936" s="1">
        <v>43831</v>
      </c>
      <c r="L936">
        <v>2020</v>
      </c>
      <c r="M936" t="s">
        <v>2045</v>
      </c>
    </row>
    <row r="937" spans="1:13" x14ac:dyDescent="0.3">
      <c r="A937">
        <v>935</v>
      </c>
      <c r="B937">
        <v>1743</v>
      </c>
      <c r="C937" t="s">
        <v>2049</v>
      </c>
      <c r="D937" t="s">
        <v>2052</v>
      </c>
      <c r="E937" s="6" t="s">
        <v>2310</v>
      </c>
      <c r="F937" s="1">
        <v>44256</v>
      </c>
      <c r="G937">
        <v>466</v>
      </c>
      <c r="H937" t="s">
        <v>2047</v>
      </c>
      <c r="I937">
        <v>1</v>
      </c>
      <c r="J937" t="s">
        <v>2309</v>
      </c>
      <c r="K937" s="1">
        <v>43831</v>
      </c>
      <c r="L937">
        <v>2020</v>
      </c>
      <c r="M937" t="s">
        <v>2045</v>
      </c>
    </row>
    <row r="938" spans="1:13" x14ac:dyDescent="0.3">
      <c r="A938">
        <v>936</v>
      </c>
      <c r="B938">
        <v>799</v>
      </c>
      <c r="C938" t="s">
        <v>2049</v>
      </c>
      <c r="D938" t="s">
        <v>2048</v>
      </c>
      <c r="E938" s="6" t="s">
        <v>2307</v>
      </c>
      <c r="F938" s="1">
        <v>43862</v>
      </c>
      <c r="G938">
        <v>343</v>
      </c>
      <c r="H938" t="s">
        <v>2047</v>
      </c>
      <c r="I938">
        <v>2</v>
      </c>
      <c r="J938" t="s">
        <v>2306</v>
      </c>
      <c r="K938" s="1">
        <v>43831</v>
      </c>
      <c r="L938">
        <v>2020</v>
      </c>
      <c r="M938" t="s">
        <v>2045</v>
      </c>
    </row>
    <row r="939" spans="1:13" x14ac:dyDescent="0.3">
      <c r="A939">
        <v>937</v>
      </c>
      <c r="B939">
        <v>781</v>
      </c>
      <c r="C939" t="s">
        <v>2049</v>
      </c>
      <c r="D939" t="s">
        <v>2052</v>
      </c>
      <c r="E939" s="6" t="s">
        <v>2305</v>
      </c>
      <c r="F939" s="1">
        <v>43862</v>
      </c>
      <c r="G939">
        <v>602</v>
      </c>
      <c r="H939" t="s">
        <v>2047</v>
      </c>
      <c r="I939">
        <v>2</v>
      </c>
      <c r="J939" t="s">
        <v>2304</v>
      </c>
      <c r="K939" s="1">
        <v>43831</v>
      </c>
      <c r="L939">
        <v>2020</v>
      </c>
      <c r="M939" t="s">
        <v>2045</v>
      </c>
    </row>
    <row r="940" spans="1:13" x14ac:dyDescent="0.3">
      <c r="A940">
        <v>938</v>
      </c>
      <c r="B940">
        <v>1681</v>
      </c>
      <c r="C940" t="s">
        <v>2049</v>
      </c>
      <c r="D940" t="s">
        <v>2048</v>
      </c>
      <c r="E940" s="6" t="s">
        <v>2303</v>
      </c>
      <c r="F940" s="1">
        <v>44409</v>
      </c>
      <c r="G940">
        <v>873</v>
      </c>
      <c r="H940" t="s">
        <v>2047</v>
      </c>
      <c r="I940">
        <v>1</v>
      </c>
      <c r="J940" t="s">
        <v>2302</v>
      </c>
      <c r="K940" s="1">
        <v>43831</v>
      </c>
      <c r="L940">
        <v>2020</v>
      </c>
      <c r="M940" t="s">
        <v>2045</v>
      </c>
    </row>
    <row r="941" spans="1:13" x14ac:dyDescent="0.3">
      <c r="A941">
        <v>939</v>
      </c>
      <c r="B941">
        <v>114</v>
      </c>
      <c r="C941" t="s">
        <v>2049</v>
      </c>
      <c r="D941" t="s">
        <v>2052</v>
      </c>
      <c r="E941" s="6" t="s">
        <v>2301</v>
      </c>
      <c r="F941" s="1">
        <v>44075</v>
      </c>
      <c r="G941">
        <v>386</v>
      </c>
      <c r="H941" t="s">
        <v>2047</v>
      </c>
      <c r="I941">
        <v>2</v>
      </c>
      <c r="J941" t="s">
        <v>2300</v>
      </c>
      <c r="K941" s="1">
        <v>43831</v>
      </c>
      <c r="L941">
        <v>2020</v>
      </c>
      <c r="M941" t="s">
        <v>2045</v>
      </c>
    </row>
    <row r="942" spans="1:13" x14ac:dyDescent="0.3">
      <c r="A942">
        <v>940</v>
      </c>
      <c r="B942">
        <v>536</v>
      </c>
      <c r="C942" t="s">
        <v>2049</v>
      </c>
      <c r="D942" t="s">
        <v>2048</v>
      </c>
      <c r="E942" s="6" t="s">
        <v>2284</v>
      </c>
      <c r="F942" s="1">
        <v>45566</v>
      </c>
      <c r="G942">
        <v>935</v>
      </c>
      <c r="H942" t="s">
        <v>2047</v>
      </c>
      <c r="I942">
        <v>1</v>
      </c>
      <c r="J942" t="s">
        <v>2219</v>
      </c>
      <c r="K942" s="1">
        <v>43831</v>
      </c>
      <c r="L942">
        <v>2020</v>
      </c>
      <c r="M942" t="s">
        <v>2045</v>
      </c>
    </row>
    <row r="943" spans="1:13" x14ac:dyDescent="0.3">
      <c r="A943">
        <v>941</v>
      </c>
      <c r="B943">
        <v>536</v>
      </c>
      <c r="C943" t="s">
        <v>2049</v>
      </c>
      <c r="D943" t="s">
        <v>2052</v>
      </c>
      <c r="E943" s="6" t="s">
        <v>2282</v>
      </c>
      <c r="F943" s="1">
        <v>43862</v>
      </c>
      <c r="G943">
        <v>851</v>
      </c>
      <c r="H943" t="s">
        <v>2047</v>
      </c>
      <c r="I943">
        <v>1</v>
      </c>
      <c r="J943" t="s">
        <v>2281</v>
      </c>
      <c r="K943" s="1">
        <v>43831</v>
      </c>
      <c r="L943">
        <v>2020</v>
      </c>
      <c r="M943" t="s">
        <v>2045</v>
      </c>
    </row>
    <row r="944" spans="1:13" x14ac:dyDescent="0.3">
      <c r="A944">
        <v>942</v>
      </c>
      <c r="B944">
        <v>167</v>
      </c>
      <c r="C944" t="s">
        <v>2049</v>
      </c>
      <c r="D944" t="s">
        <v>2048</v>
      </c>
      <c r="E944" s="6" t="s">
        <v>2259</v>
      </c>
      <c r="F944" s="1">
        <v>44562</v>
      </c>
      <c r="G944">
        <v>16</v>
      </c>
      <c r="H944" t="s">
        <v>2047</v>
      </c>
      <c r="I944">
        <v>2</v>
      </c>
      <c r="J944" t="s">
        <v>2095</v>
      </c>
      <c r="K944" s="1">
        <v>43831</v>
      </c>
      <c r="L944">
        <v>2020</v>
      </c>
      <c r="M944" t="s">
        <v>2045</v>
      </c>
    </row>
    <row r="945" spans="1:13" x14ac:dyDescent="0.3">
      <c r="A945">
        <v>943</v>
      </c>
      <c r="B945">
        <v>1496</v>
      </c>
      <c r="C945" t="s">
        <v>2049</v>
      </c>
      <c r="D945" t="s">
        <v>2070</v>
      </c>
      <c r="E945" s="6" t="s">
        <v>2256</v>
      </c>
      <c r="F945" s="1">
        <v>43831</v>
      </c>
      <c r="G945">
        <v>187</v>
      </c>
      <c r="H945" t="s">
        <v>2047</v>
      </c>
      <c r="I945">
        <v>1</v>
      </c>
      <c r="J945" t="s">
        <v>2255</v>
      </c>
      <c r="K945" s="1">
        <v>43831</v>
      </c>
      <c r="L945">
        <v>2020</v>
      </c>
      <c r="M945" t="s">
        <v>2045</v>
      </c>
    </row>
    <row r="946" spans="1:13" x14ac:dyDescent="0.3">
      <c r="A946">
        <v>944</v>
      </c>
      <c r="B946">
        <v>958</v>
      </c>
      <c r="C946" t="s">
        <v>2049</v>
      </c>
      <c r="D946" t="s">
        <v>2048</v>
      </c>
      <c r="E946" s="6" t="s">
        <v>2250</v>
      </c>
      <c r="F946" s="1">
        <v>43862</v>
      </c>
      <c r="G946">
        <v>748</v>
      </c>
      <c r="H946" t="s">
        <v>2047</v>
      </c>
      <c r="I946">
        <v>2</v>
      </c>
      <c r="J946" t="s">
        <v>2087</v>
      </c>
      <c r="K946" s="1">
        <v>43831</v>
      </c>
      <c r="L946">
        <v>2020</v>
      </c>
      <c r="M946" t="s">
        <v>2045</v>
      </c>
    </row>
    <row r="947" spans="1:13" x14ac:dyDescent="0.3">
      <c r="A947">
        <v>945</v>
      </c>
      <c r="B947">
        <v>958</v>
      </c>
      <c r="C947" t="s">
        <v>2049</v>
      </c>
      <c r="D947" t="s">
        <v>2052</v>
      </c>
      <c r="E947" s="6" t="s">
        <v>2249</v>
      </c>
      <c r="F947" s="1">
        <v>45566</v>
      </c>
      <c r="G947">
        <v>884</v>
      </c>
      <c r="H947" t="s">
        <v>2047</v>
      </c>
      <c r="I947">
        <v>1</v>
      </c>
      <c r="J947" t="s">
        <v>2248</v>
      </c>
      <c r="K947" s="1">
        <v>43831</v>
      </c>
      <c r="L947">
        <v>2020</v>
      </c>
      <c r="M947" t="s">
        <v>2045</v>
      </c>
    </row>
    <row r="948" spans="1:13" x14ac:dyDescent="0.3">
      <c r="A948">
        <v>946</v>
      </c>
      <c r="B948">
        <v>498</v>
      </c>
      <c r="C948" t="s">
        <v>2049</v>
      </c>
      <c r="D948" t="s">
        <v>2052</v>
      </c>
      <c r="E948" s="6" t="s">
        <v>2218</v>
      </c>
      <c r="F948" s="1">
        <v>43862</v>
      </c>
      <c r="G948">
        <v>200</v>
      </c>
      <c r="H948" t="s">
        <v>2047</v>
      </c>
      <c r="I948">
        <v>1</v>
      </c>
      <c r="J948" t="s">
        <v>2217</v>
      </c>
      <c r="K948" s="1">
        <v>43831</v>
      </c>
      <c r="L948">
        <v>2020</v>
      </c>
      <c r="M948" t="s">
        <v>2045</v>
      </c>
    </row>
    <row r="949" spans="1:13" x14ac:dyDescent="0.3">
      <c r="A949">
        <v>947</v>
      </c>
      <c r="B949">
        <v>1655</v>
      </c>
      <c r="C949" t="s">
        <v>2049</v>
      </c>
      <c r="D949" t="s">
        <v>2048</v>
      </c>
      <c r="E949" s="6" t="s">
        <v>2204</v>
      </c>
      <c r="F949" s="1">
        <v>43862</v>
      </c>
      <c r="G949">
        <v>877</v>
      </c>
      <c r="H949" t="s">
        <v>2047</v>
      </c>
      <c r="I949">
        <v>1</v>
      </c>
      <c r="J949" t="s">
        <v>2143</v>
      </c>
      <c r="K949" s="1">
        <v>43831</v>
      </c>
      <c r="L949">
        <v>2020</v>
      </c>
      <c r="M949" t="s">
        <v>2045</v>
      </c>
    </row>
    <row r="950" spans="1:13" x14ac:dyDescent="0.3">
      <c r="A950">
        <v>948</v>
      </c>
      <c r="B950">
        <v>1220</v>
      </c>
      <c r="C950" t="s">
        <v>2049</v>
      </c>
      <c r="D950" t="s">
        <v>2052</v>
      </c>
      <c r="E950" s="6" t="s">
        <v>2196</v>
      </c>
      <c r="F950" s="1">
        <v>44682</v>
      </c>
      <c r="G950">
        <v>705</v>
      </c>
      <c r="H950" t="s">
        <v>2047</v>
      </c>
      <c r="I950">
        <v>2</v>
      </c>
      <c r="J950" t="s">
        <v>2195</v>
      </c>
      <c r="K950" s="1">
        <v>43831</v>
      </c>
      <c r="L950">
        <v>2020</v>
      </c>
      <c r="M950" t="s">
        <v>2045</v>
      </c>
    </row>
    <row r="951" spans="1:13" x14ac:dyDescent="0.3">
      <c r="A951">
        <v>949</v>
      </c>
      <c r="B951">
        <v>833</v>
      </c>
      <c r="C951" t="s">
        <v>2049</v>
      </c>
      <c r="D951" t="s">
        <v>2052</v>
      </c>
      <c r="E951" s="6" t="s">
        <v>2194</v>
      </c>
      <c r="F951" s="1">
        <v>43831</v>
      </c>
      <c r="G951">
        <v>369</v>
      </c>
      <c r="H951" t="s">
        <v>2047</v>
      </c>
      <c r="I951">
        <v>1</v>
      </c>
      <c r="J951" t="s">
        <v>2193</v>
      </c>
      <c r="K951" s="1">
        <v>43831</v>
      </c>
      <c r="L951">
        <v>2020</v>
      </c>
      <c r="M951" t="s">
        <v>2045</v>
      </c>
    </row>
    <row r="952" spans="1:13" x14ac:dyDescent="0.3">
      <c r="A952">
        <v>950</v>
      </c>
      <c r="B952">
        <v>175</v>
      </c>
      <c r="C952" t="s">
        <v>2049</v>
      </c>
      <c r="D952" t="s">
        <v>2070</v>
      </c>
      <c r="E952" s="6" t="s">
        <v>2180</v>
      </c>
      <c r="F952" s="1">
        <v>43983</v>
      </c>
      <c r="G952">
        <v>911</v>
      </c>
      <c r="H952" t="s">
        <v>2047</v>
      </c>
      <c r="I952">
        <v>2</v>
      </c>
      <c r="J952" t="s">
        <v>2179</v>
      </c>
      <c r="K952" s="1">
        <v>43831</v>
      </c>
      <c r="L952">
        <v>2020</v>
      </c>
      <c r="M952" t="s">
        <v>2045</v>
      </c>
    </row>
    <row r="953" spans="1:13" x14ac:dyDescent="0.3">
      <c r="A953">
        <v>951</v>
      </c>
      <c r="B953">
        <v>1318</v>
      </c>
      <c r="C953" t="s">
        <v>2049</v>
      </c>
      <c r="D953" t="s">
        <v>2048</v>
      </c>
      <c r="E953" s="6" t="s">
        <v>2157</v>
      </c>
      <c r="F953" s="1">
        <v>45383</v>
      </c>
      <c r="G953">
        <v>729</v>
      </c>
      <c r="H953" t="s">
        <v>2047</v>
      </c>
      <c r="I953">
        <v>1</v>
      </c>
      <c r="J953" t="s">
        <v>2149</v>
      </c>
      <c r="K953" s="1">
        <v>43831</v>
      </c>
      <c r="L953">
        <v>2020</v>
      </c>
      <c r="M953" t="s">
        <v>2045</v>
      </c>
    </row>
    <row r="954" spans="1:13" x14ac:dyDescent="0.3">
      <c r="A954">
        <v>952</v>
      </c>
      <c r="B954">
        <v>971</v>
      </c>
      <c r="C954" t="s">
        <v>2049</v>
      </c>
      <c r="D954" t="s">
        <v>2048</v>
      </c>
      <c r="E954" s="6" t="s">
        <v>2125</v>
      </c>
      <c r="F954" s="1">
        <v>45231</v>
      </c>
      <c r="G954">
        <v>507</v>
      </c>
      <c r="H954" t="s">
        <v>2055</v>
      </c>
      <c r="I954">
        <v>2</v>
      </c>
      <c r="J954" t="s">
        <v>2124</v>
      </c>
      <c r="K954" s="1">
        <v>43831</v>
      </c>
      <c r="L954">
        <v>2020</v>
      </c>
      <c r="M954" t="s">
        <v>2045</v>
      </c>
    </row>
    <row r="955" spans="1:13" x14ac:dyDescent="0.3">
      <c r="A955">
        <v>953</v>
      </c>
      <c r="B955">
        <v>971</v>
      </c>
      <c r="C955" t="s">
        <v>2049</v>
      </c>
      <c r="D955" t="s">
        <v>2052</v>
      </c>
      <c r="E955" s="6" t="s">
        <v>2123</v>
      </c>
      <c r="F955" s="1">
        <v>45078</v>
      </c>
      <c r="G955">
        <v>877</v>
      </c>
      <c r="H955" t="s">
        <v>2047</v>
      </c>
      <c r="I955">
        <v>1</v>
      </c>
      <c r="J955" t="s">
        <v>2122</v>
      </c>
      <c r="K955" s="1">
        <v>43831</v>
      </c>
      <c r="L955">
        <v>2020</v>
      </c>
      <c r="M955" t="s">
        <v>2045</v>
      </c>
    </row>
    <row r="956" spans="1:13" x14ac:dyDescent="0.3">
      <c r="A956">
        <v>954</v>
      </c>
      <c r="B956">
        <v>971</v>
      </c>
      <c r="C956" t="s">
        <v>2049</v>
      </c>
      <c r="D956" t="s">
        <v>2052</v>
      </c>
      <c r="E956" s="6" t="s">
        <v>2119</v>
      </c>
      <c r="F956" s="1">
        <v>44835</v>
      </c>
      <c r="G956">
        <v>419</v>
      </c>
      <c r="H956" t="s">
        <v>2047</v>
      </c>
      <c r="I956">
        <v>2</v>
      </c>
      <c r="J956" t="s">
        <v>2118</v>
      </c>
      <c r="K956" s="1">
        <v>43831</v>
      </c>
      <c r="L956">
        <v>2020</v>
      </c>
      <c r="M956" t="s">
        <v>2045</v>
      </c>
    </row>
    <row r="957" spans="1:13" x14ac:dyDescent="0.3">
      <c r="A957">
        <v>955</v>
      </c>
      <c r="B957">
        <v>312</v>
      </c>
      <c r="C957" t="s">
        <v>2049</v>
      </c>
      <c r="D957" t="s">
        <v>2070</v>
      </c>
      <c r="E957" s="6" t="s">
        <v>2114</v>
      </c>
      <c r="F957" s="1">
        <v>43831</v>
      </c>
      <c r="G957">
        <v>751</v>
      </c>
      <c r="H957" t="s">
        <v>2047</v>
      </c>
      <c r="I957">
        <v>1</v>
      </c>
      <c r="J957" t="s">
        <v>2113</v>
      </c>
      <c r="K957" s="1">
        <v>43831</v>
      </c>
      <c r="L957">
        <v>2020</v>
      </c>
      <c r="M957" t="s">
        <v>2045</v>
      </c>
    </row>
    <row r="958" spans="1:13" x14ac:dyDescent="0.3">
      <c r="A958">
        <v>956</v>
      </c>
      <c r="B958">
        <v>312</v>
      </c>
      <c r="C958" t="s">
        <v>2049</v>
      </c>
      <c r="D958" t="s">
        <v>2052</v>
      </c>
      <c r="E958" s="6" t="s">
        <v>2112</v>
      </c>
      <c r="F958" s="1">
        <v>44470</v>
      </c>
      <c r="G958">
        <v>930</v>
      </c>
      <c r="H958" t="s">
        <v>2047</v>
      </c>
      <c r="I958">
        <v>1</v>
      </c>
      <c r="J958" t="s">
        <v>2111</v>
      </c>
      <c r="K958" s="1">
        <v>43831</v>
      </c>
      <c r="L958">
        <v>2020</v>
      </c>
      <c r="M958" t="s">
        <v>2045</v>
      </c>
    </row>
    <row r="959" spans="1:13" x14ac:dyDescent="0.3">
      <c r="A959">
        <v>957</v>
      </c>
      <c r="B959">
        <v>588</v>
      </c>
      <c r="C959" t="s">
        <v>2049</v>
      </c>
      <c r="D959" t="s">
        <v>2052</v>
      </c>
      <c r="E959" s="6" t="s">
        <v>2067</v>
      </c>
      <c r="F959" s="1">
        <v>44228</v>
      </c>
      <c r="G959">
        <v>920</v>
      </c>
      <c r="H959" t="s">
        <v>2047</v>
      </c>
      <c r="I959">
        <v>2</v>
      </c>
      <c r="J959" t="s">
        <v>2066</v>
      </c>
      <c r="K959" s="1">
        <v>43831</v>
      </c>
      <c r="L959">
        <v>2020</v>
      </c>
      <c r="M959" t="s">
        <v>2045</v>
      </c>
    </row>
    <row r="960" spans="1:13" x14ac:dyDescent="0.3">
      <c r="A960">
        <v>958</v>
      </c>
      <c r="B960">
        <v>746</v>
      </c>
      <c r="C960" t="s">
        <v>2057</v>
      </c>
      <c r="D960" t="s">
        <v>2048</v>
      </c>
      <c r="E960" s="5">
        <v>313387157322526</v>
      </c>
      <c r="F960" s="1">
        <v>45627</v>
      </c>
      <c r="G960">
        <v>961</v>
      </c>
      <c r="H960" t="s">
        <v>2047</v>
      </c>
      <c r="I960">
        <v>1</v>
      </c>
      <c r="J960" t="s">
        <v>2230</v>
      </c>
      <c r="K960" s="1">
        <v>35096</v>
      </c>
      <c r="L960">
        <v>2009</v>
      </c>
      <c r="M960" t="s">
        <v>2045</v>
      </c>
    </row>
    <row r="961" spans="1:13" x14ac:dyDescent="0.3">
      <c r="A961">
        <v>959</v>
      </c>
      <c r="B961">
        <v>1659</v>
      </c>
      <c r="C961" t="s">
        <v>2053</v>
      </c>
      <c r="D961" t="s">
        <v>2052</v>
      </c>
      <c r="E961" s="6" t="s">
        <v>2386</v>
      </c>
      <c r="F961" s="1">
        <v>44501</v>
      </c>
      <c r="G961">
        <v>570</v>
      </c>
      <c r="H961" t="s">
        <v>2047</v>
      </c>
      <c r="I961">
        <v>1</v>
      </c>
      <c r="J961" t="s">
        <v>2385</v>
      </c>
      <c r="K961" s="1">
        <v>35096</v>
      </c>
      <c r="L961">
        <v>2012</v>
      </c>
      <c r="M961" t="s">
        <v>2045</v>
      </c>
    </row>
    <row r="962" spans="1:13" x14ac:dyDescent="0.3">
      <c r="A962">
        <v>960</v>
      </c>
      <c r="B962">
        <v>471</v>
      </c>
      <c r="C962" t="s">
        <v>2049</v>
      </c>
      <c r="D962" t="s">
        <v>2052</v>
      </c>
      <c r="E962" s="6" t="s">
        <v>3397</v>
      </c>
      <c r="F962" s="1">
        <v>41548</v>
      </c>
      <c r="G962">
        <v>429</v>
      </c>
      <c r="H962" t="s">
        <v>2047</v>
      </c>
      <c r="I962">
        <v>1</v>
      </c>
      <c r="J962" t="s">
        <v>3396</v>
      </c>
      <c r="K962" s="1">
        <v>35462</v>
      </c>
      <c r="L962">
        <v>2014</v>
      </c>
      <c r="M962" t="s">
        <v>2045</v>
      </c>
    </row>
    <row r="963" spans="1:13" x14ac:dyDescent="0.3">
      <c r="A963">
        <v>961</v>
      </c>
      <c r="B963">
        <v>1843</v>
      </c>
      <c r="C963" t="s">
        <v>2057</v>
      </c>
      <c r="D963" t="s">
        <v>2048</v>
      </c>
      <c r="E963" s="5">
        <v>355893231059855</v>
      </c>
      <c r="F963" s="1">
        <v>44136</v>
      </c>
      <c r="G963">
        <v>374</v>
      </c>
      <c r="H963" t="s">
        <v>2047</v>
      </c>
      <c r="I963">
        <v>2</v>
      </c>
      <c r="J963" t="s">
        <v>2474</v>
      </c>
      <c r="K963" s="1">
        <v>35827</v>
      </c>
      <c r="L963">
        <v>2010</v>
      </c>
      <c r="M963" t="s">
        <v>2045</v>
      </c>
    </row>
    <row r="964" spans="1:13" x14ac:dyDescent="0.3">
      <c r="A964">
        <v>962</v>
      </c>
      <c r="B964">
        <v>1034</v>
      </c>
      <c r="C964" t="s">
        <v>2053</v>
      </c>
      <c r="D964" t="s">
        <v>2052</v>
      </c>
      <c r="E964" s="6" t="s">
        <v>3003</v>
      </c>
      <c r="F964" s="1">
        <v>43983</v>
      </c>
      <c r="G964">
        <v>645</v>
      </c>
      <c r="H964" t="s">
        <v>2047</v>
      </c>
      <c r="I964">
        <v>1</v>
      </c>
      <c r="J964" t="s">
        <v>3002</v>
      </c>
      <c r="K964" s="1">
        <v>35827</v>
      </c>
      <c r="L964">
        <v>2005</v>
      </c>
      <c r="M964" t="s">
        <v>2045</v>
      </c>
    </row>
    <row r="965" spans="1:13" x14ac:dyDescent="0.3">
      <c r="A965">
        <v>963</v>
      </c>
      <c r="B965">
        <v>798</v>
      </c>
      <c r="C965" t="s">
        <v>2049</v>
      </c>
      <c r="D965" t="s">
        <v>2052</v>
      </c>
      <c r="E965" s="6" t="s">
        <v>3198</v>
      </c>
      <c r="F965" s="1">
        <v>45108</v>
      </c>
      <c r="G965">
        <v>814</v>
      </c>
      <c r="H965" t="s">
        <v>2047</v>
      </c>
      <c r="I965">
        <v>2</v>
      </c>
      <c r="J965" t="s">
        <v>3197</v>
      </c>
      <c r="K965" s="1">
        <v>35827</v>
      </c>
      <c r="L965">
        <v>2010</v>
      </c>
      <c r="M965" t="s">
        <v>2045</v>
      </c>
    </row>
    <row r="966" spans="1:13" x14ac:dyDescent="0.3">
      <c r="A966">
        <v>964</v>
      </c>
      <c r="B966">
        <v>1911</v>
      </c>
      <c r="C966" t="s">
        <v>2049</v>
      </c>
      <c r="D966" t="s">
        <v>2052</v>
      </c>
      <c r="E966" s="6" t="s">
        <v>2721</v>
      </c>
      <c r="F966" s="1">
        <v>44805</v>
      </c>
      <c r="G966">
        <v>26</v>
      </c>
      <c r="H966" t="s">
        <v>2055</v>
      </c>
      <c r="I966">
        <v>2</v>
      </c>
      <c r="J966" t="s">
        <v>1736</v>
      </c>
      <c r="K966" s="1">
        <v>35827</v>
      </c>
      <c r="L966">
        <v>2019</v>
      </c>
      <c r="M966" t="s">
        <v>2045</v>
      </c>
    </row>
    <row r="967" spans="1:13" x14ac:dyDescent="0.3">
      <c r="A967">
        <v>965</v>
      </c>
      <c r="B967">
        <v>1977</v>
      </c>
      <c r="C967" t="s">
        <v>2053</v>
      </c>
      <c r="D967" t="s">
        <v>2052</v>
      </c>
      <c r="E967" s="6" t="s">
        <v>3631</v>
      </c>
      <c r="F967" s="1">
        <v>44835</v>
      </c>
      <c r="G967">
        <v>344</v>
      </c>
      <c r="H967" t="s">
        <v>2047</v>
      </c>
      <c r="I967">
        <v>2</v>
      </c>
      <c r="J967" t="s">
        <v>3630</v>
      </c>
      <c r="K967" s="1">
        <v>36192</v>
      </c>
      <c r="L967">
        <v>2014</v>
      </c>
      <c r="M967" t="s">
        <v>2045</v>
      </c>
    </row>
    <row r="968" spans="1:13" x14ac:dyDescent="0.3">
      <c r="A968">
        <v>966</v>
      </c>
      <c r="B968">
        <v>1353</v>
      </c>
      <c r="C968" t="s">
        <v>2053</v>
      </c>
      <c r="D968" t="s">
        <v>2052</v>
      </c>
      <c r="E968" s="6" t="s">
        <v>3409</v>
      </c>
      <c r="F968" s="1">
        <v>44652</v>
      </c>
      <c r="G968">
        <v>682</v>
      </c>
      <c r="H968" t="s">
        <v>2047</v>
      </c>
      <c r="I968">
        <v>1</v>
      </c>
      <c r="J968" t="s">
        <v>3408</v>
      </c>
      <c r="K968" s="1">
        <v>36192</v>
      </c>
      <c r="L968">
        <v>2012</v>
      </c>
      <c r="M968" t="s">
        <v>2045</v>
      </c>
    </row>
    <row r="969" spans="1:13" x14ac:dyDescent="0.3">
      <c r="A969">
        <v>967</v>
      </c>
      <c r="B969">
        <v>103</v>
      </c>
      <c r="C969" t="s">
        <v>2053</v>
      </c>
      <c r="D969" t="s">
        <v>2052</v>
      </c>
      <c r="E969" s="6" t="s">
        <v>3277</v>
      </c>
      <c r="F969" s="1">
        <v>40118</v>
      </c>
      <c r="G969">
        <v>863</v>
      </c>
      <c r="H969" t="s">
        <v>2047</v>
      </c>
      <c r="I969">
        <v>1</v>
      </c>
      <c r="J969" t="s">
        <v>3276</v>
      </c>
      <c r="K969" s="1">
        <v>36192</v>
      </c>
      <c r="L969">
        <v>2007</v>
      </c>
      <c r="M969" t="s">
        <v>2045</v>
      </c>
    </row>
    <row r="970" spans="1:13" x14ac:dyDescent="0.3">
      <c r="A970">
        <v>968</v>
      </c>
      <c r="B970">
        <v>665</v>
      </c>
      <c r="C970" t="s">
        <v>2053</v>
      </c>
      <c r="D970" t="s">
        <v>2052</v>
      </c>
      <c r="E970" s="6" t="s">
        <v>3133</v>
      </c>
      <c r="F970" s="1">
        <v>37288</v>
      </c>
      <c r="G970">
        <v>271</v>
      </c>
      <c r="H970" t="s">
        <v>2047</v>
      </c>
      <c r="I970">
        <v>2</v>
      </c>
      <c r="J970" t="s">
        <v>2713</v>
      </c>
      <c r="K970" s="1">
        <v>36192</v>
      </c>
      <c r="L970">
        <v>2008</v>
      </c>
      <c r="M970" t="s">
        <v>2045</v>
      </c>
    </row>
    <row r="971" spans="1:13" x14ac:dyDescent="0.3">
      <c r="A971">
        <v>969</v>
      </c>
      <c r="B971">
        <v>157</v>
      </c>
      <c r="C971" t="s">
        <v>2053</v>
      </c>
      <c r="D971" t="s">
        <v>2052</v>
      </c>
      <c r="E971" s="6" t="s">
        <v>3016</v>
      </c>
      <c r="F971" s="1">
        <v>45047</v>
      </c>
      <c r="G971">
        <v>964</v>
      </c>
      <c r="H971" t="s">
        <v>2047</v>
      </c>
      <c r="I971">
        <v>1</v>
      </c>
      <c r="J971" t="s">
        <v>3015</v>
      </c>
      <c r="K971" s="1">
        <v>36192</v>
      </c>
      <c r="L971">
        <v>2011</v>
      </c>
      <c r="M971" t="s">
        <v>2045</v>
      </c>
    </row>
    <row r="972" spans="1:13" x14ac:dyDescent="0.3">
      <c r="A972">
        <v>970</v>
      </c>
      <c r="B972">
        <v>1628</v>
      </c>
      <c r="C972" t="s">
        <v>2053</v>
      </c>
      <c r="D972" t="s">
        <v>2052</v>
      </c>
      <c r="E972" s="6" t="s">
        <v>2832</v>
      </c>
      <c r="F972" s="1">
        <v>44805</v>
      </c>
      <c r="G972">
        <v>238</v>
      </c>
      <c r="H972" t="s">
        <v>2047</v>
      </c>
      <c r="I972">
        <v>3</v>
      </c>
      <c r="J972" t="s">
        <v>2831</v>
      </c>
      <c r="K972" s="1">
        <v>36192</v>
      </c>
      <c r="L972">
        <v>2005</v>
      </c>
      <c r="M972" t="s">
        <v>2045</v>
      </c>
    </row>
    <row r="973" spans="1:13" x14ac:dyDescent="0.3">
      <c r="A973">
        <v>971</v>
      </c>
      <c r="B973">
        <v>811</v>
      </c>
      <c r="C973" t="s">
        <v>2049</v>
      </c>
      <c r="D973" t="s">
        <v>2048</v>
      </c>
      <c r="E973" s="6" t="s">
        <v>3675</v>
      </c>
      <c r="F973" s="1">
        <v>37257</v>
      </c>
      <c r="G973">
        <v>225</v>
      </c>
      <c r="H973" t="s">
        <v>2055</v>
      </c>
      <c r="I973">
        <v>1</v>
      </c>
      <c r="J973" t="s">
        <v>2984</v>
      </c>
      <c r="K973" s="1">
        <v>36192</v>
      </c>
      <c r="L973">
        <v>2010</v>
      </c>
      <c r="M973" t="s">
        <v>2045</v>
      </c>
    </row>
    <row r="974" spans="1:13" x14ac:dyDescent="0.3">
      <c r="A974">
        <v>972</v>
      </c>
      <c r="B974">
        <v>176</v>
      </c>
      <c r="C974" t="s">
        <v>2049</v>
      </c>
      <c r="D974" t="s">
        <v>2052</v>
      </c>
      <c r="E974" s="6" t="s">
        <v>3339</v>
      </c>
      <c r="F974" s="1">
        <v>44287</v>
      </c>
      <c r="G974">
        <v>588</v>
      </c>
      <c r="H974" t="s">
        <v>2047</v>
      </c>
      <c r="I974">
        <v>2</v>
      </c>
      <c r="J974" t="s">
        <v>3338</v>
      </c>
      <c r="K974" s="1">
        <v>36192</v>
      </c>
      <c r="L974">
        <v>2010</v>
      </c>
      <c r="M974" t="s">
        <v>2045</v>
      </c>
    </row>
    <row r="975" spans="1:13" x14ac:dyDescent="0.3">
      <c r="A975">
        <v>973</v>
      </c>
      <c r="B975">
        <v>385</v>
      </c>
      <c r="C975" t="s">
        <v>2049</v>
      </c>
      <c r="D975" t="s">
        <v>2052</v>
      </c>
      <c r="E975" s="6" t="s">
        <v>2777</v>
      </c>
      <c r="F975" s="1">
        <v>37803</v>
      </c>
      <c r="G975">
        <v>790</v>
      </c>
      <c r="H975" t="s">
        <v>2047</v>
      </c>
      <c r="I975">
        <v>2</v>
      </c>
      <c r="J975" t="s">
        <v>2776</v>
      </c>
      <c r="K975" s="1">
        <v>36192</v>
      </c>
      <c r="L975">
        <v>2015</v>
      </c>
      <c r="M975" t="s">
        <v>2045</v>
      </c>
    </row>
    <row r="976" spans="1:13" x14ac:dyDescent="0.3">
      <c r="A976">
        <v>974</v>
      </c>
      <c r="B976">
        <v>511</v>
      </c>
      <c r="C976" t="s">
        <v>2053</v>
      </c>
      <c r="D976" t="s">
        <v>2070</v>
      </c>
      <c r="E976" s="6" t="s">
        <v>3688</v>
      </c>
      <c r="F976" s="1">
        <v>44105</v>
      </c>
      <c r="G976">
        <v>42</v>
      </c>
      <c r="H976" t="s">
        <v>2047</v>
      </c>
      <c r="I976">
        <v>1</v>
      </c>
      <c r="J976" t="s">
        <v>2183</v>
      </c>
      <c r="K976" s="1">
        <v>36557</v>
      </c>
      <c r="L976">
        <v>2012</v>
      </c>
      <c r="M976" t="s">
        <v>2045</v>
      </c>
    </row>
    <row r="977" spans="1:13" x14ac:dyDescent="0.3">
      <c r="A977">
        <v>975</v>
      </c>
      <c r="B977">
        <v>663</v>
      </c>
      <c r="C977" t="s">
        <v>2053</v>
      </c>
      <c r="D977" t="s">
        <v>2052</v>
      </c>
      <c r="E977" s="6" t="s">
        <v>3596</v>
      </c>
      <c r="F977" s="1">
        <v>44317</v>
      </c>
      <c r="G977">
        <v>732</v>
      </c>
      <c r="H977" t="s">
        <v>2055</v>
      </c>
      <c r="I977">
        <v>2</v>
      </c>
      <c r="J977" t="s">
        <v>3595</v>
      </c>
      <c r="K977" s="1">
        <v>36557</v>
      </c>
      <c r="L977">
        <v>2008</v>
      </c>
      <c r="M977" t="s">
        <v>2045</v>
      </c>
    </row>
    <row r="978" spans="1:13" x14ac:dyDescent="0.3">
      <c r="A978">
        <v>976</v>
      </c>
      <c r="B978">
        <v>1512</v>
      </c>
      <c r="C978" t="s">
        <v>2053</v>
      </c>
      <c r="D978" t="s">
        <v>2052</v>
      </c>
      <c r="E978" s="6" t="s">
        <v>3529</v>
      </c>
      <c r="F978" s="1">
        <v>44013</v>
      </c>
      <c r="G978">
        <v>368</v>
      </c>
      <c r="H978" t="s">
        <v>2055</v>
      </c>
      <c r="I978">
        <v>2</v>
      </c>
      <c r="J978" t="s">
        <v>3503</v>
      </c>
      <c r="K978" s="1">
        <v>36557</v>
      </c>
      <c r="L978">
        <v>2013</v>
      </c>
      <c r="M978" t="s">
        <v>2045</v>
      </c>
    </row>
    <row r="979" spans="1:13" x14ac:dyDescent="0.3">
      <c r="A979">
        <v>977</v>
      </c>
      <c r="B979">
        <v>1568</v>
      </c>
      <c r="C979" t="s">
        <v>2053</v>
      </c>
      <c r="D979" t="s">
        <v>2052</v>
      </c>
      <c r="E979" s="6" t="s">
        <v>3358</v>
      </c>
      <c r="F979" s="1">
        <v>43922</v>
      </c>
      <c r="G979">
        <v>125</v>
      </c>
      <c r="H979" t="s">
        <v>2047</v>
      </c>
      <c r="I979">
        <v>2</v>
      </c>
      <c r="J979" t="s">
        <v>3357</v>
      </c>
      <c r="K979" s="1">
        <v>36557</v>
      </c>
      <c r="L979">
        <v>2005</v>
      </c>
      <c r="M979" t="s">
        <v>2045</v>
      </c>
    </row>
    <row r="980" spans="1:13" x14ac:dyDescent="0.3">
      <c r="A980">
        <v>978</v>
      </c>
      <c r="B980">
        <v>673</v>
      </c>
      <c r="C980" t="s">
        <v>2053</v>
      </c>
      <c r="D980" t="s">
        <v>2052</v>
      </c>
      <c r="E980" s="6" t="s">
        <v>3312</v>
      </c>
      <c r="F980" s="1">
        <v>38749</v>
      </c>
      <c r="G980">
        <v>491</v>
      </c>
      <c r="H980" t="s">
        <v>2047</v>
      </c>
      <c r="I980">
        <v>2</v>
      </c>
      <c r="J980" t="s">
        <v>3311</v>
      </c>
      <c r="K980" s="1">
        <v>36557</v>
      </c>
      <c r="L980">
        <v>2013</v>
      </c>
      <c r="M980" t="s">
        <v>2045</v>
      </c>
    </row>
    <row r="981" spans="1:13" x14ac:dyDescent="0.3">
      <c r="A981">
        <v>979</v>
      </c>
      <c r="B981">
        <v>1102</v>
      </c>
      <c r="C981" t="s">
        <v>2053</v>
      </c>
      <c r="D981" t="s">
        <v>2052</v>
      </c>
      <c r="E981" s="6" t="s">
        <v>2992</v>
      </c>
      <c r="F981" s="1">
        <v>43466</v>
      </c>
      <c r="G981">
        <v>618</v>
      </c>
      <c r="H981" t="s">
        <v>2047</v>
      </c>
      <c r="I981">
        <v>2</v>
      </c>
      <c r="J981" t="s">
        <v>2991</v>
      </c>
      <c r="K981" s="1">
        <v>36557</v>
      </c>
      <c r="L981">
        <v>2017</v>
      </c>
      <c r="M981" t="s">
        <v>2045</v>
      </c>
    </row>
    <row r="982" spans="1:13" x14ac:dyDescent="0.3">
      <c r="A982">
        <v>980</v>
      </c>
      <c r="B982">
        <v>182</v>
      </c>
      <c r="C982" t="s">
        <v>2053</v>
      </c>
      <c r="D982" t="s">
        <v>2052</v>
      </c>
      <c r="E982" s="6" t="s">
        <v>2810</v>
      </c>
      <c r="F982" s="1">
        <v>36708</v>
      </c>
      <c r="G982">
        <v>818</v>
      </c>
      <c r="H982" t="s">
        <v>2047</v>
      </c>
      <c r="I982">
        <v>1</v>
      </c>
      <c r="J982" t="s">
        <v>2809</v>
      </c>
      <c r="K982" s="1">
        <v>36557</v>
      </c>
      <c r="L982">
        <v>2011</v>
      </c>
      <c r="M982" t="s">
        <v>2045</v>
      </c>
    </row>
    <row r="983" spans="1:13" x14ac:dyDescent="0.3">
      <c r="A983">
        <v>981</v>
      </c>
      <c r="B983">
        <v>173</v>
      </c>
      <c r="C983" t="s">
        <v>2053</v>
      </c>
      <c r="D983" t="s">
        <v>2052</v>
      </c>
      <c r="E983" s="6" t="s">
        <v>2623</v>
      </c>
      <c r="F983" s="1">
        <v>37288</v>
      </c>
      <c r="G983">
        <v>501</v>
      </c>
      <c r="H983" t="s">
        <v>2047</v>
      </c>
      <c r="I983">
        <v>2</v>
      </c>
      <c r="J983" t="s">
        <v>2622</v>
      </c>
      <c r="K983" s="1">
        <v>36557</v>
      </c>
      <c r="L983">
        <v>2020</v>
      </c>
      <c r="M983" t="s">
        <v>2045</v>
      </c>
    </row>
    <row r="984" spans="1:13" x14ac:dyDescent="0.3">
      <c r="A984">
        <v>982</v>
      </c>
      <c r="B984">
        <v>967</v>
      </c>
      <c r="C984" t="s">
        <v>2049</v>
      </c>
      <c r="D984" t="s">
        <v>2048</v>
      </c>
      <c r="E984" s="6" t="s">
        <v>3239</v>
      </c>
      <c r="F984" s="1">
        <v>41699</v>
      </c>
      <c r="G984">
        <v>613</v>
      </c>
      <c r="H984" t="s">
        <v>2047</v>
      </c>
      <c r="I984">
        <v>2</v>
      </c>
      <c r="J984" t="s">
        <v>2129</v>
      </c>
      <c r="K984" s="1">
        <v>36557</v>
      </c>
      <c r="L984">
        <v>2006</v>
      </c>
      <c r="M984" t="s">
        <v>2045</v>
      </c>
    </row>
    <row r="985" spans="1:13" x14ac:dyDescent="0.3">
      <c r="A985">
        <v>983</v>
      </c>
      <c r="B985">
        <v>1026</v>
      </c>
      <c r="C985" t="s">
        <v>2049</v>
      </c>
      <c r="D985" t="s">
        <v>2070</v>
      </c>
      <c r="E985" s="6" t="s">
        <v>2837</v>
      </c>
      <c r="F985" s="1">
        <v>44287</v>
      </c>
      <c r="G985">
        <v>545</v>
      </c>
      <c r="H985" t="s">
        <v>2047</v>
      </c>
      <c r="I985">
        <v>2</v>
      </c>
      <c r="J985" t="s">
        <v>2835</v>
      </c>
      <c r="K985" s="1">
        <v>36557</v>
      </c>
      <c r="L985">
        <v>2014</v>
      </c>
      <c r="M985" t="s">
        <v>2045</v>
      </c>
    </row>
    <row r="986" spans="1:13" x14ac:dyDescent="0.3">
      <c r="A986">
        <v>984</v>
      </c>
      <c r="B986">
        <v>303</v>
      </c>
      <c r="C986" t="s">
        <v>2049</v>
      </c>
      <c r="D986" t="s">
        <v>2048</v>
      </c>
      <c r="E986" s="6" t="s">
        <v>2704</v>
      </c>
      <c r="F986" s="1">
        <v>44562</v>
      </c>
      <c r="G986">
        <v>537</v>
      </c>
      <c r="H986" t="s">
        <v>2047</v>
      </c>
      <c r="I986">
        <v>1</v>
      </c>
      <c r="J986" t="s">
        <v>2172</v>
      </c>
      <c r="K986" s="1">
        <v>36557</v>
      </c>
      <c r="L986">
        <v>2012</v>
      </c>
      <c r="M986" t="s">
        <v>2045</v>
      </c>
    </row>
    <row r="987" spans="1:13" x14ac:dyDescent="0.3">
      <c r="A987">
        <v>985</v>
      </c>
      <c r="B987">
        <v>1816</v>
      </c>
      <c r="C987" t="s">
        <v>2057</v>
      </c>
      <c r="D987" t="s">
        <v>2048</v>
      </c>
      <c r="E987" s="5">
        <v>346838160027794</v>
      </c>
      <c r="F987" s="1">
        <v>44136</v>
      </c>
      <c r="G987">
        <v>335</v>
      </c>
      <c r="H987" t="s">
        <v>2047</v>
      </c>
      <c r="I987">
        <v>1</v>
      </c>
      <c r="J987" t="s">
        <v>2209</v>
      </c>
      <c r="K987" s="1">
        <v>36923</v>
      </c>
      <c r="L987">
        <v>2011</v>
      </c>
      <c r="M987" t="s">
        <v>2045</v>
      </c>
    </row>
    <row r="988" spans="1:13" x14ac:dyDescent="0.3">
      <c r="A988">
        <v>986</v>
      </c>
      <c r="B988">
        <v>366</v>
      </c>
      <c r="C988" t="s">
        <v>2061</v>
      </c>
      <c r="D988" t="s">
        <v>2048</v>
      </c>
      <c r="E988" s="6" t="s">
        <v>2770</v>
      </c>
      <c r="F988" s="1">
        <v>45139</v>
      </c>
      <c r="G988">
        <v>653</v>
      </c>
      <c r="H988" t="s">
        <v>2047</v>
      </c>
      <c r="I988">
        <v>1</v>
      </c>
      <c r="J988" t="s">
        <v>2237</v>
      </c>
      <c r="K988" s="1">
        <v>36923</v>
      </c>
      <c r="L988">
        <v>2014</v>
      </c>
      <c r="M988" t="s">
        <v>2045</v>
      </c>
    </row>
    <row r="989" spans="1:13" x14ac:dyDescent="0.3">
      <c r="A989">
        <v>987</v>
      </c>
      <c r="B989">
        <v>847</v>
      </c>
      <c r="C989" t="s">
        <v>2053</v>
      </c>
      <c r="D989" t="s">
        <v>2070</v>
      </c>
      <c r="E989" s="6" t="s">
        <v>3416</v>
      </c>
      <c r="F989" s="1">
        <v>38261</v>
      </c>
      <c r="G989">
        <v>949</v>
      </c>
      <c r="H989" t="s">
        <v>2047</v>
      </c>
      <c r="I989">
        <v>2</v>
      </c>
      <c r="J989" t="s">
        <v>3415</v>
      </c>
      <c r="K989" s="1">
        <v>36923</v>
      </c>
      <c r="L989">
        <v>2012</v>
      </c>
      <c r="M989" t="s">
        <v>2045</v>
      </c>
    </row>
    <row r="990" spans="1:13" x14ac:dyDescent="0.3">
      <c r="A990">
        <v>988</v>
      </c>
      <c r="B990">
        <v>127</v>
      </c>
      <c r="C990" t="s">
        <v>2053</v>
      </c>
      <c r="D990" t="s">
        <v>2048</v>
      </c>
      <c r="E990" s="6" t="s">
        <v>3158</v>
      </c>
      <c r="F990" s="1">
        <v>44287</v>
      </c>
      <c r="G990">
        <v>925</v>
      </c>
      <c r="H990" t="s">
        <v>2047</v>
      </c>
      <c r="I990">
        <v>1</v>
      </c>
      <c r="J990" t="s">
        <v>2149</v>
      </c>
      <c r="K990" s="1">
        <v>36923</v>
      </c>
      <c r="L990">
        <v>2010</v>
      </c>
      <c r="M990" t="s">
        <v>2045</v>
      </c>
    </row>
    <row r="991" spans="1:13" x14ac:dyDescent="0.3">
      <c r="A991">
        <v>989</v>
      </c>
      <c r="B991">
        <v>440</v>
      </c>
      <c r="C991" t="s">
        <v>2053</v>
      </c>
      <c r="D991" t="s">
        <v>2052</v>
      </c>
      <c r="E991" s="6" t="s">
        <v>3000</v>
      </c>
      <c r="F991" s="1">
        <v>44896</v>
      </c>
      <c r="G991">
        <v>435</v>
      </c>
      <c r="H991" t="s">
        <v>2047</v>
      </c>
      <c r="I991">
        <v>1</v>
      </c>
      <c r="J991" t="s">
        <v>2999</v>
      </c>
      <c r="K991" s="1">
        <v>36923</v>
      </c>
      <c r="L991">
        <v>2013</v>
      </c>
      <c r="M991" t="s">
        <v>2045</v>
      </c>
    </row>
    <row r="992" spans="1:13" x14ac:dyDescent="0.3">
      <c r="A992">
        <v>990</v>
      </c>
      <c r="B992">
        <v>1800</v>
      </c>
      <c r="C992" t="s">
        <v>2053</v>
      </c>
      <c r="D992" t="s">
        <v>2070</v>
      </c>
      <c r="E992" s="6" t="s">
        <v>2620</v>
      </c>
      <c r="F992" s="1">
        <v>40817</v>
      </c>
      <c r="G992">
        <v>254</v>
      </c>
      <c r="H992" t="s">
        <v>2047</v>
      </c>
      <c r="I992">
        <v>2</v>
      </c>
      <c r="J992" t="s">
        <v>2179</v>
      </c>
      <c r="K992" s="1">
        <v>36923</v>
      </c>
      <c r="L992">
        <v>2004</v>
      </c>
      <c r="M992" t="s">
        <v>2045</v>
      </c>
    </row>
    <row r="993" spans="1:13" x14ac:dyDescent="0.3">
      <c r="A993">
        <v>991</v>
      </c>
      <c r="B993">
        <v>1262</v>
      </c>
      <c r="C993" t="s">
        <v>2053</v>
      </c>
      <c r="D993" t="s">
        <v>2052</v>
      </c>
      <c r="E993" s="6" t="s">
        <v>2570</v>
      </c>
      <c r="F993" s="1">
        <v>44013</v>
      </c>
      <c r="G993">
        <v>542</v>
      </c>
      <c r="H993" t="s">
        <v>2047</v>
      </c>
      <c r="I993">
        <v>2</v>
      </c>
      <c r="J993" t="s">
        <v>2569</v>
      </c>
      <c r="K993" s="1">
        <v>36923</v>
      </c>
      <c r="L993">
        <v>2012</v>
      </c>
      <c r="M993" t="s">
        <v>2045</v>
      </c>
    </row>
    <row r="994" spans="1:13" x14ac:dyDescent="0.3">
      <c r="A994">
        <v>992</v>
      </c>
      <c r="B994">
        <v>818</v>
      </c>
      <c r="C994" t="s">
        <v>2053</v>
      </c>
      <c r="D994" t="s">
        <v>2052</v>
      </c>
      <c r="E994" s="6" t="s">
        <v>2513</v>
      </c>
      <c r="F994" s="1">
        <v>45170</v>
      </c>
      <c r="G994">
        <v>370</v>
      </c>
      <c r="H994" t="s">
        <v>2047</v>
      </c>
      <c r="I994">
        <v>2</v>
      </c>
      <c r="J994" t="s">
        <v>1506</v>
      </c>
      <c r="K994" s="1">
        <v>36923</v>
      </c>
      <c r="L994">
        <v>2010</v>
      </c>
      <c r="M994" t="s">
        <v>2045</v>
      </c>
    </row>
    <row r="995" spans="1:13" x14ac:dyDescent="0.3">
      <c r="A995">
        <v>993</v>
      </c>
      <c r="B995">
        <v>1666</v>
      </c>
      <c r="C995" t="s">
        <v>2049</v>
      </c>
      <c r="D995" t="s">
        <v>2052</v>
      </c>
      <c r="E995" s="6" t="s">
        <v>3139</v>
      </c>
      <c r="F995" s="1">
        <v>44105</v>
      </c>
      <c r="G995">
        <v>930</v>
      </c>
      <c r="H995" t="s">
        <v>2047</v>
      </c>
      <c r="I995">
        <v>1</v>
      </c>
      <c r="J995" t="s">
        <v>2811</v>
      </c>
      <c r="K995" s="1">
        <v>36923</v>
      </c>
      <c r="L995">
        <v>2012</v>
      </c>
      <c r="M995" t="s">
        <v>2045</v>
      </c>
    </row>
    <row r="996" spans="1:13" x14ac:dyDescent="0.3">
      <c r="A996">
        <v>994</v>
      </c>
      <c r="B996">
        <v>343</v>
      </c>
      <c r="C996" t="s">
        <v>2049</v>
      </c>
      <c r="D996" t="s">
        <v>2052</v>
      </c>
      <c r="E996" s="6" t="s">
        <v>2944</v>
      </c>
      <c r="F996" s="1">
        <v>39508</v>
      </c>
      <c r="G996">
        <v>747</v>
      </c>
      <c r="H996" t="s">
        <v>2055</v>
      </c>
      <c r="I996">
        <v>1</v>
      </c>
      <c r="J996" t="s">
        <v>2943</v>
      </c>
      <c r="K996" s="1">
        <v>36923</v>
      </c>
      <c r="L996">
        <v>2011</v>
      </c>
      <c r="M996" t="s">
        <v>2045</v>
      </c>
    </row>
    <row r="997" spans="1:13" x14ac:dyDescent="0.3">
      <c r="A997">
        <v>995</v>
      </c>
      <c r="B997">
        <v>1596</v>
      </c>
      <c r="C997" t="s">
        <v>2053</v>
      </c>
      <c r="D997" t="s">
        <v>2048</v>
      </c>
      <c r="E997" s="6" t="s">
        <v>3489</v>
      </c>
      <c r="F997" s="1">
        <v>44835</v>
      </c>
      <c r="G997">
        <v>60</v>
      </c>
      <c r="H997" t="s">
        <v>2047</v>
      </c>
      <c r="I997">
        <v>2</v>
      </c>
      <c r="J997" t="s">
        <v>2306</v>
      </c>
      <c r="K997" s="1">
        <v>37288</v>
      </c>
      <c r="L997">
        <v>2007</v>
      </c>
      <c r="M997" t="s">
        <v>2045</v>
      </c>
    </row>
    <row r="998" spans="1:13" x14ac:dyDescent="0.3">
      <c r="A998">
        <v>996</v>
      </c>
      <c r="B998">
        <v>1276</v>
      </c>
      <c r="C998" t="s">
        <v>2053</v>
      </c>
      <c r="D998" t="s">
        <v>2052</v>
      </c>
      <c r="E998" s="6" t="s">
        <v>3451</v>
      </c>
      <c r="F998" s="1">
        <v>44986</v>
      </c>
      <c r="G998">
        <v>276</v>
      </c>
      <c r="H998" t="s">
        <v>2047</v>
      </c>
      <c r="I998">
        <v>2</v>
      </c>
      <c r="J998" t="s">
        <v>3450</v>
      </c>
      <c r="K998" s="1">
        <v>37288</v>
      </c>
      <c r="L998">
        <v>2015</v>
      </c>
      <c r="M998" t="s">
        <v>2045</v>
      </c>
    </row>
    <row r="999" spans="1:13" x14ac:dyDescent="0.3">
      <c r="A999">
        <v>997</v>
      </c>
      <c r="B999">
        <v>1916</v>
      </c>
      <c r="C999" t="s">
        <v>2053</v>
      </c>
      <c r="D999" t="s">
        <v>2052</v>
      </c>
      <c r="E999" s="6" t="s">
        <v>3390</v>
      </c>
      <c r="F999" s="1">
        <v>37288</v>
      </c>
      <c r="G999">
        <v>26</v>
      </c>
      <c r="H999" t="s">
        <v>2047</v>
      </c>
      <c r="I999">
        <v>1</v>
      </c>
      <c r="J999" t="s">
        <v>3389</v>
      </c>
      <c r="K999" s="1">
        <v>37288</v>
      </c>
      <c r="L999">
        <v>2010</v>
      </c>
      <c r="M999" t="s">
        <v>2045</v>
      </c>
    </row>
    <row r="1000" spans="1:13" x14ac:dyDescent="0.3">
      <c r="A1000">
        <v>998</v>
      </c>
      <c r="B1000">
        <v>1755</v>
      </c>
      <c r="C1000" t="s">
        <v>2053</v>
      </c>
      <c r="D1000" t="s">
        <v>2070</v>
      </c>
      <c r="E1000" s="6" t="s">
        <v>3204</v>
      </c>
      <c r="F1000" s="1">
        <v>45536</v>
      </c>
      <c r="G1000">
        <v>883</v>
      </c>
      <c r="H1000" t="s">
        <v>2047</v>
      </c>
      <c r="I1000">
        <v>2</v>
      </c>
      <c r="J1000" t="s">
        <v>2621</v>
      </c>
      <c r="K1000" s="1">
        <v>37288</v>
      </c>
      <c r="L1000">
        <v>2012</v>
      </c>
      <c r="M1000" t="s">
        <v>2045</v>
      </c>
    </row>
    <row r="1001" spans="1:13" x14ac:dyDescent="0.3">
      <c r="A1001">
        <v>999</v>
      </c>
      <c r="B1001">
        <v>1498</v>
      </c>
      <c r="C1001" t="s">
        <v>2053</v>
      </c>
      <c r="D1001" t="s">
        <v>2070</v>
      </c>
      <c r="E1001" s="6" t="s">
        <v>3087</v>
      </c>
      <c r="F1001" s="1">
        <v>45627</v>
      </c>
      <c r="G1001">
        <v>904</v>
      </c>
      <c r="H1001" t="s">
        <v>2047</v>
      </c>
      <c r="I1001">
        <v>2</v>
      </c>
      <c r="J1001" t="s">
        <v>2137</v>
      </c>
      <c r="K1001" s="1">
        <v>37288</v>
      </c>
      <c r="L1001">
        <v>2008</v>
      </c>
      <c r="M1001" t="s">
        <v>2045</v>
      </c>
    </row>
    <row r="1002" spans="1:13" x14ac:dyDescent="0.3">
      <c r="E1002" s="6"/>
      <c r="F1002" s="1"/>
      <c r="K1002" s="1"/>
    </row>
    <row r="1003" spans="1:13" x14ac:dyDescent="0.3">
      <c r="E1003" s="6"/>
      <c r="F1003" s="1"/>
      <c r="K1003" s="1"/>
    </row>
    <row r="1004" spans="1:13" x14ac:dyDescent="0.3">
      <c r="E1004" s="6"/>
      <c r="F1004" s="1"/>
      <c r="K1004" s="1"/>
    </row>
    <row r="1005" spans="1:13" x14ac:dyDescent="0.3">
      <c r="E1005" s="6"/>
      <c r="F1005" s="1"/>
      <c r="K1005" s="1"/>
    </row>
    <row r="1006" spans="1:13" x14ac:dyDescent="0.3">
      <c r="E1006" s="6"/>
      <c r="F1006" s="1"/>
      <c r="K1006" s="1"/>
    </row>
    <row r="1007" spans="1:13" x14ac:dyDescent="0.3">
      <c r="E1007" s="6"/>
      <c r="F1007" s="1"/>
      <c r="K1007" s="1"/>
    </row>
    <row r="1008" spans="1:13" x14ac:dyDescent="0.3">
      <c r="E1008" s="6"/>
      <c r="F1008" s="1"/>
      <c r="K1008" s="1"/>
    </row>
    <row r="1009" spans="5:11" x14ac:dyDescent="0.3">
      <c r="E1009" s="6"/>
      <c r="F1009" s="1"/>
      <c r="K1009" s="1"/>
    </row>
    <row r="1010" spans="5:11" x14ac:dyDescent="0.3">
      <c r="E1010" s="6"/>
      <c r="F1010" s="1"/>
      <c r="K1010" s="1"/>
    </row>
    <row r="1011" spans="5:11" x14ac:dyDescent="0.3">
      <c r="E1011" s="5"/>
      <c r="F1011" s="1"/>
      <c r="K1011" s="1"/>
    </row>
    <row r="1012" spans="5:11" x14ac:dyDescent="0.3">
      <c r="E1012" s="5"/>
      <c r="F1012" s="1"/>
      <c r="K1012" s="1"/>
    </row>
    <row r="1013" spans="5:11" x14ac:dyDescent="0.3">
      <c r="E1013" s="6"/>
      <c r="F1013" s="1"/>
      <c r="K1013" s="1"/>
    </row>
    <row r="1014" spans="5:11" x14ac:dyDescent="0.3">
      <c r="E1014" s="6"/>
      <c r="F1014" s="1"/>
      <c r="K1014" s="1"/>
    </row>
    <row r="1015" spans="5:11" x14ac:dyDescent="0.3">
      <c r="E1015" s="6"/>
      <c r="F1015" s="1"/>
      <c r="K1015" s="1"/>
    </row>
    <row r="1016" spans="5:11" x14ac:dyDescent="0.3">
      <c r="E1016" s="6"/>
      <c r="F1016" s="1"/>
      <c r="K1016" s="1"/>
    </row>
    <row r="1017" spans="5:11" x14ac:dyDescent="0.3">
      <c r="E1017" s="6"/>
      <c r="F1017" s="1"/>
      <c r="K1017" s="1"/>
    </row>
    <row r="1018" spans="5:11" x14ac:dyDescent="0.3">
      <c r="E1018" s="6"/>
      <c r="F1018" s="1"/>
      <c r="K1018" s="1"/>
    </row>
    <row r="1019" spans="5:11" x14ac:dyDescent="0.3">
      <c r="E1019" s="6"/>
      <c r="F1019" s="1"/>
      <c r="K1019" s="1"/>
    </row>
    <row r="1020" spans="5:11" x14ac:dyDescent="0.3">
      <c r="E1020" s="6"/>
      <c r="F1020" s="1"/>
      <c r="K1020" s="1"/>
    </row>
    <row r="1021" spans="5:11" x14ac:dyDescent="0.3">
      <c r="E1021" s="6"/>
      <c r="F1021" s="1"/>
      <c r="K1021" s="1"/>
    </row>
    <row r="1022" spans="5:11" x14ac:dyDescent="0.3">
      <c r="E1022" s="6"/>
      <c r="F1022" s="1"/>
      <c r="K1022" s="1"/>
    </row>
    <row r="1023" spans="5:11" x14ac:dyDescent="0.3">
      <c r="E1023" s="6"/>
      <c r="F1023" s="1"/>
      <c r="K1023" s="1"/>
    </row>
    <row r="1024" spans="5:11" x14ac:dyDescent="0.3">
      <c r="E1024" s="6"/>
      <c r="F1024" s="1"/>
      <c r="K1024" s="1"/>
    </row>
    <row r="1025" spans="5:11" x14ac:dyDescent="0.3">
      <c r="E1025" s="6"/>
      <c r="F1025" s="1"/>
      <c r="K1025" s="1"/>
    </row>
    <row r="1026" spans="5:11" x14ac:dyDescent="0.3">
      <c r="E1026" s="6"/>
      <c r="F1026" s="1"/>
      <c r="K1026" s="1"/>
    </row>
    <row r="1027" spans="5:11" x14ac:dyDescent="0.3">
      <c r="E1027" s="6"/>
      <c r="F1027" s="1"/>
      <c r="K1027" s="1"/>
    </row>
    <row r="1028" spans="5:11" x14ac:dyDescent="0.3">
      <c r="E1028" s="6"/>
      <c r="F1028" s="1"/>
      <c r="K1028" s="1"/>
    </row>
    <row r="1029" spans="5:11" x14ac:dyDescent="0.3">
      <c r="E1029" s="6"/>
      <c r="F1029" s="1"/>
      <c r="K1029" s="1"/>
    </row>
    <row r="1030" spans="5:11" x14ac:dyDescent="0.3">
      <c r="E1030" s="6"/>
      <c r="F1030" s="1"/>
      <c r="K1030" s="1"/>
    </row>
    <row r="1031" spans="5:11" x14ac:dyDescent="0.3">
      <c r="E1031" s="6"/>
      <c r="F1031" s="1"/>
      <c r="K1031" s="1"/>
    </row>
    <row r="1032" spans="5:11" x14ac:dyDescent="0.3">
      <c r="E1032" s="6"/>
      <c r="F1032" s="1"/>
      <c r="K1032" s="1"/>
    </row>
    <row r="1033" spans="5:11" x14ac:dyDescent="0.3">
      <c r="E1033" s="6"/>
      <c r="F1033" s="1"/>
      <c r="K1033" s="1"/>
    </row>
    <row r="1034" spans="5:11" x14ac:dyDescent="0.3">
      <c r="E1034" s="6"/>
      <c r="F1034" s="1"/>
      <c r="K1034" s="1"/>
    </row>
    <row r="1035" spans="5:11" x14ac:dyDescent="0.3">
      <c r="E1035" s="6"/>
      <c r="F1035" s="1"/>
      <c r="K1035" s="1"/>
    </row>
    <row r="1036" spans="5:11" x14ac:dyDescent="0.3">
      <c r="E1036" s="6"/>
      <c r="F1036" s="1"/>
      <c r="K1036" s="1"/>
    </row>
    <row r="1037" spans="5:11" x14ac:dyDescent="0.3">
      <c r="E1037" s="6"/>
      <c r="F1037" s="1"/>
      <c r="K1037" s="1"/>
    </row>
    <row r="1038" spans="5:11" x14ac:dyDescent="0.3">
      <c r="E1038" s="6"/>
      <c r="F1038" s="1"/>
      <c r="K1038" s="1"/>
    </row>
    <row r="1039" spans="5:11" x14ac:dyDescent="0.3">
      <c r="E1039" s="6"/>
      <c r="F1039" s="1"/>
      <c r="K1039" s="1"/>
    </row>
    <row r="1040" spans="5:11" x14ac:dyDescent="0.3">
      <c r="E1040" s="6"/>
      <c r="F1040" s="1"/>
      <c r="K1040" s="1"/>
    </row>
    <row r="1041" spans="5:11" x14ac:dyDescent="0.3">
      <c r="E1041" s="6"/>
      <c r="F1041" s="1"/>
      <c r="K1041" s="1"/>
    </row>
    <row r="1042" spans="5:11" x14ac:dyDescent="0.3">
      <c r="E1042" s="6"/>
      <c r="F1042" s="1"/>
      <c r="K1042" s="1"/>
    </row>
    <row r="1043" spans="5:11" x14ac:dyDescent="0.3">
      <c r="E1043" s="6"/>
      <c r="F1043" s="1"/>
      <c r="K1043" s="1"/>
    </row>
    <row r="1044" spans="5:11" x14ac:dyDescent="0.3">
      <c r="E1044" s="6"/>
      <c r="F1044" s="1"/>
      <c r="K1044" s="1"/>
    </row>
    <row r="1045" spans="5:11" x14ac:dyDescent="0.3">
      <c r="E1045" s="6"/>
      <c r="F1045" s="1"/>
      <c r="K1045" s="1"/>
    </row>
    <row r="1046" spans="5:11" x14ac:dyDescent="0.3">
      <c r="E1046" s="6"/>
      <c r="F1046" s="1"/>
      <c r="K1046" s="1"/>
    </row>
    <row r="1047" spans="5:11" x14ac:dyDescent="0.3">
      <c r="E1047" s="6"/>
      <c r="F1047" s="1"/>
      <c r="K1047" s="1"/>
    </row>
    <row r="1048" spans="5:11" x14ac:dyDescent="0.3">
      <c r="E1048" s="6"/>
      <c r="F1048" s="1"/>
      <c r="K1048" s="1"/>
    </row>
    <row r="1049" spans="5:11" x14ac:dyDescent="0.3">
      <c r="E1049" s="6"/>
      <c r="F1049" s="1"/>
      <c r="K1049" s="1"/>
    </row>
    <row r="1050" spans="5:11" x14ac:dyDescent="0.3">
      <c r="E1050" s="6"/>
      <c r="F1050" s="1"/>
      <c r="K1050" s="1"/>
    </row>
    <row r="1051" spans="5:11" x14ac:dyDescent="0.3">
      <c r="E1051" s="6"/>
      <c r="F1051" s="1"/>
      <c r="K1051" s="1"/>
    </row>
    <row r="1052" spans="5:11" x14ac:dyDescent="0.3">
      <c r="E1052" s="6"/>
      <c r="F1052" s="1"/>
      <c r="K1052" s="1"/>
    </row>
    <row r="1053" spans="5:11" x14ac:dyDescent="0.3">
      <c r="E1053" s="6"/>
      <c r="F1053" s="1"/>
      <c r="K1053" s="1"/>
    </row>
    <row r="1054" spans="5:11" x14ac:dyDescent="0.3">
      <c r="E1054" s="6"/>
      <c r="F1054" s="1"/>
      <c r="K1054" s="1"/>
    </row>
    <row r="1055" spans="5:11" x14ac:dyDescent="0.3">
      <c r="E1055" s="6"/>
      <c r="F1055" s="1"/>
      <c r="K1055" s="1"/>
    </row>
    <row r="1056" spans="5:11" x14ac:dyDescent="0.3">
      <c r="E1056" s="6"/>
      <c r="F1056" s="1"/>
      <c r="K1056" s="1"/>
    </row>
    <row r="1057" spans="5:11" x14ac:dyDescent="0.3">
      <c r="E1057" s="6"/>
      <c r="F1057" s="1"/>
      <c r="K1057" s="1"/>
    </row>
    <row r="1058" spans="5:11" x14ac:dyDescent="0.3">
      <c r="E1058" s="6"/>
      <c r="F1058" s="1"/>
      <c r="K1058" s="1"/>
    </row>
    <row r="1059" spans="5:11" x14ac:dyDescent="0.3">
      <c r="E1059" s="6"/>
      <c r="F1059" s="1"/>
      <c r="K1059" s="1"/>
    </row>
    <row r="1060" spans="5:11" x14ac:dyDescent="0.3">
      <c r="E1060" s="6"/>
      <c r="F1060" s="1"/>
      <c r="K1060" s="1"/>
    </row>
    <row r="1061" spans="5:11" x14ac:dyDescent="0.3">
      <c r="E1061" s="6"/>
      <c r="F1061" s="1"/>
      <c r="K1061" s="1"/>
    </row>
    <row r="1062" spans="5:11" x14ac:dyDescent="0.3">
      <c r="E1062" s="6"/>
      <c r="F1062" s="1"/>
      <c r="K1062" s="1"/>
    </row>
    <row r="1063" spans="5:11" x14ac:dyDescent="0.3">
      <c r="E1063" s="6"/>
      <c r="F1063" s="1"/>
      <c r="K1063" s="1"/>
    </row>
    <row r="1064" spans="5:11" x14ac:dyDescent="0.3">
      <c r="E1064" s="6"/>
      <c r="F1064" s="1"/>
      <c r="K1064" s="1"/>
    </row>
    <row r="1065" spans="5:11" x14ac:dyDescent="0.3">
      <c r="E1065" s="6"/>
      <c r="F1065" s="1"/>
      <c r="K1065" s="1"/>
    </row>
    <row r="1066" spans="5:11" x14ac:dyDescent="0.3">
      <c r="E1066" s="6"/>
      <c r="F1066" s="1"/>
      <c r="K1066" s="1"/>
    </row>
    <row r="1067" spans="5:11" x14ac:dyDescent="0.3">
      <c r="E1067" s="6"/>
      <c r="F1067" s="1"/>
      <c r="K1067" s="1"/>
    </row>
    <row r="1068" spans="5:11" x14ac:dyDescent="0.3">
      <c r="E1068" s="6"/>
      <c r="F1068" s="1"/>
      <c r="K1068" s="1"/>
    </row>
    <row r="1069" spans="5:11" x14ac:dyDescent="0.3">
      <c r="E1069" s="6"/>
      <c r="F1069" s="1"/>
      <c r="K1069" s="1"/>
    </row>
    <row r="1070" spans="5:11" x14ac:dyDescent="0.3">
      <c r="E1070" s="6"/>
      <c r="F1070" s="1"/>
      <c r="K1070" s="1"/>
    </row>
    <row r="1071" spans="5:11" x14ac:dyDescent="0.3">
      <c r="E1071" s="6"/>
      <c r="F1071" s="1"/>
      <c r="K1071" s="1"/>
    </row>
    <row r="1072" spans="5:11" x14ac:dyDescent="0.3">
      <c r="E1072" s="6"/>
      <c r="F1072" s="1"/>
      <c r="K1072" s="1"/>
    </row>
    <row r="1073" spans="5:11" x14ac:dyDescent="0.3">
      <c r="E1073" s="6"/>
      <c r="F1073" s="1"/>
      <c r="K1073" s="1"/>
    </row>
    <row r="1074" spans="5:11" x14ac:dyDescent="0.3">
      <c r="E1074" s="6"/>
      <c r="F1074" s="1"/>
      <c r="K1074" s="1"/>
    </row>
    <row r="1075" spans="5:11" x14ac:dyDescent="0.3">
      <c r="E1075" s="6"/>
      <c r="F1075" s="1"/>
      <c r="K1075" s="1"/>
    </row>
    <row r="1076" spans="5:11" x14ac:dyDescent="0.3">
      <c r="E1076" s="6"/>
      <c r="F1076" s="1"/>
      <c r="K1076" s="1"/>
    </row>
    <row r="1077" spans="5:11" x14ac:dyDescent="0.3">
      <c r="E1077" s="6"/>
      <c r="F1077" s="1"/>
      <c r="K1077" s="1"/>
    </row>
    <row r="1078" spans="5:11" x14ac:dyDescent="0.3">
      <c r="E1078" s="6"/>
      <c r="F1078" s="1"/>
      <c r="K1078" s="1"/>
    </row>
    <row r="1079" spans="5:11" x14ac:dyDescent="0.3">
      <c r="E1079" s="5"/>
      <c r="F1079" s="1"/>
      <c r="K1079" s="1"/>
    </row>
    <row r="1080" spans="5:11" x14ac:dyDescent="0.3">
      <c r="E1080" s="6"/>
      <c r="F1080" s="1"/>
      <c r="K1080" s="1"/>
    </row>
    <row r="1081" spans="5:11" x14ac:dyDescent="0.3">
      <c r="E1081" s="6"/>
      <c r="F1081" s="1"/>
      <c r="K1081" s="1"/>
    </row>
    <row r="1082" spans="5:11" x14ac:dyDescent="0.3">
      <c r="E1082" s="6"/>
      <c r="F1082" s="1"/>
      <c r="K1082" s="1"/>
    </row>
    <row r="1083" spans="5:11" x14ac:dyDescent="0.3">
      <c r="E1083" s="6"/>
      <c r="F1083" s="1"/>
      <c r="K1083" s="1"/>
    </row>
    <row r="1084" spans="5:11" x14ac:dyDescent="0.3">
      <c r="E1084" s="6"/>
      <c r="F1084" s="1"/>
      <c r="K1084" s="1"/>
    </row>
    <row r="1085" spans="5:11" x14ac:dyDescent="0.3">
      <c r="E1085" s="6"/>
      <c r="F1085" s="1"/>
      <c r="K1085" s="1"/>
    </row>
    <row r="1086" spans="5:11" x14ac:dyDescent="0.3">
      <c r="E1086" s="6"/>
      <c r="F1086" s="1"/>
      <c r="K1086" s="1"/>
    </row>
    <row r="1087" spans="5:11" x14ac:dyDescent="0.3">
      <c r="E1087" s="6"/>
      <c r="F1087" s="1"/>
      <c r="K1087" s="1"/>
    </row>
    <row r="1088" spans="5:11" x14ac:dyDescent="0.3">
      <c r="E1088" s="6"/>
      <c r="F1088" s="1"/>
      <c r="K1088" s="1"/>
    </row>
    <row r="1089" spans="5:11" x14ac:dyDescent="0.3">
      <c r="E1089" s="6"/>
      <c r="F1089" s="1"/>
      <c r="K1089" s="1"/>
    </row>
    <row r="1090" spans="5:11" x14ac:dyDescent="0.3">
      <c r="E1090" s="6"/>
      <c r="F1090" s="1"/>
      <c r="K1090" s="1"/>
    </row>
    <row r="1091" spans="5:11" x14ac:dyDescent="0.3">
      <c r="E1091" s="6"/>
      <c r="F1091" s="1"/>
      <c r="K1091" s="1"/>
    </row>
    <row r="1092" spans="5:11" x14ac:dyDescent="0.3">
      <c r="E1092" s="6"/>
      <c r="F1092" s="1"/>
      <c r="K1092" s="1"/>
    </row>
    <row r="1093" spans="5:11" x14ac:dyDescent="0.3">
      <c r="E1093" s="6"/>
      <c r="F1093" s="1"/>
      <c r="K1093" s="1"/>
    </row>
    <row r="1094" spans="5:11" x14ac:dyDescent="0.3">
      <c r="E1094" s="6"/>
      <c r="F1094" s="1"/>
      <c r="K1094" s="1"/>
    </row>
    <row r="1095" spans="5:11" x14ac:dyDescent="0.3">
      <c r="E1095" s="6"/>
      <c r="F1095" s="1"/>
      <c r="K1095" s="1"/>
    </row>
    <row r="1096" spans="5:11" x14ac:dyDescent="0.3">
      <c r="E1096" s="6"/>
      <c r="F1096" s="1"/>
      <c r="K1096" s="1"/>
    </row>
    <row r="1097" spans="5:11" x14ac:dyDescent="0.3">
      <c r="E1097" s="6"/>
      <c r="F1097" s="1"/>
      <c r="K1097" s="1"/>
    </row>
    <row r="1098" spans="5:11" x14ac:dyDescent="0.3">
      <c r="E1098" s="6"/>
      <c r="F1098" s="1"/>
      <c r="K1098" s="1"/>
    </row>
    <row r="1099" spans="5:11" x14ac:dyDescent="0.3">
      <c r="E1099" s="6"/>
      <c r="F1099" s="1"/>
      <c r="K1099" s="1"/>
    </row>
    <row r="1100" spans="5:11" x14ac:dyDescent="0.3">
      <c r="E1100" s="6"/>
      <c r="F1100" s="1"/>
      <c r="K1100" s="1"/>
    </row>
    <row r="1101" spans="5:11" x14ac:dyDescent="0.3">
      <c r="E1101" s="6"/>
      <c r="F1101" s="1"/>
      <c r="K1101" s="1"/>
    </row>
    <row r="1102" spans="5:11" x14ac:dyDescent="0.3">
      <c r="E1102" s="6"/>
      <c r="F1102" s="1"/>
      <c r="K1102" s="1"/>
    </row>
    <row r="1103" spans="5:11" x14ac:dyDescent="0.3">
      <c r="E1103" s="5"/>
      <c r="F1103" s="1"/>
      <c r="K1103" s="1"/>
    </row>
    <row r="1104" spans="5:11" x14ac:dyDescent="0.3">
      <c r="E1104" s="5"/>
      <c r="F1104" s="1"/>
      <c r="K1104" s="1"/>
    </row>
    <row r="1105" spans="5:11" x14ac:dyDescent="0.3">
      <c r="E1105" s="5"/>
      <c r="F1105" s="1"/>
      <c r="K1105" s="1"/>
    </row>
    <row r="1106" spans="5:11" x14ac:dyDescent="0.3">
      <c r="E1106" s="6"/>
      <c r="F1106" s="1"/>
      <c r="K1106" s="1"/>
    </row>
    <row r="1107" spans="5:11" x14ac:dyDescent="0.3">
      <c r="E1107" s="6"/>
      <c r="F1107" s="1"/>
      <c r="K1107" s="1"/>
    </row>
    <row r="1108" spans="5:11" x14ac:dyDescent="0.3">
      <c r="E1108" s="6"/>
      <c r="F1108" s="1"/>
      <c r="K1108" s="1"/>
    </row>
    <row r="1109" spans="5:11" x14ac:dyDescent="0.3">
      <c r="E1109" s="6"/>
      <c r="F1109" s="1"/>
      <c r="K1109" s="1"/>
    </row>
    <row r="1110" spans="5:11" x14ac:dyDescent="0.3">
      <c r="E1110" s="6"/>
      <c r="F1110" s="1"/>
      <c r="K1110" s="1"/>
    </row>
    <row r="1111" spans="5:11" x14ac:dyDescent="0.3">
      <c r="E1111" s="6"/>
      <c r="F1111" s="1"/>
      <c r="K1111" s="1"/>
    </row>
    <row r="1112" spans="5:11" x14ac:dyDescent="0.3">
      <c r="E1112" s="6"/>
      <c r="F1112" s="1"/>
      <c r="K1112" s="1"/>
    </row>
    <row r="1113" spans="5:11" x14ac:dyDescent="0.3">
      <c r="E1113" s="6"/>
      <c r="F1113" s="1"/>
      <c r="K1113" s="1"/>
    </row>
    <row r="1114" spans="5:11" x14ac:dyDescent="0.3">
      <c r="E1114" s="6"/>
      <c r="F1114" s="1"/>
      <c r="K1114" s="1"/>
    </row>
    <row r="1115" spans="5:11" x14ac:dyDescent="0.3">
      <c r="E1115" s="6"/>
      <c r="F1115" s="1"/>
      <c r="K1115" s="1"/>
    </row>
    <row r="1116" spans="5:11" x14ac:dyDescent="0.3">
      <c r="E1116" s="6"/>
      <c r="F1116" s="1"/>
      <c r="K1116" s="1"/>
    </row>
    <row r="1117" spans="5:11" x14ac:dyDescent="0.3">
      <c r="E1117" s="6"/>
      <c r="F1117" s="1"/>
      <c r="K1117" s="1"/>
    </row>
    <row r="1118" spans="5:11" x14ac:dyDescent="0.3">
      <c r="E1118" s="6"/>
      <c r="F1118" s="1"/>
      <c r="K1118" s="1"/>
    </row>
    <row r="1119" spans="5:11" x14ac:dyDescent="0.3">
      <c r="E1119" s="6"/>
      <c r="F1119" s="1"/>
      <c r="K1119" s="1"/>
    </row>
    <row r="1120" spans="5:11" x14ac:dyDescent="0.3">
      <c r="E1120" s="6"/>
      <c r="F1120" s="1"/>
      <c r="K1120" s="1"/>
    </row>
    <row r="1121" spans="5:11" x14ac:dyDescent="0.3">
      <c r="E1121" s="6"/>
      <c r="F1121" s="1"/>
      <c r="K1121" s="1"/>
    </row>
    <row r="1122" spans="5:11" x14ac:dyDescent="0.3">
      <c r="E1122" s="6"/>
      <c r="F1122" s="1"/>
      <c r="K1122" s="1"/>
    </row>
    <row r="1123" spans="5:11" x14ac:dyDescent="0.3">
      <c r="E1123" s="6"/>
      <c r="F1123" s="1"/>
      <c r="K1123" s="1"/>
    </row>
    <row r="1124" spans="5:11" x14ac:dyDescent="0.3">
      <c r="E1124" s="6"/>
      <c r="F1124" s="1"/>
      <c r="K1124" s="1"/>
    </row>
    <row r="1125" spans="5:11" x14ac:dyDescent="0.3">
      <c r="E1125" s="6"/>
      <c r="F1125" s="1"/>
      <c r="K1125" s="1"/>
    </row>
    <row r="1126" spans="5:11" x14ac:dyDescent="0.3">
      <c r="E1126" s="6"/>
      <c r="F1126" s="1"/>
      <c r="K1126" s="1"/>
    </row>
    <row r="1127" spans="5:11" x14ac:dyDescent="0.3">
      <c r="E1127" s="6"/>
      <c r="F1127" s="1"/>
      <c r="K1127" s="1"/>
    </row>
    <row r="1128" spans="5:11" x14ac:dyDescent="0.3">
      <c r="E1128" s="6"/>
      <c r="F1128" s="1"/>
      <c r="K1128" s="1"/>
    </row>
    <row r="1129" spans="5:11" x14ac:dyDescent="0.3">
      <c r="E1129" s="6"/>
      <c r="F1129" s="1"/>
      <c r="K1129" s="1"/>
    </row>
    <row r="1130" spans="5:11" x14ac:dyDescent="0.3">
      <c r="E1130" s="6"/>
      <c r="F1130" s="1"/>
      <c r="K1130" s="1"/>
    </row>
    <row r="1131" spans="5:11" x14ac:dyDescent="0.3">
      <c r="E1131" s="6"/>
      <c r="F1131" s="1"/>
      <c r="K1131" s="1"/>
    </row>
    <row r="1132" spans="5:11" x14ac:dyDescent="0.3">
      <c r="E1132" s="6"/>
      <c r="F1132" s="1"/>
      <c r="K1132" s="1"/>
    </row>
    <row r="1133" spans="5:11" x14ac:dyDescent="0.3">
      <c r="E1133" s="6"/>
      <c r="F1133" s="1"/>
      <c r="K1133" s="1"/>
    </row>
    <row r="1134" spans="5:11" x14ac:dyDescent="0.3">
      <c r="E1134" s="6"/>
      <c r="F1134" s="1"/>
      <c r="K1134" s="1"/>
    </row>
    <row r="1135" spans="5:11" x14ac:dyDescent="0.3">
      <c r="E1135" s="6"/>
      <c r="F1135" s="1"/>
      <c r="K1135" s="1"/>
    </row>
    <row r="1136" spans="5:11" x14ac:dyDescent="0.3">
      <c r="E1136" s="5"/>
      <c r="F1136" s="1"/>
      <c r="K1136" s="1"/>
    </row>
    <row r="1137" spans="5:11" x14ac:dyDescent="0.3">
      <c r="E1137" s="5"/>
      <c r="F1137" s="1"/>
      <c r="K1137" s="1"/>
    </row>
    <row r="1138" spans="5:11" x14ac:dyDescent="0.3">
      <c r="E1138" s="5"/>
      <c r="F1138" s="1"/>
      <c r="K1138" s="1"/>
    </row>
    <row r="1139" spans="5:11" x14ac:dyDescent="0.3">
      <c r="E1139" s="6"/>
      <c r="F1139" s="1"/>
      <c r="K1139" s="1"/>
    </row>
    <row r="1140" spans="5:11" x14ac:dyDescent="0.3">
      <c r="E1140" s="6"/>
      <c r="F1140" s="1"/>
      <c r="K1140" s="1"/>
    </row>
    <row r="1141" spans="5:11" x14ac:dyDescent="0.3">
      <c r="E1141" s="6"/>
      <c r="F1141" s="1"/>
      <c r="K1141" s="1"/>
    </row>
    <row r="1142" spans="5:11" x14ac:dyDescent="0.3">
      <c r="E1142" s="6"/>
      <c r="F1142" s="1"/>
      <c r="K1142" s="1"/>
    </row>
    <row r="1143" spans="5:11" x14ac:dyDescent="0.3">
      <c r="E1143" s="6"/>
      <c r="F1143" s="1"/>
      <c r="K1143" s="1"/>
    </row>
    <row r="1144" spans="5:11" x14ac:dyDescent="0.3">
      <c r="E1144" s="6"/>
      <c r="F1144" s="1"/>
      <c r="K1144" s="1"/>
    </row>
    <row r="1145" spans="5:11" x14ac:dyDescent="0.3">
      <c r="E1145" s="6"/>
      <c r="F1145" s="1"/>
      <c r="K1145" s="1"/>
    </row>
    <row r="1146" spans="5:11" x14ac:dyDescent="0.3">
      <c r="E1146" s="6"/>
      <c r="F1146" s="1"/>
      <c r="K1146" s="1"/>
    </row>
    <row r="1147" spans="5:11" x14ac:dyDescent="0.3">
      <c r="E1147" s="6"/>
      <c r="F1147" s="1"/>
      <c r="K1147" s="1"/>
    </row>
    <row r="1148" spans="5:11" x14ac:dyDescent="0.3">
      <c r="E1148" s="6"/>
      <c r="F1148" s="1"/>
      <c r="K1148" s="1"/>
    </row>
    <row r="1149" spans="5:11" x14ac:dyDescent="0.3">
      <c r="E1149" s="6"/>
      <c r="F1149" s="1"/>
      <c r="K1149" s="1"/>
    </row>
    <row r="1150" spans="5:11" x14ac:dyDescent="0.3">
      <c r="E1150" s="6"/>
      <c r="F1150" s="1"/>
      <c r="K1150" s="1"/>
    </row>
    <row r="1151" spans="5:11" x14ac:dyDescent="0.3">
      <c r="E1151" s="6"/>
      <c r="F1151" s="1"/>
      <c r="K1151" s="1"/>
    </row>
    <row r="1152" spans="5:11" x14ac:dyDescent="0.3">
      <c r="E1152" s="6"/>
      <c r="F1152" s="1"/>
      <c r="K1152" s="1"/>
    </row>
    <row r="1153" spans="5:11" x14ac:dyDescent="0.3">
      <c r="E1153" s="6"/>
      <c r="F1153" s="1"/>
      <c r="K1153" s="1"/>
    </row>
    <row r="1154" spans="5:11" x14ac:dyDescent="0.3">
      <c r="E1154" s="6"/>
      <c r="F1154" s="1"/>
      <c r="K1154" s="1"/>
    </row>
    <row r="1155" spans="5:11" x14ac:dyDescent="0.3">
      <c r="E1155" s="6"/>
      <c r="F1155" s="1"/>
      <c r="K1155" s="1"/>
    </row>
    <row r="1156" spans="5:11" x14ac:dyDescent="0.3">
      <c r="E1156" s="6"/>
      <c r="F1156" s="1"/>
      <c r="K1156" s="1"/>
    </row>
    <row r="1157" spans="5:11" x14ac:dyDescent="0.3">
      <c r="E1157" s="6"/>
      <c r="F1157" s="1"/>
      <c r="K1157" s="1"/>
    </row>
    <row r="1158" spans="5:11" x14ac:dyDescent="0.3">
      <c r="E1158" s="6"/>
      <c r="F1158" s="1"/>
      <c r="K1158" s="1"/>
    </row>
    <row r="1159" spans="5:11" x14ac:dyDescent="0.3">
      <c r="E1159" s="6"/>
      <c r="F1159" s="1"/>
      <c r="K1159" s="1"/>
    </row>
    <row r="1160" spans="5:11" x14ac:dyDescent="0.3">
      <c r="E1160" s="6"/>
      <c r="F1160" s="1"/>
      <c r="K1160" s="1"/>
    </row>
    <row r="1161" spans="5:11" x14ac:dyDescent="0.3">
      <c r="E1161" s="6"/>
      <c r="F1161" s="1"/>
      <c r="K1161" s="1"/>
    </row>
    <row r="1162" spans="5:11" x14ac:dyDescent="0.3">
      <c r="E1162" s="6"/>
      <c r="F1162" s="1"/>
      <c r="K1162" s="1"/>
    </row>
    <row r="1163" spans="5:11" x14ac:dyDescent="0.3">
      <c r="E1163" s="6"/>
      <c r="F1163" s="1"/>
      <c r="K1163" s="1"/>
    </row>
    <row r="1164" spans="5:11" x14ac:dyDescent="0.3">
      <c r="E1164" s="6"/>
      <c r="F1164" s="1"/>
      <c r="K1164" s="1"/>
    </row>
    <row r="1165" spans="5:11" x14ac:dyDescent="0.3">
      <c r="E1165" s="6"/>
      <c r="F1165" s="1"/>
      <c r="K1165" s="1"/>
    </row>
    <row r="1166" spans="5:11" x14ac:dyDescent="0.3">
      <c r="E1166" s="5"/>
      <c r="F1166" s="1"/>
      <c r="K1166" s="1"/>
    </row>
    <row r="1167" spans="5:11" x14ac:dyDescent="0.3">
      <c r="E1167" s="6"/>
      <c r="F1167" s="1"/>
      <c r="K1167" s="1"/>
    </row>
    <row r="1168" spans="5:11" x14ac:dyDescent="0.3">
      <c r="E1168" s="6"/>
      <c r="F1168" s="1"/>
      <c r="K1168" s="1"/>
    </row>
    <row r="1169" spans="5:11" x14ac:dyDescent="0.3">
      <c r="E1169" s="6"/>
      <c r="F1169" s="1"/>
      <c r="K1169" s="1"/>
    </row>
    <row r="1170" spans="5:11" x14ac:dyDescent="0.3">
      <c r="E1170" s="6"/>
      <c r="F1170" s="1"/>
      <c r="K1170" s="1"/>
    </row>
    <row r="1171" spans="5:11" x14ac:dyDescent="0.3">
      <c r="E1171" s="6"/>
      <c r="F1171" s="1"/>
      <c r="K1171" s="1"/>
    </row>
    <row r="1172" spans="5:11" x14ac:dyDescent="0.3">
      <c r="E1172" s="6"/>
      <c r="F1172" s="1"/>
      <c r="K1172" s="1"/>
    </row>
    <row r="1173" spans="5:11" x14ac:dyDescent="0.3">
      <c r="E1173" s="6"/>
      <c r="F1173" s="1"/>
      <c r="K1173" s="1"/>
    </row>
    <row r="1174" spans="5:11" x14ac:dyDescent="0.3">
      <c r="E1174" s="6"/>
      <c r="F1174" s="1"/>
      <c r="K1174" s="1"/>
    </row>
    <row r="1175" spans="5:11" x14ac:dyDescent="0.3">
      <c r="E1175" s="6"/>
      <c r="F1175" s="1"/>
      <c r="K1175" s="1"/>
    </row>
    <row r="1176" spans="5:11" x14ac:dyDescent="0.3">
      <c r="E1176" s="6"/>
      <c r="F1176" s="1"/>
      <c r="K1176" s="1"/>
    </row>
    <row r="1177" spans="5:11" x14ac:dyDescent="0.3">
      <c r="E1177" s="6"/>
      <c r="F1177" s="1"/>
      <c r="K1177" s="1"/>
    </row>
    <row r="1178" spans="5:11" x14ac:dyDescent="0.3">
      <c r="E1178" s="6"/>
      <c r="F1178" s="1"/>
      <c r="K1178" s="1"/>
    </row>
    <row r="1179" spans="5:11" x14ac:dyDescent="0.3">
      <c r="E1179" s="6"/>
      <c r="F1179" s="1"/>
      <c r="K1179" s="1"/>
    </row>
    <row r="1180" spans="5:11" x14ac:dyDescent="0.3">
      <c r="E1180" s="6"/>
      <c r="F1180" s="1"/>
      <c r="K1180" s="1"/>
    </row>
    <row r="1181" spans="5:11" x14ac:dyDescent="0.3">
      <c r="E1181" s="6"/>
      <c r="F1181" s="1"/>
      <c r="K1181" s="1"/>
    </row>
    <row r="1182" spans="5:11" x14ac:dyDescent="0.3">
      <c r="E1182" s="6"/>
      <c r="F1182" s="1"/>
      <c r="K1182" s="1"/>
    </row>
    <row r="1183" spans="5:11" x14ac:dyDescent="0.3">
      <c r="E1183" s="6"/>
      <c r="F1183" s="1"/>
      <c r="K1183" s="1"/>
    </row>
    <row r="1184" spans="5:11" x14ac:dyDescent="0.3">
      <c r="E1184" s="6"/>
      <c r="F1184" s="1"/>
      <c r="K1184" s="1"/>
    </row>
    <row r="1185" spans="5:11" x14ac:dyDescent="0.3">
      <c r="E1185" s="6"/>
      <c r="F1185" s="1"/>
      <c r="K1185" s="1"/>
    </row>
    <row r="1186" spans="5:11" x14ac:dyDescent="0.3">
      <c r="E1186" s="6"/>
      <c r="F1186" s="1"/>
      <c r="K1186" s="1"/>
    </row>
    <row r="1187" spans="5:11" x14ac:dyDescent="0.3">
      <c r="E1187" s="6"/>
      <c r="F1187" s="1"/>
      <c r="K1187" s="1"/>
    </row>
    <row r="1188" spans="5:11" x14ac:dyDescent="0.3">
      <c r="E1188" s="6"/>
      <c r="F1188" s="1"/>
      <c r="K1188" s="1"/>
    </row>
    <row r="1189" spans="5:11" x14ac:dyDescent="0.3">
      <c r="E1189" s="6"/>
      <c r="F1189" s="1"/>
      <c r="K1189" s="1"/>
    </row>
    <row r="1190" spans="5:11" x14ac:dyDescent="0.3">
      <c r="E1190" s="6"/>
      <c r="F1190" s="1"/>
      <c r="K1190" s="1"/>
    </row>
    <row r="1191" spans="5:11" x14ac:dyDescent="0.3">
      <c r="E1191" s="6"/>
      <c r="F1191" s="1"/>
      <c r="K1191" s="1"/>
    </row>
    <row r="1192" spans="5:11" x14ac:dyDescent="0.3">
      <c r="E1192" s="6"/>
      <c r="F1192" s="1"/>
      <c r="K1192" s="1"/>
    </row>
    <row r="1193" spans="5:11" x14ac:dyDescent="0.3">
      <c r="E1193" s="6"/>
      <c r="F1193" s="1"/>
      <c r="K1193" s="1"/>
    </row>
    <row r="1194" spans="5:11" x14ac:dyDescent="0.3">
      <c r="E1194" s="6"/>
      <c r="F1194" s="1"/>
      <c r="K1194" s="1"/>
    </row>
    <row r="1195" spans="5:11" x14ac:dyDescent="0.3">
      <c r="E1195" s="6"/>
      <c r="F1195" s="1"/>
      <c r="K1195" s="1"/>
    </row>
    <row r="1196" spans="5:11" x14ac:dyDescent="0.3">
      <c r="E1196" s="6"/>
      <c r="F1196" s="1"/>
      <c r="K1196" s="1"/>
    </row>
    <row r="1197" spans="5:11" x14ac:dyDescent="0.3">
      <c r="E1197" s="6"/>
      <c r="F1197" s="1"/>
      <c r="K1197" s="1"/>
    </row>
    <row r="1198" spans="5:11" x14ac:dyDescent="0.3">
      <c r="E1198" s="6"/>
      <c r="F1198" s="1"/>
      <c r="K1198" s="1"/>
    </row>
    <row r="1199" spans="5:11" x14ac:dyDescent="0.3">
      <c r="E1199" s="6"/>
      <c r="F1199" s="1"/>
      <c r="K1199" s="1"/>
    </row>
    <row r="1200" spans="5:11" x14ac:dyDescent="0.3">
      <c r="E1200" s="6"/>
      <c r="F1200" s="1"/>
      <c r="K1200" s="1"/>
    </row>
    <row r="1201" spans="5:11" x14ac:dyDescent="0.3">
      <c r="E1201" s="6"/>
      <c r="F1201" s="1"/>
      <c r="K1201" s="1"/>
    </row>
    <row r="1202" spans="5:11" x14ac:dyDescent="0.3">
      <c r="E1202" s="5"/>
      <c r="F1202" s="1"/>
      <c r="K1202" s="1"/>
    </row>
    <row r="1203" spans="5:11" x14ac:dyDescent="0.3">
      <c r="E1203" s="5"/>
      <c r="F1203" s="1"/>
      <c r="K1203" s="1"/>
    </row>
    <row r="1204" spans="5:11" x14ac:dyDescent="0.3">
      <c r="E1204" s="5"/>
      <c r="F1204" s="1"/>
      <c r="K1204" s="1"/>
    </row>
    <row r="1205" spans="5:11" x14ac:dyDescent="0.3">
      <c r="E1205" s="5"/>
      <c r="F1205" s="1"/>
      <c r="K1205" s="1"/>
    </row>
    <row r="1206" spans="5:11" x14ac:dyDescent="0.3">
      <c r="E1206" s="6"/>
      <c r="F1206" s="1"/>
      <c r="K1206" s="1"/>
    </row>
    <row r="1207" spans="5:11" x14ac:dyDescent="0.3">
      <c r="E1207" s="6"/>
      <c r="F1207" s="1"/>
      <c r="K1207" s="1"/>
    </row>
    <row r="1208" spans="5:11" x14ac:dyDescent="0.3">
      <c r="E1208" s="6"/>
      <c r="F1208" s="1"/>
      <c r="K1208" s="1"/>
    </row>
    <row r="1209" spans="5:11" x14ac:dyDescent="0.3">
      <c r="E1209" s="6"/>
      <c r="F1209" s="1"/>
      <c r="K1209" s="1"/>
    </row>
    <row r="1210" spans="5:11" x14ac:dyDescent="0.3">
      <c r="E1210" s="6"/>
      <c r="F1210" s="1"/>
      <c r="K1210" s="1"/>
    </row>
    <row r="1211" spans="5:11" x14ac:dyDescent="0.3">
      <c r="E1211" s="6"/>
      <c r="F1211" s="1"/>
      <c r="K1211" s="1"/>
    </row>
    <row r="1212" spans="5:11" x14ac:dyDescent="0.3">
      <c r="E1212" s="6"/>
      <c r="F1212" s="1"/>
      <c r="K1212" s="1"/>
    </row>
    <row r="1213" spans="5:11" x14ac:dyDescent="0.3">
      <c r="E1213" s="6"/>
      <c r="F1213" s="1"/>
      <c r="K1213" s="1"/>
    </row>
    <row r="1214" spans="5:11" x14ac:dyDescent="0.3">
      <c r="E1214" s="6"/>
      <c r="F1214" s="1"/>
      <c r="K1214" s="1"/>
    </row>
    <row r="1215" spans="5:11" x14ac:dyDescent="0.3">
      <c r="E1215" s="6"/>
      <c r="F1215" s="1"/>
      <c r="K1215" s="1"/>
    </row>
    <row r="1216" spans="5:11" x14ac:dyDescent="0.3">
      <c r="E1216" s="6"/>
      <c r="F1216" s="1"/>
      <c r="K1216" s="1"/>
    </row>
    <row r="1217" spans="5:11" x14ac:dyDescent="0.3">
      <c r="E1217" s="6"/>
      <c r="F1217" s="1"/>
      <c r="K1217" s="1"/>
    </row>
    <row r="1218" spans="5:11" x14ac:dyDescent="0.3">
      <c r="E1218" s="6"/>
      <c r="F1218" s="1"/>
      <c r="K1218" s="1"/>
    </row>
    <row r="1219" spans="5:11" x14ac:dyDescent="0.3">
      <c r="E1219" s="6"/>
      <c r="F1219" s="1"/>
      <c r="K1219" s="1"/>
    </row>
    <row r="1220" spans="5:11" x14ac:dyDescent="0.3">
      <c r="E1220" s="6"/>
      <c r="F1220" s="1"/>
      <c r="K1220" s="1"/>
    </row>
    <row r="1221" spans="5:11" x14ac:dyDescent="0.3">
      <c r="E1221" s="6"/>
      <c r="F1221" s="1"/>
      <c r="K1221" s="1"/>
    </row>
    <row r="1222" spans="5:11" x14ac:dyDescent="0.3">
      <c r="E1222" s="6"/>
      <c r="F1222" s="1"/>
      <c r="K1222" s="1"/>
    </row>
    <row r="1223" spans="5:11" x14ac:dyDescent="0.3">
      <c r="E1223" s="6"/>
      <c r="F1223" s="1"/>
      <c r="K1223" s="1"/>
    </row>
    <row r="1224" spans="5:11" x14ac:dyDescent="0.3">
      <c r="E1224" s="6"/>
      <c r="F1224" s="1"/>
      <c r="K1224" s="1"/>
    </row>
    <row r="1225" spans="5:11" x14ac:dyDescent="0.3">
      <c r="E1225" s="6"/>
      <c r="F1225" s="1"/>
      <c r="K1225" s="1"/>
    </row>
    <row r="1226" spans="5:11" x14ac:dyDescent="0.3">
      <c r="E1226" s="6"/>
      <c r="F1226" s="1"/>
      <c r="K1226" s="1"/>
    </row>
    <row r="1227" spans="5:11" x14ac:dyDescent="0.3">
      <c r="E1227" s="6"/>
      <c r="F1227" s="1"/>
      <c r="K1227" s="1"/>
    </row>
    <row r="1228" spans="5:11" x14ac:dyDescent="0.3">
      <c r="E1228" s="6"/>
      <c r="F1228" s="1"/>
      <c r="K1228" s="1"/>
    </row>
    <row r="1229" spans="5:11" x14ac:dyDescent="0.3">
      <c r="E1229" s="6"/>
      <c r="F1229" s="1"/>
      <c r="K1229" s="1"/>
    </row>
    <row r="1230" spans="5:11" x14ac:dyDescent="0.3">
      <c r="E1230" s="6"/>
      <c r="F1230" s="1"/>
      <c r="K1230" s="1"/>
    </row>
    <row r="1231" spans="5:11" x14ac:dyDescent="0.3">
      <c r="E1231" s="6"/>
      <c r="F1231" s="1"/>
      <c r="K1231" s="1"/>
    </row>
    <row r="1232" spans="5:11" x14ac:dyDescent="0.3">
      <c r="E1232" s="6"/>
      <c r="F1232" s="1"/>
      <c r="K1232" s="1"/>
    </row>
    <row r="1233" spans="5:11" x14ac:dyDescent="0.3">
      <c r="E1233" s="6"/>
      <c r="F1233" s="1"/>
      <c r="K1233" s="1"/>
    </row>
    <row r="1234" spans="5:11" x14ac:dyDescent="0.3">
      <c r="E1234" s="6"/>
      <c r="F1234" s="1"/>
      <c r="K1234" s="1"/>
    </row>
    <row r="1235" spans="5:11" x14ac:dyDescent="0.3">
      <c r="E1235" s="6"/>
      <c r="F1235" s="1"/>
      <c r="K1235" s="1"/>
    </row>
    <row r="1236" spans="5:11" x14ac:dyDescent="0.3">
      <c r="E1236" s="6"/>
      <c r="F1236" s="1"/>
      <c r="K1236" s="1"/>
    </row>
    <row r="1237" spans="5:11" x14ac:dyDescent="0.3">
      <c r="E1237" s="6"/>
      <c r="F1237" s="1"/>
      <c r="K1237" s="1"/>
    </row>
    <row r="1238" spans="5:11" x14ac:dyDescent="0.3">
      <c r="E1238" s="6"/>
      <c r="F1238" s="1"/>
      <c r="K1238" s="1"/>
    </row>
    <row r="1239" spans="5:11" x14ac:dyDescent="0.3">
      <c r="E1239" s="6"/>
      <c r="F1239" s="1"/>
      <c r="K1239" s="1"/>
    </row>
    <row r="1240" spans="5:11" x14ac:dyDescent="0.3">
      <c r="E1240" s="6"/>
      <c r="F1240" s="1"/>
      <c r="K1240" s="1"/>
    </row>
    <row r="1241" spans="5:11" x14ac:dyDescent="0.3">
      <c r="E1241" s="6"/>
      <c r="F1241" s="1"/>
      <c r="K1241" s="1"/>
    </row>
    <row r="1242" spans="5:11" x14ac:dyDescent="0.3">
      <c r="E1242" s="6"/>
      <c r="F1242" s="1"/>
      <c r="K1242" s="1"/>
    </row>
    <row r="1243" spans="5:11" x14ac:dyDescent="0.3">
      <c r="E1243" s="6"/>
      <c r="F1243" s="1"/>
      <c r="K1243" s="1"/>
    </row>
    <row r="1244" spans="5:11" x14ac:dyDescent="0.3">
      <c r="E1244" s="6"/>
      <c r="F1244" s="1"/>
      <c r="K1244" s="1"/>
    </row>
    <row r="1245" spans="5:11" x14ac:dyDescent="0.3">
      <c r="E1245" s="6"/>
      <c r="F1245" s="1"/>
      <c r="K1245" s="1"/>
    </row>
    <row r="1246" spans="5:11" x14ac:dyDescent="0.3">
      <c r="E1246" s="6"/>
      <c r="F1246" s="1"/>
      <c r="K1246" s="1"/>
    </row>
    <row r="1247" spans="5:11" x14ac:dyDescent="0.3">
      <c r="E1247" s="6"/>
      <c r="F1247" s="1"/>
      <c r="K1247" s="1"/>
    </row>
    <row r="1248" spans="5:11" x14ac:dyDescent="0.3">
      <c r="E1248" s="6"/>
      <c r="F1248" s="1"/>
      <c r="K1248" s="1"/>
    </row>
    <row r="1249" spans="5:11" x14ac:dyDescent="0.3">
      <c r="E1249" s="6"/>
      <c r="F1249" s="1"/>
      <c r="K1249" s="1"/>
    </row>
    <row r="1250" spans="5:11" x14ac:dyDescent="0.3">
      <c r="E1250" s="6"/>
      <c r="F1250" s="1"/>
      <c r="K1250" s="1"/>
    </row>
    <row r="1251" spans="5:11" x14ac:dyDescent="0.3">
      <c r="E1251" s="6"/>
      <c r="F1251" s="1"/>
      <c r="K1251" s="1"/>
    </row>
    <row r="1252" spans="5:11" x14ac:dyDescent="0.3">
      <c r="E1252" s="6"/>
      <c r="F1252" s="1"/>
      <c r="K1252" s="1"/>
    </row>
    <row r="1253" spans="5:11" x14ac:dyDescent="0.3">
      <c r="E1253" s="6"/>
      <c r="F1253" s="1"/>
      <c r="K1253" s="1"/>
    </row>
    <row r="1254" spans="5:11" x14ac:dyDescent="0.3">
      <c r="E1254" s="6"/>
      <c r="F1254" s="1"/>
      <c r="K1254" s="1"/>
    </row>
    <row r="1255" spans="5:11" x14ac:dyDescent="0.3">
      <c r="E1255" s="6"/>
      <c r="F1255" s="1"/>
      <c r="K1255" s="1"/>
    </row>
    <row r="1256" spans="5:11" x14ac:dyDescent="0.3">
      <c r="E1256" s="6"/>
      <c r="F1256" s="1"/>
      <c r="K1256" s="1"/>
    </row>
    <row r="1257" spans="5:11" x14ac:dyDescent="0.3">
      <c r="E1257" s="6"/>
      <c r="F1257" s="1"/>
      <c r="K1257" s="1"/>
    </row>
    <row r="1258" spans="5:11" x14ac:dyDescent="0.3">
      <c r="E1258" s="6"/>
      <c r="F1258" s="1"/>
      <c r="K1258" s="1"/>
    </row>
    <row r="1259" spans="5:11" x14ac:dyDescent="0.3">
      <c r="E1259" s="6"/>
      <c r="F1259" s="1"/>
      <c r="K1259" s="1"/>
    </row>
    <row r="1260" spans="5:11" x14ac:dyDescent="0.3">
      <c r="E1260" s="6"/>
      <c r="F1260" s="1"/>
      <c r="K1260" s="1"/>
    </row>
    <row r="1261" spans="5:11" x14ac:dyDescent="0.3">
      <c r="E1261" s="6"/>
      <c r="F1261" s="1"/>
      <c r="K1261" s="1"/>
    </row>
    <row r="1262" spans="5:11" x14ac:dyDescent="0.3">
      <c r="E1262" s="6"/>
      <c r="F1262" s="1"/>
      <c r="K1262" s="1"/>
    </row>
    <row r="1263" spans="5:11" x14ac:dyDescent="0.3">
      <c r="E1263" s="6"/>
      <c r="F1263" s="1"/>
      <c r="K1263" s="1"/>
    </row>
    <row r="1264" spans="5:11" x14ac:dyDescent="0.3">
      <c r="E1264" s="6"/>
      <c r="F1264" s="1"/>
      <c r="K1264" s="1"/>
    </row>
    <row r="1265" spans="5:11" x14ac:dyDescent="0.3">
      <c r="E1265" s="6"/>
      <c r="F1265" s="1"/>
      <c r="K1265" s="1"/>
    </row>
    <row r="1266" spans="5:11" x14ac:dyDescent="0.3">
      <c r="E1266" s="6"/>
      <c r="F1266" s="1"/>
      <c r="K1266" s="1"/>
    </row>
    <row r="1267" spans="5:11" x14ac:dyDescent="0.3">
      <c r="E1267" s="5"/>
      <c r="F1267" s="1"/>
      <c r="K1267" s="1"/>
    </row>
    <row r="1268" spans="5:11" x14ac:dyDescent="0.3">
      <c r="E1268" s="6"/>
      <c r="F1268" s="1"/>
      <c r="K1268" s="1"/>
    </row>
    <row r="1269" spans="5:11" x14ac:dyDescent="0.3">
      <c r="E1269" s="6"/>
      <c r="F1269" s="1"/>
      <c r="K1269" s="1"/>
    </row>
    <row r="1270" spans="5:11" x14ac:dyDescent="0.3">
      <c r="E1270" s="6"/>
      <c r="F1270" s="1"/>
      <c r="K1270" s="1"/>
    </row>
    <row r="1271" spans="5:11" x14ac:dyDescent="0.3">
      <c r="E1271" s="6"/>
      <c r="F1271" s="1"/>
      <c r="K1271" s="1"/>
    </row>
    <row r="1272" spans="5:11" x14ac:dyDescent="0.3">
      <c r="E1272" s="6"/>
      <c r="F1272" s="1"/>
      <c r="K1272" s="1"/>
    </row>
    <row r="1273" spans="5:11" x14ac:dyDescent="0.3">
      <c r="E1273" s="6"/>
      <c r="F1273" s="1"/>
      <c r="K1273" s="1"/>
    </row>
    <row r="1274" spans="5:11" x14ac:dyDescent="0.3">
      <c r="E1274" s="6"/>
      <c r="F1274" s="1"/>
      <c r="K1274" s="1"/>
    </row>
    <row r="1275" spans="5:11" x14ac:dyDescent="0.3">
      <c r="E1275" s="6"/>
      <c r="F1275" s="1"/>
      <c r="K1275" s="1"/>
    </row>
    <row r="1276" spans="5:11" x14ac:dyDescent="0.3">
      <c r="E1276" s="6"/>
      <c r="F1276" s="1"/>
      <c r="K1276" s="1"/>
    </row>
    <row r="1277" spans="5:11" x14ac:dyDescent="0.3">
      <c r="E1277" s="6"/>
      <c r="F1277" s="1"/>
      <c r="K1277" s="1"/>
    </row>
    <row r="1278" spans="5:11" x14ac:dyDescent="0.3">
      <c r="E1278" s="6"/>
      <c r="F1278" s="1"/>
      <c r="K1278" s="1"/>
    </row>
    <row r="1279" spans="5:11" x14ac:dyDescent="0.3">
      <c r="E1279" s="6"/>
      <c r="F1279" s="1"/>
      <c r="K1279" s="1"/>
    </row>
    <row r="1280" spans="5:11" x14ac:dyDescent="0.3">
      <c r="E1280" s="6"/>
      <c r="F1280" s="1"/>
      <c r="K1280" s="1"/>
    </row>
    <row r="1281" spans="5:11" x14ac:dyDescent="0.3">
      <c r="E1281" s="6"/>
      <c r="F1281" s="1"/>
      <c r="K1281" s="1"/>
    </row>
    <row r="1282" spans="5:11" x14ac:dyDescent="0.3">
      <c r="E1282" s="6"/>
      <c r="F1282" s="1"/>
      <c r="K1282" s="1"/>
    </row>
    <row r="1283" spans="5:11" x14ac:dyDescent="0.3">
      <c r="E1283" s="6"/>
      <c r="F1283" s="1"/>
      <c r="K1283" s="1"/>
    </row>
    <row r="1284" spans="5:11" x14ac:dyDescent="0.3">
      <c r="E1284" s="6"/>
      <c r="F1284" s="1"/>
      <c r="K1284" s="1"/>
    </row>
    <row r="1285" spans="5:11" x14ac:dyDescent="0.3">
      <c r="E1285" s="6"/>
      <c r="F1285" s="1"/>
      <c r="K1285" s="1"/>
    </row>
    <row r="1286" spans="5:11" x14ac:dyDescent="0.3">
      <c r="E1286" s="6"/>
      <c r="F1286" s="1"/>
      <c r="K1286" s="1"/>
    </row>
    <row r="1287" spans="5:11" x14ac:dyDescent="0.3">
      <c r="E1287" s="6"/>
      <c r="F1287" s="1"/>
      <c r="K1287" s="1"/>
    </row>
    <row r="1288" spans="5:11" x14ac:dyDescent="0.3">
      <c r="E1288" s="6"/>
      <c r="F1288" s="1"/>
      <c r="K1288" s="1"/>
    </row>
    <row r="1289" spans="5:11" x14ac:dyDescent="0.3">
      <c r="E1289" s="6"/>
      <c r="F1289" s="1"/>
      <c r="K1289" s="1"/>
    </row>
    <row r="1290" spans="5:11" x14ac:dyDescent="0.3">
      <c r="E1290" s="6"/>
      <c r="F1290" s="1"/>
      <c r="K1290" s="1"/>
    </row>
    <row r="1291" spans="5:11" x14ac:dyDescent="0.3">
      <c r="E1291" s="6"/>
      <c r="F1291" s="1"/>
      <c r="K1291" s="1"/>
    </row>
    <row r="1292" spans="5:11" x14ac:dyDescent="0.3">
      <c r="E1292" s="6"/>
      <c r="F1292" s="1"/>
      <c r="K1292" s="1"/>
    </row>
    <row r="1293" spans="5:11" x14ac:dyDescent="0.3">
      <c r="E1293" s="6"/>
      <c r="F1293" s="1"/>
      <c r="K1293" s="1"/>
    </row>
    <row r="1294" spans="5:11" x14ac:dyDescent="0.3">
      <c r="E1294" s="6"/>
      <c r="F1294" s="1"/>
      <c r="K1294" s="1"/>
    </row>
    <row r="1295" spans="5:11" x14ac:dyDescent="0.3">
      <c r="E1295" s="6"/>
      <c r="F1295" s="1"/>
      <c r="K1295" s="1"/>
    </row>
    <row r="1296" spans="5:11" x14ac:dyDescent="0.3">
      <c r="E1296" s="6"/>
      <c r="F1296" s="1"/>
      <c r="K1296" s="1"/>
    </row>
    <row r="1297" spans="5:11" x14ac:dyDescent="0.3">
      <c r="E1297" s="6"/>
      <c r="F1297" s="1"/>
      <c r="K1297" s="1"/>
    </row>
    <row r="1298" spans="5:11" x14ac:dyDescent="0.3">
      <c r="E1298" s="5"/>
      <c r="F1298" s="1"/>
      <c r="K1298" s="1"/>
    </row>
    <row r="1299" spans="5:11" x14ac:dyDescent="0.3">
      <c r="E1299" s="5"/>
      <c r="F1299" s="1"/>
      <c r="K1299" s="1"/>
    </row>
    <row r="1300" spans="5:11" x14ac:dyDescent="0.3">
      <c r="E1300" s="6"/>
      <c r="F1300" s="1"/>
      <c r="K1300" s="1"/>
    </row>
    <row r="1301" spans="5:11" x14ac:dyDescent="0.3">
      <c r="E1301" s="6"/>
      <c r="F1301" s="1"/>
      <c r="K1301" s="1"/>
    </row>
    <row r="1302" spans="5:11" x14ac:dyDescent="0.3">
      <c r="E1302" s="6"/>
      <c r="F1302" s="1"/>
      <c r="K1302" s="1"/>
    </row>
    <row r="1303" spans="5:11" x14ac:dyDescent="0.3">
      <c r="E1303" s="6"/>
      <c r="F1303" s="1"/>
      <c r="K1303" s="1"/>
    </row>
    <row r="1304" spans="5:11" x14ac:dyDescent="0.3">
      <c r="E1304" s="6"/>
      <c r="F1304" s="1"/>
      <c r="K1304" s="1"/>
    </row>
    <row r="1305" spans="5:11" x14ac:dyDescent="0.3">
      <c r="E1305" s="6"/>
      <c r="F1305" s="1"/>
      <c r="K1305" s="1"/>
    </row>
    <row r="1306" spans="5:11" x14ac:dyDescent="0.3">
      <c r="E1306" s="6"/>
      <c r="F1306" s="1"/>
      <c r="K1306" s="1"/>
    </row>
    <row r="1307" spans="5:11" x14ac:dyDescent="0.3">
      <c r="E1307" s="6"/>
      <c r="F1307" s="1"/>
      <c r="K1307" s="1"/>
    </row>
    <row r="1308" spans="5:11" x14ac:dyDescent="0.3">
      <c r="E1308" s="6"/>
      <c r="F1308" s="1"/>
      <c r="K1308" s="1"/>
    </row>
    <row r="1309" spans="5:11" x14ac:dyDescent="0.3">
      <c r="E1309" s="6"/>
      <c r="F1309" s="1"/>
      <c r="K1309" s="1"/>
    </row>
    <row r="1310" spans="5:11" x14ac:dyDescent="0.3">
      <c r="E1310" s="6"/>
      <c r="F1310" s="1"/>
      <c r="K1310" s="1"/>
    </row>
    <row r="1311" spans="5:11" x14ac:dyDescent="0.3">
      <c r="E1311" s="6"/>
      <c r="F1311" s="1"/>
      <c r="K1311" s="1"/>
    </row>
    <row r="1312" spans="5:11" x14ac:dyDescent="0.3">
      <c r="E1312" s="6"/>
      <c r="F1312" s="1"/>
      <c r="K1312" s="1"/>
    </row>
    <row r="1313" spans="5:11" x14ac:dyDescent="0.3">
      <c r="E1313" s="6"/>
      <c r="F1313" s="1"/>
      <c r="K1313" s="1"/>
    </row>
    <row r="1314" spans="5:11" x14ac:dyDescent="0.3">
      <c r="E1314" s="6"/>
      <c r="F1314" s="1"/>
      <c r="K1314" s="1"/>
    </row>
    <row r="1315" spans="5:11" x14ac:dyDescent="0.3">
      <c r="E1315" s="6"/>
      <c r="F1315" s="1"/>
      <c r="K1315" s="1"/>
    </row>
    <row r="1316" spans="5:11" x14ac:dyDescent="0.3">
      <c r="E1316" s="6"/>
      <c r="F1316" s="1"/>
      <c r="K1316" s="1"/>
    </row>
    <row r="1317" spans="5:11" x14ac:dyDescent="0.3">
      <c r="E1317" s="6"/>
      <c r="F1317" s="1"/>
      <c r="K1317" s="1"/>
    </row>
    <row r="1318" spans="5:11" x14ac:dyDescent="0.3">
      <c r="E1318" s="6"/>
      <c r="F1318" s="1"/>
      <c r="K1318" s="1"/>
    </row>
    <row r="1319" spans="5:11" x14ac:dyDescent="0.3">
      <c r="E1319" s="6"/>
      <c r="F1319" s="1"/>
      <c r="K1319" s="1"/>
    </row>
    <row r="1320" spans="5:11" x14ac:dyDescent="0.3">
      <c r="E1320" s="6"/>
      <c r="F1320" s="1"/>
      <c r="K1320" s="1"/>
    </row>
    <row r="1321" spans="5:11" x14ac:dyDescent="0.3">
      <c r="E1321" s="6"/>
      <c r="F1321" s="1"/>
      <c r="K1321" s="1"/>
    </row>
    <row r="1322" spans="5:11" x14ac:dyDescent="0.3">
      <c r="E1322" s="6"/>
      <c r="F1322" s="1"/>
      <c r="K1322" s="1"/>
    </row>
    <row r="1323" spans="5:11" x14ac:dyDescent="0.3">
      <c r="E1323" s="6"/>
      <c r="F1323" s="1"/>
      <c r="K1323" s="1"/>
    </row>
    <row r="1324" spans="5:11" x14ac:dyDescent="0.3">
      <c r="E1324" s="6"/>
      <c r="F1324" s="1"/>
      <c r="K1324" s="1"/>
    </row>
    <row r="1325" spans="5:11" x14ac:dyDescent="0.3">
      <c r="E1325" s="6"/>
      <c r="F1325" s="1"/>
      <c r="K1325" s="1"/>
    </row>
    <row r="1326" spans="5:11" x14ac:dyDescent="0.3">
      <c r="E1326" s="6"/>
      <c r="F1326" s="1"/>
      <c r="K1326" s="1"/>
    </row>
    <row r="1327" spans="5:11" x14ac:dyDescent="0.3">
      <c r="E1327" s="6"/>
      <c r="F1327" s="1"/>
      <c r="K1327" s="1"/>
    </row>
    <row r="1328" spans="5:11" x14ac:dyDescent="0.3">
      <c r="E1328" s="6"/>
      <c r="F1328" s="1"/>
      <c r="K1328" s="1"/>
    </row>
    <row r="1329" spans="5:11" x14ac:dyDescent="0.3">
      <c r="E1329" s="6"/>
      <c r="F1329" s="1"/>
      <c r="K1329" s="1"/>
    </row>
    <row r="1330" spans="5:11" x14ac:dyDescent="0.3">
      <c r="E1330" s="6"/>
      <c r="F1330" s="1"/>
      <c r="K1330" s="1"/>
    </row>
    <row r="1331" spans="5:11" x14ac:dyDescent="0.3">
      <c r="E1331" s="6"/>
      <c r="F1331" s="1"/>
      <c r="K1331" s="1"/>
    </row>
    <row r="1332" spans="5:11" x14ac:dyDescent="0.3">
      <c r="E1332" s="6"/>
      <c r="F1332" s="1"/>
      <c r="K1332" s="1"/>
    </row>
    <row r="1333" spans="5:11" x14ac:dyDescent="0.3">
      <c r="E1333" s="6"/>
      <c r="F1333" s="1"/>
      <c r="K1333" s="1"/>
    </row>
    <row r="1334" spans="5:11" x14ac:dyDescent="0.3">
      <c r="E1334" s="6"/>
      <c r="F1334" s="1"/>
      <c r="K1334" s="1"/>
    </row>
    <row r="1335" spans="5:11" x14ac:dyDescent="0.3">
      <c r="E1335" s="6"/>
      <c r="F1335" s="1"/>
      <c r="K1335" s="1"/>
    </row>
    <row r="1336" spans="5:11" x14ac:dyDescent="0.3">
      <c r="E1336" s="5"/>
      <c r="F1336" s="1"/>
      <c r="K1336" s="1"/>
    </row>
    <row r="1337" spans="5:11" x14ac:dyDescent="0.3">
      <c r="E1337" s="5"/>
      <c r="F1337" s="1"/>
      <c r="K1337" s="1"/>
    </row>
    <row r="1338" spans="5:11" x14ac:dyDescent="0.3">
      <c r="E1338" s="6"/>
      <c r="F1338" s="1"/>
      <c r="K1338" s="1"/>
    </row>
    <row r="1339" spans="5:11" x14ac:dyDescent="0.3">
      <c r="E1339" s="6"/>
      <c r="F1339" s="1"/>
      <c r="K1339" s="1"/>
    </row>
    <row r="1340" spans="5:11" x14ac:dyDescent="0.3">
      <c r="E1340" s="6"/>
      <c r="F1340" s="1"/>
      <c r="K1340" s="1"/>
    </row>
    <row r="1341" spans="5:11" x14ac:dyDescent="0.3">
      <c r="E1341" s="6"/>
      <c r="F1341" s="1"/>
      <c r="K1341" s="1"/>
    </row>
    <row r="1342" spans="5:11" x14ac:dyDescent="0.3">
      <c r="E1342" s="6"/>
      <c r="F1342" s="1"/>
      <c r="K1342" s="1"/>
    </row>
    <row r="1343" spans="5:11" x14ac:dyDescent="0.3">
      <c r="E1343" s="6"/>
      <c r="F1343" s="1"/>
      <c r="K1343" s="1"/>
    </row>
    <row r="1344" spans="5:11" x14ac:dyDescent="0.3">
      <c r="E1344" s="6"/>
      <c r="F1344" s="1"/>
      <c r="K1344" s="1"/>
    </row>
    <row r="1345" spans="5:11" x14ac:dyDescent="0.3">
      <c r="E1345" s="6"/>
      <c r="F1345" s="1"/>
      <c r="K1345" s="1"/>
    </row>
    <row r="1346" spans="5:11" x14ac:dyDescent="0.3">
      <c r="E1346" s="6"/>
      <c r="F1346" s="1"/>
      <c r="K1346" s="1"/>
    </row>
    <row r="1347" spans="5:11" x14ac:dyDescent="0.3">
      <c r="E1347" s="6"/>
      <c r="F1347" s="1"/>
      <c r="K1347" s="1"/>
    </row>
    <row r="1348" spans="5:11" x14ac:dyDescent="0.3">
      <c r="E1348" s="6"/>
      <c r="F1348" s="1"/>
      <c r="K1348" s="1"/>
    </row>
    <row r="1349" spans="5:11" x14ac:dyDescent="0.3">
      <c r="E1349" s="6"/>
      <c r="F1349" s="1"/>
      <c r="K1349" s="1"/>
    </row>
    <row r="1350" spans="5:11" x14ac:dyDescent="0.3">
      <c r="E1350" s="6"/>
      <c r="F1350" s="1"/>
      <c r="K1350" s="1"/>
    </row>
    <row r="1351" spans="5:11" x14ac:dyDescent="0.3">
      <c r="E1351" s="6"/>
      <c r="F1351" s="1"/>
      <c r="K1351" s="1"/>
    </row>
    <row r="1352" spans="5:11" x14ac:dyDescent="0.3">
      <c r="E1352" s="5"/>
      <c r="F1352" s="1"/>
      <c r="K1352" s="1"/>
    </row>
    <row r="1353" spans="5:11" x14ac:dyDescent="0.3">
      <c r="E1353" s="5"/>
      <c r="F1353" s="1"/>
      <c r="K1353" s="1"/>
    </row>
    <row r="1354" spans="5:11" x14ac:dyDescent="0.3">
      <c r="E1354" s="6"/>
      <c r="F1354" s="1"/>
      <c r="K1354" s="1"/>
    </row>
    <row r="1355" spans="5:11" x14ac:dyDescent="0.3">
      <c r="E1355" s="6"/>
      <c r="F1355" s="1"/>
      <c r="K1355" s="1"/>
    </row>
    <row r="1356" spans="5:11" x14ac:dyDescent="0.3">
      <c r="E1356" s="6"/>
      <c r="F1356" s="1"/>
      <c r="K1356" s="1"/>
    </row>
    <row r="1357" spans="5:11" x14ac:dyDescent="0.3">
      <c r="E1357" s="6"/>
      <c r="F1357" s="1"/>
      <c r="K1357" s="1"/>
    </row>
    <row r="1358" spans="5:11" x14ac:dyDescent="0.3">
      <c r="E1358" s="6"/>
      <c r="F1358" s="1"/>
      <c r="K1358" s="1"/>
    </row>
    <row r="1359" spans="5:11" x14ac:dyDescent="0.3">
      <c r="E1359" s="6"/>
      <c r="F1359" s="1"/>
      <c r="K1359" s="1"/>
    </row>
    <row r="1360" spans="5:11" x14ac:dyDescent="0.3">
      <c r="E1360" s="6"/>
      <c r="F1360" s="1"/>
      <c r="K1360" s="1"/>
    </row>
    <row r="1361" spans="5:11" x14ac:dyDescent="0.3">
      <c r="E1361" s="6"/>
      <c r="F1361" s="1"/>
      <c r="K1361" s="1"/>
    </row>
    <row r="1362" spans="5:11" x14ac:dyDescent="0.3">
      <c r="E1362" s="6"/>
      <c r="F1362" s="1"/>
      <c r="K1362" s="1"/>
    </row>
    <row r="1363" spans="5:11" x14ac:dyDescent="0.3">
      <c r="E1363" s="6"/>
      <c r="F1363" s="1"/>
      <c r="K1363" s="1"/>
    </row>
    <row r="1364" spans="5:11" x14ac:dyDescent="0.3">
      <c r="E1364" s="5"/>
      <c r="F1364" s="1"/>
      <c r="K1364" s="1"/>
    </row>
    <row r="1365" spans="5:11" x14ac:dyDescent="0.3">
      <c r="E1365" s="6"/>
      <c r="F1365" s="1"/>
      <c r="K1365" s="1"/>
    </row>
    <row r="1366" spans="5:11" x14ac:dyDescent="0.3">
      <c r="E1366" s="6"/>
      <c r="F1366" s="1"/>
      <c r="K1366" s="1"/>
    </row>
    <row r="1367" spans="5:11" x14ac:dyDescent="0.3">
      <c r="E1367" s="6"/>
      <c r="F1367" s="1"/>
      <c r="K1367" s="1"/>
    </row>
    <row r="1368" spans="5:11" x14ac:dyDescent="0.3">
      <c r="E1368" s="6"/>
      <c r="F1368" s="1"/>
      <c r="K1368" s="1"/>
    </row>
    <row r="1369" spans="5:11" x14ac:dyDescent="0.3">
      <c r="E1369" s="6"/>
      <c r="F1369" s="1"/>
      <c r="K1369" s="1"/>
    </row>
    <row r="1370" spans="5:11" x14ac:dyDescent="0.3">
      <c r="E1370" s="6"/>
      <c r="F1370" s="1"/>
      <c r="K1370" s="1"/>
    </row>
    <row r="1371" spans="5:11" x14ac:dyDescent="0.3">
      <c r="E1371" s="6"/>
      <c r="F1371" s="1"/>
      <c r="K1371" s="1"/>
    </row>
    <row r="1372" spans="5:11" x14ac:dyDescent="0.3">
      <c r="E1372" s="6"/>
      <c r="F1372" s="1"/>
      <c r="K1372" s="1"/>
    </row>
    <row r="1373" spans="5:11" x14ac:dyDescent="0.3">
      <c r="E1373" s="6"/>
      <c r="F1373" s="1"/>
      <c r="K1373" s="1"/>
    </row>
    <row r="1374" spans="5:11" x14ac:dyDescent="0.3">
      <c r="E1374" s="6"/>
      <c r="F1374" s="1"/>
      <c r="K1374" s="1"/>
    </row>
    <row r="1375" spans="5:11" x14ac:dyDescent="0.3">
      <c r="E1375" s="6"/>
      <c r="F1375" s="1"/>
      <c r="K1375" s="1"/>
    </row>
    <row r="1376" spans="5:11" x14ac:dyDescent="0.3">
      <c r="E1376" s="6"/>
      <c r="F1376" s="1"/>
      <c r="K1376" s="1"/>
    </row>
    <row r="1377" spans="5:11" x14ac:dyDescent="0.3">
      <c r="E1377" s="6"/>
      <c r="F1377" s="1"/>
      <c r="K1377" s="1"/>
    </row>
    <row r="1378" spans="5:11" x14ac:dyDescent="0.3">
      <c r="E1378" s="6"/>
      <c r="F1378" s="1"/>
      <c r="K1378" s="1"/>
    </row>
    <row r="1379" spans="5:11" x14ac:dyDescent="0.3">
      <c r="E1379" s="6"/>
      <c r="F1379" s="1"/>
      <c r="K1379" s="1"/>
    </row>
    <row r="1380" spans="5:11" x14ac:dyDescent="0.3">
      <c r="E1380" s="6"/>
      <c r="F1380" s="1"/>
      <c r="K1380" s="1"/>
    </row>
    <row r="1381" spans="5:11" x14ac:dyDescent="0.3">
      <c r="E1381" s="6"/>
      <c r="F1381" s="1"/>
      <c r="K1381" s="1"/>
    </row>
    <row r="1382" spans="5:11" x14ac:dyDescent="0.3">
      <c r="E1382" s="6"/>
      <c r="F1382" s="1"/>
      <c r="K1382" s="1"/>
    </row>
    <row r="1383" spans="5:11" x14ac:dyDescent="0.3">
      <c r="E1383" s="6"/>
      <c r="F1383" s="1"/>
      <c r="K1383" s="1"/>
    </row>
    <row r="1384" spans="5:11" x14ac:dyDescent="0.3">
      <c r="E1384" s="6"/>
      <c r="F1384" s="1"/>
      <c r="K1384" s="1"/>
    </row>
    <row r="1385" spans="5:11" x14ac:dyDescent="0.3">
      <c r="E1385" s="6"/>
      <c r="F1385" s="1"/>
      <c r="K1385" s="1"/>
    </row>
    <row r="1386" spans="5:11" x14ac:dyDescent="0.3">
      <c r="E1386" s="6"/>
      <c r="F1386" s="1"/>
      <c r="K1386" s="1"/>
    </row>
    <row r="1387" spans="5:11" x14ac:dyDescent="0.3">
      <c r="E1387" s="6"/>
      <c r="F1387" s="1"/>
      <c r="K1387" s="1"/>
    </row>
    <row r="1388" spans="5:11" x14ac:dyDescent="0.3">
      <c r="E1388" s="5"/>
      <c r="F1388" s="1"/>
      <c r="K1388" s="1"/>
    </row>
    <row r="1389" spans="5:11" x14ac:dyDescent="0.3">
      <c r="E1389" s="6"/>
      <c r="F1389" s="1"/>
      <c r="K1389" s="1"/>
    </row>
    <row r="1390" spans="5:11" x14ac:dyDescent="0.3">
      <c r="E1390" s="6"/>
      <c r="F1390" s="1"/>
      <c r="K1390" s="1"/>
    </row>
    <row r="1391" spans="5:11" x14ac:dyDescent="0.3">
      <c r="E1391" s="6"/>
      <c r="F1391" s="1"/>
      <c r="K1391" s="1"/>
    </row>
    <row r="1392" spans="5:11" x14ac:dyDescent="0.3">
      <c r="E1392" s="6"/>
      <c r="F1392" s="1"/>
      <c r="K1392" s="1"/>
    </row>
    <row r="1393" spans="5:11" x14ac:dyDescent="0.3">
      <c r="E1393" s="6"/>
      <c r="F1393" s="1"/>
      <c r="K1393" s="1"/>
    </row>
    <row r="1394" spans="5:11" x14ac:dyDescent="0.3">
      <c r="E1394" s="6"/>
      <c r="F1394" s="1"/>
      <c r="K1394" s="1"/>
    </row>
    <row r="1395" spans="5:11" x14ac:dyDescent="0.3">
      <c r="E1395" s="6"/>
      <c r="F1395" s="1"/>
      <c r="K1395" s="1"/>
    </row>
    <row r="1396" spans="5:11" x14ac:dyDescent="0.3">
      <c r="E1396" s="6"/>
      <c r="F1396" s="1"/>
      <c r="K1396" s="1"/>
    </row>
    <row r="1397" spans="5:11" x14ac:dyDescent="0.3">
      <c r="E1397" s="5"/>
      <c r="F1397" s="1"/>
      <c r="K1397" s="1"/>
    </row>
    <row r="1398" spans="5:11" x14ac:dyDescent="0.3">
      <c r="E1398" s="5"/>
      <c r="F1398" s="1"/>
      <c r="K1398" s="1"/>
    </row>
    <row r="1399" spans="5:11" x14ac:dyDescent="0.3">
      <c r="E1399" s="5"/>
      <c r="F1399" s="1"/>
      <c r="K1399" s="1"/>
    </row>
    <row r="1400" spans="5:11" x14ac:dyDescent="0.3">
      <c r="E1400" s="5"/>
      <c r="F1400" s="1"/>
      <c r="K1400" s="1"/>
    </row>
    <row r="1401" spans="5:11" x14ac:dyDescent="0.3">
      <c r="E1401" s="5"/>
      <c r="F1401" s="1"/>
      <c r="K1401" s="1"/>
    </row>
    <row r="1402" spans="5:11" x14ac:dyDescent="0.3">
      <c r="E1402" s="5"/>
      <c r="F1402" s="1"/>
      <c r="K1402" s="1"/>
    </row>
    <row r="1403" spans="5:11" x14ac:dyDescent="0.3">
      <c r="E1403" s="5"/>
      <c r="F1403" s="1"/>
      <c r="K1403" s="1"/>
    </row>
    <row r="1404" spans="5:11" x14ac:dyDescent="0.3">
      <c r="E1404" s="5"/>
      <c r="F1404" s="1"/>
      <c r="K1404" s="1"/>
    </row>
    <row r="1405" spans="5:11" x14ac:dyDescent="0.3">
      <c r="E1405" s="5"/>
      <c r="F1405" s="1"/>
      <c r="K1405" s="1"/>
    </row>
    <row r="1406" spans="5:11" x14ac:dyDescent="0.3">
      <c r="E1406" s="5"/>
      <c r="F1406" s="1"/>
      <c r="K1406" s="1"/>
    </row>
    <row r="1407" spans="5:11" x14ac:dyDescent="0.3">
      <c r="E1407" s="5"/>
      <c r="F1407" s="1"/>
      <c r="K1407" s="1"/>
    </row>
    <row r="1408" spans="5:11" x14ac:dyDescent="0.3">
      <c r="E1408" s="5"/>
      <c r="F1408" s="1"/>
      <c r="K1408" s="1"/>
    </row>
    <row r="1409" spans="5:11" x14ac:dyDescent="0.3">
      <c r="E1409" s="5"/>
      <c r="F1409" s="1"/>
      <c r="K1409" s="1"/>
    </row>
    <row r="1410" spans="5:11" x14ac:dyDescent="0.3">
      <c r="E1410" s="5"/>
      <c r="F1410" s="1"/>
      <c r="K1410" s="1"/>
    </row>
    <row r="1411" spans="5:11" x14ac:dyDescent="0.3">
      <c r="E1411" s="5"/>
      <c r="F1411" s="1"/>
      <c r="K1411" s="1"/>
    </row>
    <row r="1412" spans="5:11" x14ac:dyDescent="0.3">
      <c r="E1412" s="5"/>
      <c r="F1412" s="1"/>
      <c r="K1412" s="1"/>
    </row>
    <row r="1413" spans="5:11" x14ac:dyDescent="0.3">
      <c r="E1413" s="5"/>
      <c r="F1413" s="1"/>
      <c r="K1413" s="1"/>
    </row>
    <row r="1414" spans="5:11" x14ac:dyDescent="0.3">
      <c r="E1414" s="5"/>
      <c r="F1414" s="1"/>
      <c r="K1414" s="1"/>
    </row>
    <row r="1415" spans="5:11" x14ac:dyDescent="0.3">
      <c r="E1415" s="5"/>
      <c r="F1415" s="1"/>
      <c r="K1415" s="1"/>
    </row>
    <row r="1416" spans="5:11" x14ac:dyDescent="0.3">
      <c r="E1416" s="5"/>
      <c r="F1416" s="1"/>
      <c r="K1416" s="1"/>
    </row>
    <row r="1417" spans="5:11" x14ac:dyDescent="0.3">
      <c r="E1417" s="5"/>
      <c r="F1417" s="1"/>
      <c r="K1417" s="1"/>
    </row>
    <row r="1418" spans="5:11" x14ac:dyDescent="0.3">
      <c r="E1418" s="5"/>
      <c r="F1418" s="1"/>
      <c r="K1418" s="1"/>
    </row>
    <row r="1419" spans="5:11" x14ac:dyDescent="0.3">
      <c r="E1419" s="5"/>
      <c r="F1419" s="1"/>
      <c r="K1419" s="1"/>
    </row>
    <row r="1420" spans="5:11" x14ac:dyDescent="0.3">
      <c r="E1420" s="5"/>
      <c r="F1420" s="1"/>
      <c r="K1420" s="1"/>
    </row>
    <row r="1421" spans="5:11" x14ac:dyDescent="0.3">
      <c r="E1421" s="5"/>
      <c r="F1421" s="1"/>
      <c r="K1421" s="1"/>
    </row>
    <row r="1422" spans="5:11" x14ac:dyDescent="0.3">
      <c r="E1422" s="5"/>
      <c r="F1422" s="1"/>
      <c r="K1422" s="1"/>
    </row>
    <row r="1423" spans="5:11" x14ac:dyDescent="0.3">
      <c r="E1423" s="5"/>
      <c r="F1423" s="1"/>
      <c r="K1423" s="1"/>
    </row>
    <row r="1424" spans="5:11" x14ac:dyDescent="0.3">
      <c r="E1424" s="5"/>
      <c r="F1424" s="1"/>
      <c r="K1424" s="1"/>
    </row>
    <row r="1425" spans="5:11" x14ac:dyDescent="0.3">
      <c r="E1425" s="5"/>
      <c r="F1425" s="1"/>
      <c r="K1425" s="1"/>
    </row>
    <row r="1426" spans="5:11" x14ac:dyDescent="0.3">
      <c r="E1426" s="5"/>
      <c r="F1426" s="1"/>
      <c r="K1426" s="1"/>
    </row>
    <row r="1427" spans="5:11" x14ac:dyDescent="0.3">
      <c r="E1427" s="5"/>
      <c r="F1427" s="1"/>
      <c r="K1427" s="1"/>
    </row>
    <row r="1428" spans="5:11" x14ac:dyDescent="0.3">
      <c r="E1428" s="5"/>
      <c r="F1428" s="1"/>
      <c r="K1428" s="1"/>
    </row>
    <row r="1429" spans="5:11" x14ac:dyDescent="0.3">
      <c r="E1429" s="5"/>
      <c r="F1429" s="1"/>
      <c r="K1429" s="1"/>
    </row>
    <row r="1430" spans="5:11" x14ac:dyDescent="0.3">
      <c r="E1430" s="5"/>
      <c r="F1430" s="1"/>
      <c r="K1430" s="1"/>
    </row>
    <row r="1431" spans="5:11" x14ac:dyDescent="0.3">
      <c r="E1431" s="5"/>
      <c r="F1431" s="1"/>
      <c r="K1431" s="1"/>
    </row>
    <row r="1432" spans="5:11" x14ac:dyDescent="0.3">
      <c r="E1432" s="5"/>
      <c r="F1432" s="1"/>
      <c r="K1432" s="1"/>
    </row>
    <row r="1433" spans="5:11" x14ac:dyDescent="0.3">
      <c r="E1433" s="5"/>
      <c r="F1433" s="1"/>
      <c r="K1433" s="1"/>
    </row>
    <row r="1434" spans="5:11" x14ac:dyDescent="0.3">
      <c r="E1434" s="5"/>
      <c r="F1434" s="1"/>
      <c r="K1434" s="1"/>
    </row>
    <row r="1435" spans="5:11" x14ac:dyDescent="0.3">
      <c r="E1435" s="5"/>
      <c r="F1435" s="1"/>
      <c r="K1435" s="1"/>
    </row>
    <row r="1436" spans="5:11" x14ac:dyDescent="0.3">
      <c r="E1436" s="5"/>
      <c r="F1436" s="1"/>
      <c r="K1436" s="1"/>
    </row>
    <row r="1437" spans="5:11" x14ac:dyDescent="0.3">
      <c r="E1437" s="5"/>
      <c r="F1437" s="1"/>
      <c r="K1437" s="1"/>
    </row>
    <row r="1438" spans="5:11" x14ac:dyDescent="0.3">
      <c r="E1438" s="5"/>
      <c r="F1438" s="1"/>
      <c r="K1438" s="1"/>
    </row>
    <row r="1439" spans="5:11" x14ac:dyDescent="0.3">
      <c r="E1439" s="5"/>
      <c r="F1439" s="1"/>
      <c r="K1439" s="1"/>
    </row>
    <row r="1440" spans="5:11" x14ac:dyDescent="0.3">
      <c r="E1440" s="5"/>
      <c r="F1440" s="1"/>
      <c r="K1440" s="1"/>
    </row>
    <row r="1441" spans="5:11" x14ac:dyDescent="0.3">
      <c r="E1441" s="5"/>
      <c r="F1441" s="1"/>
      <c r="K1441" s="1"/>
    </row>
    <row r="1442" spans="5:11" x14ac:dyDescent="0.3">
      <c r="E1442" s="6"/>
      <c r="F1442" s="1"/>
      <c r="K1442" s="1"/>
    </row>
    <row r="1443" spans="5:11" x14ac:dyDescent="0.3">
      <c r="E1443" s="6"/>
      <c r="F1443" s="1"/>
      <c r="K1443" s="1"/>
    </row>
    <row r="1444" spans="5:11" x14ac:dyDescent="0.3">
      <c r="E1444" s="6"/>
      <c r="F1444" s="1"/>
      <c r="K1444" s="1"/>
    </row>
    <row r="1445" spans="5:11" x14ac:dyDescent="0.3">
      <c r="E1445" s="6"/>
      <c r="F1445" s="1"/>
      <c r="K1445" s="1"/>
    </row>
    <row r="1446" spans="5:11" x14ac:dyDescent="0.3">
      <c r="E1446" s="6"/>
      <c r="F1446" s="1"/>
      <c r="K1446" s="1"/>
    </row>
    <row r="1447" spans="5:11" x14ac:dyDescent="0.3">
      <c r="E1447" s="6"/>
      <c r="F1447" s="1"/>
      <c r="K1447" s="1"/>
    </row>
    <row r="1448" spans="5:11" x14ac:dyDescent="0.3">
      <c r="E1448" s="6"/>
      <c r="F1448" s="1"/>
      <c r="K1448" s="1"/>
    </row>
    <row r="1449" spans="5:11" x14ac:dyDescent="0.3">
      <c r="E1449" s="6"/>
      <c r="F1449" s="1"/>
      <c r="K1449" s="1"/>
    </row>
    <row r="1450" spans="5:11" x14ac:dyDescent="0.3">
      <c r="E1450" s="6"/>
      <c r="F1450" s="1"/>
      <c r="K1450" s="1"/>
    </row>
    <row r="1451" spans="5:11" x14ac:dyDescent="0.3">
      <c r="E1451" s="6"/>
      <c r="F1451" s="1"/>
      <c r="K1451" s="1"/>
    </row>
    <row r="1452" spans="5:11" x14ac:dyDescent="0.3">
      <c r="E1452" s="6"/>
      <c r="F1452" s="1"/>
      <c r="K1452" s="1"/>
    </row>
    <row r="1453" spans="5:11" x14ac:dyDescent="0.3">
      <c r="E1453" s="6"/>
      <c r="F1453" s="1"/>
      <c r="K1453" s="1"/>
    </row>
    <row r="1454" spans="5:11" x14ac:dyDescent="0.3">
      <c r="E1454" s="6"/>
      <c r="F1454" s="1"/>
      <c r="K1454" s="1"/>
    </row>
    <row r="1455" spans="5:11" x14ac:dyDescent="0.3">
      <c r="E1455" s="6"/>
      <c r="F1455" s="1"/>
      <c r="K1455" s="1"/>
    </row>
    <row r="1456" spans="5:11" x14ac:dyDescent="0.3">
      <c r="E1456" s="6"/>
      <c r="F1456" s="1"/>
      <c r="K1456" s="1"/>
    </row>
    <row r="1457" spans="5:11" x14ac:dyDescent="0.3">
      <c r="E1457" s="6"/>
      <c r="F1457" s="1"/>
      <c r="K1457" s="1"/>
    </row>
    <row r="1458" spans="5:11" x14ac:dyDescent="0.3">
      <c r="E1458" s="6"/>
      <c r="F1458" s="1"/>
      <c r="K1458" s="1"/>
    </row>
    <row r="1459" spans="5:11" x14ac:dyDescent="0.3">
      <c r="E1459" s="6"/>
      <c r="F1459" s="1"/>
      <c r="K1459" s="1"/>
    </row>
    <row r="1460" spans="5:11" x14ac:dyDescent="0.3">
      <c r="E1460" s="6"/>
      <c r="F1460" s="1"/>
      <c r="K1460" s="1"/>
    </row>
    <row r="1461" spans="5:11" x14ac:dyDescent="0.3">
      <c r="E1461" s="6"/>
      <c r="F1461" s="1"/>
      <c r="K1461" s="1"/>
    </row>
    <row r="1462" spans="5:11" x14ac:dyDescent="0.3">
      <c r="E1462" s="6"/>
      <c r="F1462" s="1"/>
      <c r="K1462" s="1"/>
    </row>
    <row r="1463" spans="5:11" x14ac:dyDescent="0.3">
      <c r="E1463" s="6"/>
      <c r="F1463" s="1"/>
      <c r="K1463" s="1"/>
    </row>
    <row r="1464" spans="5:11" x14ac:dyDescent="0.3">
      <c r="E1464" s="6"/>
      <c r="F1464" s="1"/>
      <c r="K1464" s="1"/>
    </row>
    <row r="1465" spans="5:11" x14ac:dyDescent="0.3">
      <c r="E1465" s="6"/>
      <c r="F1465" s="1"/>
      <c r="K1465" s="1"/>
    </row>
    <row r="1466" spans="5:11" x14ac:dyDescent="0.3">
      <c r="E1466" s="6"/>
      <c r="F1466" s="1"/>
      <c r="K1466" s="1"/>
    </row>
    <row r="1467" spans="5:11" x14ac:dyDescent="0.3">
      <c r="E1467" s="6"/>
      <c r="F1467" s="1"/>
      <c r="K1467" s="1"/>
    </row>
    <row r="1468" spans="5:11" x14ac:dyDescent="0.3">
      <c r="E1468" s="6"/>
      <c r="F1468" s="1"/>
      <c r="K1468" s="1"/>
    </row>
    <row r="1469" spans="5:11" x14ac:dyDescent="0.3">
      <c r="E1469" s="6"/>
      <c r="F1469" s="1"/>
      <c r="K1469" s="1"/>
    </row>
    <row r="1470" spans="5:11" x14ac:dyDescent="0.3">
      <c r="E1470" s="6"/>
      <c r="F1470" s="1"/>
      <c r="K1470" s="1"/>
    </row>
    <row r="1471" spans="5:11" x14ac:dyDescent="0.3">
      <c r="E1471" s="6"/>
      <c r="F1471" s="1"/>
      <c r="K1471" s="1"/>
    </row>
    <row r="1472" spans="5:11" x14ac:dyDescent="0.3">
      <c r="E1472" s="6"/>
      <c r="F1472" s="1"/>
      <c r="K1472" s="1"/>
    </row>
    <row r="1473" spans="5:11" x14ac:dyDescent="0.3">
      <c r="E1473" s="6"/>
      <c r="F1473" s="1"/>
      <c r="K1473" s="1"/>
    </row>
    <row r="1474" spans="5:11" x14ac:dyDescent="0.3">
      <c r="E1474" s="6"/>
      <c r="F1474" s="1"/>
      <c r="K1474" s="1"/>
    </row>
    <row r="1475" spans="5:11" x14ac:dyDescent="0.3">
      <c r="E1475" s="6"/>
      <c r="F1475" s="1"/>
      <c r="K1475" s="1"/>
    </row>
    <row r="1476" spans="5:11" x14ac:dyDescent="0.3">
      <c r="E1476" s="6"/>
      <c r="F1476" s="1"/>
      <c r="K1476" s="1"/>
    </row>
    <row r="1477" spans="5:11" x14ac:dyDescent="0.3">
      <c r="E1477" s="6"/>
      <c r="F1477" s="1"/>
      <c r="K1477" s="1"/>
    </row>
    <row r="1478" spans="5:11" x14ac:dyDescent="0.3">
      <c r="E1478" s="6"/>
      <c r="F1478" s="1"/>
      <c r="K1478" s="1"/>
    </row>
    <row r="1479" spans="5:11" x14ac:dyDescent="0.3">
      <c r="E1479" s="6"/>
      <c r="F1479" s="1"/>
      <c r="K1479" s="1"/>
    </row>
    <row r="1480" spans="5:11" x14ac:dyDescent="0.3">
      <c r="E1480" s="6"/>
      <c r="F1480" s="1"/>
      <c r="K1480" s="1"/>
    </row>
    <row r="1481" spans="5:11" x14ac:dyDescent="0.3">
      <c r="E1481" s="6"/>
      <c r="F1481" s="1"/>
      <c r="K1481" s="1"/>
    </row>
    <row r="1482" spans="5:11" x14ac:dyDescent="0.3">
      <c r="E1482" s="6"/>
      <c r="F1482" s="1"/>
      <c r="K1482" s="1"/>
    </row>
    <row r="1483" spans="5:11" x14ac:dyDescent="0.3">
      <c r="E1483" s="6"/>
      <c r="F1483" s="1"/>
      <c r="K1483" s="1"/>
    </row>
    <row r="1484" spans="5:11" x14ac:dyDescent="0.3">
      <c r="E1484" s="6"/>
      <c r="F1484" s="1"/>
      <c r="K1484" s="1"/>
    </row>
    <row r="1485" spans="5:11" x14ac:dyDescent="0.3">
      <c r="E1485" s="6"/>
      <c r="F1485" s="1"/>
      <c r="K1485" s="1"/>
    </row>
    <row r="1486" spans="5:11" x14ac:dyDescent="0.3">
      <c r="E1486" s="6"/>
      <c r="F1486" s="1"/>
      <c r="K1486" s="1"/>
    </row>
    <row r="1487" spans="5:11" x14ac:dyDescent="0.3">
      <c r="E1487" s="6"/>
      <c r="F1487" s="1"/>
      <c r="K1487" s="1"/>
    </row>
    <row r="1488" spans="5:11" x14ac:dyDescent="0.3">
      <c r="E1488" s="6"/>
      <c r="F1488" s="1"/>
      <c r="K1488" s="1"/>
    </row>
    <row r="1489" spans="5:11" x14ac:dyDescent="0.3">
      <c r="E1489" s="6"/>
      <c r="F1489" s="1"/>
      <c r="K1489" s="1"/>
    </row>
    <row r="1490" spans="5:11" x14ac:dyDescent="0.3">
      <c r="E1490" s="6"/>
      <c r="F1490" s="1"/>
      <c r="K1490" s="1"/>
    </row>
    <row r="1491" spans="5:11" x14ac:dyDescent="0.3">
      <c r="E1491" s="6"/>
      <c r="F1491" s="1"/>
      <c r="K1491" s="1"/>
    </row>
    <row r="1492" spans="5:11" x14ac:dyDescent="0.3">
      <c r="E1492" s="6"/>
      <c r="F1492" s="1"/>
      <c r="K1492" s="1"/>
    </row>
    <row r="1493" spans="5:11" x14ac:dyDescent="0.3">
      <c r="E1493" s="6"/>
      <c r="F1493" s="1"/>
      <c r="K1493" s="1"/>
    </row>
    <row r="1494" spans="5:11" x14ac:dyDescent="0.3">
      <c r="E1494" s="6"/>
      <c r="F1494" s="1"/>
      <c r="K1494" s="1"/>
    </row>
    <row r="1495" spans="5:11" x14ac:dyDescent="0.3">
      <c r="E1495" s="6"/>
      <c r="F1495" s="1"/>
      <c r="K1495" s="1"/>
    </row>
    <row r="1496" spans="5:11" x14ac:dyDescent="0.3">
      <c r="E1496" s="6"/>
      <c r="F1496" s="1"/>
      <c r="K1496" s="1"/>
    </row>
    <row r="1497" spans="5:11" x14ac:dyDescent="0.3">
      <c r="E1497" s="6"/>
      <c r="F1497" s="1"/>
      <c r="K1497" s="1"/>
    </row>
    <row r="1498" spans="5:11" x14ac:dyDescent="0.3">
      <c r="E1498" s="6"/>
      <c r="F1498" s="1"/>
      <c r="K1498" s="1"/>
    </row>
    <row r="1499" spans="5:11" x14ac:dyDescent="0.3">
      <c r="E1499" s="6"/>
      <c r="F1499" s="1"/>
      <c r="K1499" s="1"/>
    </row>
    <row r="1500" spans="5:11" x14ac:dyDescent="0.3">
      <c r="E1500" s="6"/>
      <c r="F1500" s="1"/>
      <c r="K1500" s="1"/>
    </row>
    <row r="1501" spans="5:11" x14ac:dyDescent="0.3">
      <c r="E1501" s="6"/>
      <c r="F1501" s="1"/>
      <c r="K1501" s="1"/>
    </row>
    <row r="1502" spans="5:11" x14ac:dyDescent="0.3">
      <c r="E1502" s="6"/>
      <c r="F1502" s="1"/>
      <c r="K1502" s="1"/>
    </row>
    <row r="1503" spans="5:11" x14ac:dyDescent="0.3">
      <c r="E1503" s="6"/>
      <c r="F1503" s="1"/>
      <c r="K1503" s="1"/>
    </row>
    <row r="1504" spans="5:11" x14ac:dyDescent="0.3">
      <c r="E1504" s="6"/>
      <c r="F1504" s="1"/>
      <c r="K1504" s="1"/>
    </row>
    <row r="1505" spans="5:11" x14ac:dyDescent="0.3">
      <c r="E1505" s="6"/>
      <c r="F1505" s="1"/>
      <c r="K1505" s="1"/>
    </row>
    <row r="1506" spans="5:11" x14ac:dyDescent="0.3">
      <c r="E1506" s="6"/>
      <c r="F1506" s="1"/>
      <c r="K1506" s="1"/>
    </row>
    <row r="1507" spans="5:11" x14ac:dyDescent="0.3">
      <c r="E1507" s="6"/>
      <c r="F1507" s="1"/>
      <c r="K1507" s="1"/>
    </row>
    <row r="1508" spans="5:11" x14ac:dyDescent="0.3">
      <c r="E1508" s="6"/>
      <c r="F1508" s="1"/>
      <c r="K1508" s="1"/>
    </row>
    <row r="1509" spans="5:11" x14ac:dyDescent="0.3">
      <c r="E1509" s="6"/>
      <c r="F1509" s="1"/>
      <c r="K1509" s="1"/>
    </row>
    <row r="1510" spans="5:11" x14ac:dyDescent="0.3">
      <c r="E1510" s="6"/>
      <c r="F1510" s="1"/>
      <c r="K1510" s="1"/>
    </row>
    <row r="1511" spans="5:11" x14ac:dyDescent="0.3">
      <c r="E1511" s="6"/>
      <c r="F1511" s="1"/>
      <c r="K1511" s="1"/>
    </row>
    <row r="1512" spans="5:11" x14ac:dyDescent="0.3">
      <c r="E1512" s="6"/>
      <c r="F1512" s="1"/>
      <c r="K1512" s="1"/>
    </row>
    <row r="1513" spans="5:11" x14ac:dyDescent="0.3">
      <c r="E1513" s="6"/>
      <c r="F1513" s="1"/>
      <c r="K1513" s="1"/>
    </row>
    <row r="1514" spans="5:11" x14ac:dyDescent="0.3">
      <c r="E1514" s="6"/>
      <c r="F1514" s="1"/>
      <c r="K1514" s="1"/>
    </row>
    <row r="1515" spans="5:11" x14ac:dyDescent="0.3">
      <c r="E1515" s="6"/>
      <c r="F1515" s="1"/>
      <c r="K1515" s="1"/>
    </row>
    <row r="1516" spans="5:11" x14ac:dyDescent="0.3">
      <c r="E1516" s="6"/>
      <c r="F1516" s="1"/>
      <c r="K1516" s="1"/>
    </row>
    <row r="1517" spans="5:11" x14ac:dyDescent="0.3">
      <c r="E1517" s="6"/>
      <c r="F1517" s="1"/>
      <c r="K1517" s="1"/>
    </row>
    <row r="1518" spans="5:11" x14ac:dyDescent="0.3">
      <c r="E1518" s="6"/>
      <c r="F1518" s="1"/>
      <c r="K1518" s="1"/>
    </row>
    <row r="1519" spans="5:11" x14ac:dyDescent="0.3">
      <c r="E1519" s="6"/>
      <c r="F1519" s="1"/>
      <c r="K1519" s="1"/>
    </row>
    <row r="1520" spans="5:11" x14ac:dyDescent="0.3">
      <c r="E1520" s="6"/>
      <c r="F1520" s="1"/>
      <c r="K1520" s="1"/>
    </row>
    <row r="1521" spans="5:11" x14ac:dyDescent="0.3">
      <c r="E1521" s="6"/>
      <c r="F1521" s="1"/>
      <c r="K1521" s="1"/>
    </row>
    <row r="1522" spans="5:11" x14ac:dyDescent="0.3">
      <c r="E1522" s="6"/>
      <c r="F1522" s="1"/>
      <c r="K1522" s="1"/>
    </row>
    <row r="1523" spans="5:11" x14ac:dyDescent="0.3">
      <c r="E1523" s="6"/>
      <c r="F1523" s="1"/>
      <c r="K1523" s="1"/>
    </row>
    <row r="1524" spans="5:11" x14ac:dyDescent="0.3">
      <c r="E1524" s="6"/>
      <c r="F1524" s="1"/>
      <c r="K1524" s="1"/>
    </row>
    <row r="1525" spans="5:11" x14ac:dyDescent="0.3">
      <c r="E1525" s="6"/>
      <c r="F1525" s="1"/>
      <c r="K1525" s="1"/>
    </row>
    <row r="1526" spans="5:11" x14ac:dyDescent="0.3">
      <c r="E1526" s="6"/>
      <c r="F1526" s="1"/>
      <c r="K1526" s="1"/>
    </row>
    <row r="1527" spans="5:11" x14ac:dyDescent="0.3">
      <c r="E1527" s="6"/>
      <c r="F1527" s="1"/>
      <c r="K1527" s="1"/>
    </row>
    <row r="1528" spans="5:11" x14ac:dyDescent="0.3">
      <c r="E1528" s="6"/>
      <c r="F1528" s="1"/>
      <c r="K1528" s="1"/>
    </row>
    <row r="1529" spans="5:11" x14ac:dyDescent="0.3">
      <c r="E1529" s="6"/>
      <c r="F1529" s="1"/>
      <c r="K1529" s="1"/>
    </row>
    <row r="1530" spans="5:11" x14ac:dyDescent="0.3">
      <c r="E1530" s="6"/>
      <c r="F1530" s="1"/>
      <c r="K1530" s="1"/>
    </row>
    <row r="1531" spans="5:11" x14ac:dyDescent="0.3">
      <c r="E1531" s="6"/>
      <c r="F1531" s="1"/>
      <c r="K1531" s="1"/>
    </row>
    <row r="1532" spans="5:11" x14ac:dyDescent="0.3">
      <c r="E1532" s="6"/>
      <c r="F1532" s="1"/>
      <c r="K1532" s="1"/>
    </row>
    <row r="1533" spans="5:11" x14ac:dyDescent="0.3">
      <c r="E1533" s="6"/>
      <c r="F1533" s="1"/>
      <c r="K1533" s="1"/>
    </row>
    <row r="1534" spans="5:11" x14ac:dyDescent="0.3">
      <c r="E1534" s="6"/>
      <c r="F1534" s="1"/>
      <c r="K1534" s="1"/>
    </row>
    <row r="1535" spans="5:11" x14ac:dyDescent="0.3">
      <c r="E1535" s="6"/>
      <c r="F1535" s="1"/>
      <c r="K1535" s="1"/>
    </row>
    <row r="1536" spans="5:11" x14ac:dyDescent="0.3">
      <c r="E1536" s="6"/>
      <c r="F1536" s="1"/>
      <c r="K1536" s="1"/>
    </row>
    <row r="1537" spans="5:11" x14ac:dyDescent="0.3">
      <c r="E1537" s="6"/>
      <c r="F1537" s="1"/>
      <c r="K1537" s="1"/>
    </row>
    <row r="1538" spans="5:11" x14ac:dyDescent="0.3">
      <c r="E1538" s="6"/>
      <c r="F1538" s="1"/>
      <c r="K1538" s="1"/>
    </row>
    <row r="1539" spans="5:11" x14ac:dyDescent="0.3">
      <c r="E1539" s="6"/>
      <c r="F1539" s="1"/>
      <c r="K1539" s="1"/>
    </row>
    <row r="1540" spans="5:11" x14ac:dyDescent="0.3">
      <c r="E1540" s="6"/>
      <c r="F1540" s="1"/>
      <c r="K1540" s="1"/>
    </row>
    <row r="1541" spans="5:11" x14ac:dyDescent="0.3">
      <c r="E1541" s="6"/>
      <c r="F1541" s="1"/>
      <c r="K1541" s="1"/>
    </row>
    <row r="1542" spans="5:11" x14ac:dyDescent="0.3">
      <c r="E1542" s="6"/>
      <c r="F1542" s="1"/>
      <c r="K1542" s="1"/>
    </row>
    <row r="1543" spans="5:11" x14ac:dyDescent="0.3">
      <c r="E1543" s="6"/>
      <c r="F1543" s="1"/>
      <c r="K1543" s="1"/>
    </row>
    <row r="1544" spans="5:11" x14ac:dyDescent="0.3">
      <c r="E1544" s="6"/>
      <c r="F1544" s="1"/>
      <c r="K1544" s="1"/>
    </row>
    <row r="1545" spans="5:11" x14ac:dyDescent="0.3">
      <c r="E1545" s="6"/>
      <c r="F1545" s="1"/>
      <c r="K1545" s="1"/>
    </row>
    <row r="1546" spans="5:11" x14ac:dyDescent="0.3">
      <c r="E1546" s="6"/>
      <c r="F1546" s="1"/>
      <c r="K1546" s="1"/>
    </row>
    <row r="1547" spans="5:11" x14ac:dyDescent="0.3">
      <c r="E1547" s="6"/>
      <c r="F1547" s="1"/>
      <c r="K1547" s="1"/>
    </row>
    <row r="1548" spans="5:11" x14ac:dyDescent="0.3">
      <c r="E1548" s="6"/>
      <c r="F1548" s="1"/>
      <c r="K1548" s="1"/>
    </row>
    <row r="1549" spans="5:11" x14ac:dyDescent="0.3">
      <c r="E1549" s="6"/>
      <c r="F1549" s="1"/>
      <c r="K1549" s="1"/>
    </row>
    <row r="1550" spans="5:11" x14ac:dyDescent="0.3">
      <c r="E1550" s="6"/>
      <c r="F1550" s="1"/>
      <c r="K1550" s="1"/>
    </row>
    <row r="1551" spans="5:11" x14ac:dyDescent="0.3">
      <c r="E1551" s="6"/>
      <c r="F1551" s="1"/>
      <c r="K1551" s="1"/>
    </row>
    <row r="1552" spans="5:11" x14ac:dyDescent="0.3">
      <c r="E1552" s="6"/>
      <c r="F1552" s="1"/>
      <c r="K1552" s="1"/>
    </row>
    <row r="1553" spans="5:11" x14ac:dyDescent="0.3">
      <c r="E1553" s="6"/>
      <c r="F1553" s="1"/>
      <c r="K1553" s="1"/>
    </row>
    <row r="1554" spans="5:11" x14ac:dyDescent="0.3">
      <c r="E1554" s="6"/>
      <c r="F1554" s="1"/>
      <c r="K1554" s="1"/>
    </row>
    <row r="1555" spans="5:11" x14ac:dyDescent="0.3">
      <c r="E1555" s="6"/>
      <c r="F1555" s="1"/>
      <c r="K1555" s="1"/>
    </row>
    <row r="1556" spans="5:11" x14ac:dyDescent="0.3">
      <c r="E1556" s="6"/>
      <c r="F1556" s="1"/>
      <c r="K1556" s="1"/>
    </row>
    <row r="1557" spans="5:11" x14ac:dyDescent="0.3">
      <c r="E1557" s="6"/>
      <c r="F1557" s="1"/>
      <c r="K1557" s="1"/>
    </row>
    <row r="1558" spans="5:11" x14ac:dyDescent="0.3">
      <c r="E1558" s="6"/>
      <c r="F1558" s="1"/>
      <c r="K1558" s="1"/>
    </row>
    <row r="1559" spans="5:11" x14ac:dyDescent="0.3">
      <c r="E1559" s="6"/>
      <c r="F1559" s="1"/>
      <c r="K1559" s="1"/>
    </row>
    <row r="1560" spans="5:11" x14ac:dyDescent="0.3">
      <c r="E1560" s="6"/>
      <c r="F1560" s="1"/>
      <c r="K1560" s="1"/>
    </row>
    <row r="1561" spans="5:11" x14ac:dyDescent="0.3">
      <c r="E1561" s="6"/>
      <c r="F1561" s="1"/>
      <c r="K1561" s="1"/>
    </row>
    <row r="1562" spans="5:11" x14ac:dyDescent="0.3">
      <c r="E1562" s="6"/>
      <c r="F1562" s="1"/>
      <c r="K1562" s="1"/>
    </row>
    <row r="1563" spans="5:11" x14ac:dyDescent="0.3">
      <c r="E1563" s="6"/>
      <c r="F1563" s="1"/>
      <c r="K1563" s="1"/>
    </row>
    <row r="1564" spans="5:11" x14ac:dyDescent="0.3">
      <c r="E1564" s="6"/>
      <c r="F1564" s="1"/>
      <c r="K1564" s="1"/>
    </row>
    <row r="1565" spans="5:11" x14ac:dyDescent="0.3">
      <c r="E1565" s="6"/>
      <c r="F1565" s="1"/>
      <c r="K1565" s="1"/>
    </row>
    <row r="1566" spans="5:11" x14ac:dyDescent="0.3">
      <c r="E1566" s="6"/>
      <c r="F1566" s="1"/>
      <c r="K1566" s="1"/>
    </row>
    <row r="1567" spans="5:11" x14ac:dyDescent="0.3">
      <c r="E1567" s="6"/>
      <c r="F1567" s="1"/>
      <c r="K1567" s="1"/>
    </row>
    <row r="1568" spans="5:11" x14ac:dyDescent="0.3">
      <c r="E1568" s="6"/>
      <c r="F1568" s="1"/>
      <c r="K1568" s="1"/>
    </row>
    <row r="1569" spans="5:11" x14ac:dyDescent="0.3">
      <c r="E1569" s="6"/>
      <c r="F1569" s="1"/>
      <c r="K1569" s="1"/>
    </row>
    <row r="1570" spans="5:11" x14ac:dyDescent="0.3">
      <c r="E1570" s="6"/>
      <c r="F1570" s="1"/>
      <c r="K1570" s="1"/>
    </row>
    <row r="1571" spans="5:11" x14ac:dyDescent="0.3">
      <c r="E1571" s="6"/>
      <c r="F1571" s="1"/>
      <c r="K1571" s="1"/>
    </row>
    <row r="1572" spans="5:11" x14ac:dyDescent="0.3">
      <c r="E1572" s="6"/>
      <c r="F1572" s="1"/>
      <c r="K1572" s="1"/>
    </row>
    <row r="1573" spans="5:11" x14ac:dyDescent="0.3">
      <c r="E1573" s="6"/>
      <c r="F1573" s="1"/>
      <c r="K1573" s="1"/>
    </row>
    <row r="1574" spans="5:11" x14ac:dyDescent="0.3">
      <c r="E1574" s="6"/>
      <c r="F1574" s="1"/>
      <c r="K1574" s="1"/>
    </row>
    <row r="1575" spans="5:11" x14ac:dyDescent="0.3">
      <c r="E1575" s="6"/>
      <c r="F1575" s="1"/>
      <c r="K1575" s="1"/>
    </row>
    <row r="1576" spans="5:11" x14ac:dyDescent="0.3">
      <c r="E1576" s="6"/>
      <c r="F1576" s="1"/>
      <c r="K1576" s="1"/>
    </row>
    <row r="1577" spans="5:11" x14ac:dyDescent="0.3">
      <c r="E1577" s="6"/>
      <c r="F1577" s="1"/>
      <c r="K1577" s="1"/>
    </row>
    <row r="1578" spans="5:11" x14ac:dyDescent="0.3">
      <c r="E1578" s="6"/>
      <c r="F1578" s="1"/>
      <c r="K1578" s="1"/>
    </row>
    <row r="1579" spans="5:11" x14ac:dyDescent="0.3">
      <c r="E1579" s="6"/>
      <c r="F1579" s="1"/>
      <c r="K1579" s="1"/>
    </row>
    <row r="1580" spans="5:11" x14ac:dyDescent="0.3">
      <c r="E1580" s="6"/>
      <c r="F1580" s="1"/>
      <c r="K1580" s="1"/>
    </row>
    <row r="1581" spans="5:11" x14ac:dyDescent="0.3">
      <c r="E1581" s="6"/>
      <c r="F1581" s="1"/>
      <c r="K1581" s="1"/>
    </row>
    <row r="1582" spans="5:11" x14ac:dyDescent="0.3">
      <c r="E1582" s="6"/>
      <c r="F1582" s="1"/>
      <c r="K1582" s="1"/>
    </row>
    <row r="1583" spans="5:11" x14ac:dyDescent="0.3">
      <c r="E1583" s="6"/>
      <c r="F1583" s="1"/>
      <c r="K1583" s="1"/>
    </row>
    <row r="1584" spans="5:11" x14ac:dyDescent="0.3">
      <c r="E1584" s="6"/>
      <c r="F1584" s="1"/>
      <c r="K1584" s="1"/>
    </row>
    <row r="1585" spans="5:11" x14ac:dyDescent="0.3">
      <c r="E1585" s="6"/>
      <c r="F1585" s="1"/>
      <c r="K1585" s="1"/>
    </row>
    <row r="1586" spans="5:11" x14ac:dyDescent="0.3">
      <c r="E1586" s="6"/>
      <c r="F1586" s="1"/>
      <c r="K1586" s="1"/>
    </row>
    <row r="1587" spans="5:11" x14ac:dyDescent="0.3">
      <c r="E1587" s="6"/>
      <c r="F1587" s="1"/>
      <c r="K1587" s="1"/>
    </row>
    <row r="1588" spans="5:11" x14ac:dyDescent="0.3">
      <c r="E1588" s="6"/>
      <c r="F1588" s="1"/>
      <c r="K1588" s="1"/>
    </row>
    <row r="1589" spans="5:11" x14ac:dyDescent="0.3">
      <c r="E1589" s="6"/>
      <c r="F1589" s="1"/>
      <c r="K1589" s="1"/>
    </row>
    <row r="1590" spans="5:11" x14ac:dyDescent="0.3">
      <c r="E1590" s="6"/>
      <c r="F1590" s="1"/>
      <c r="K1590" s="1"/>
    </row>
    <row r="1591" spans="5:11" x14ac:dyDescent="0.3">
      <c r="E1591" s="6"/>
      <c r="F1591" s="1"/>
      <c r="K1591" s="1"/>
    </row>
    <row r="1592" spans="5:11" x14ac:dyDescent="0.3">
      <c r="E1592" s="6"/>
      <c r="F1592" s="1"/>
      <c r="K1592" s="1"/>
    </row>
    <row r="1593" spans="5:11" x14ac:dyDescent="0.3">
      <c r="E1593" s="6"/>
      <c r="F1593" s="1"/>
      <c r="K1593" s="1"/>
    </row>
    <row r="1594" spans="5:11" x14ac:dyDescent="0.3">
      <c r="E1594" s="6"/>
      <c r="F1594" s="1"/>
      <c r="K1594" s="1"/>
    </row>
    <row r="1595" spans="5:11" x14ac:dyDescent="0.3">
      <c r="E1595" s="6"/>
      <c r="F1595" s="1"/>
      <c r="K1595" s="1"/>
    </row>
    <row r="1596" spans="5:11" x14ac:dyDescent="0.3">
      <c r="E1596" s="6"/>
      <c r="F1596" s="1"/>
      <c r="K1596" s="1"/>
    </row>
    <row r="1597" spans="5:11" x14ac:dyDescent="0.3">
      <c r="E1597" s="6"/>
      <c r="F1597" s="1"/>
      <c r="K1597" s="1"/>
    </row>
    <row r="1598" spans="5:11" x14ac:dyDescent="0.3">
      <c r="E1598" s="6"/>
      <c r="F1598" s="1"/>
      <c r="K1598" s="1"/>
    </row>
    <row r="1599" spans="5:11" x14ac:dyDescent="0.3">
      <c r="E1599" s="6"/>
      <c r="F1599" s="1"/>
      <c r="K1599" s="1"/>
    </row>
    <row r="1600" spans="5:11" x14ac:dyDescent="0.3">
      <c r="E1600" s="6"/>
      <c r="F1600" s="1"/>
      <c r="K1600" s="1"/>
    </row>
    <row r="1601" spans="5:11" x14ac:dyDescent="0.3">
      <c r="E1601" s="6"/>
      <c r="F1601" s="1"/>
      <c r="K1601" s="1"/>
    </row>
    <row r="1602" spans="5:11" x14ac:dyDescent="0.3">
      <c r="E1602" s="6"/>
      <c r="F1602" s="1"/>
      <c r="K1602" s="1"/>
    </row>
    <row r="1603" spans="5:11" x14ac:dyDescent="0.3">
      <c r="E1603" s="6"/>
      <c r="F1603" s="1"/>
      <c r="K1603" s="1"/>
    </row>
    <row r="1604" spans="5:11" x14ac:dyDescent="0.3">
      <c r="E1604" s="6"/>
      <c r="F1604" s="1"/>
      <c r="K1604" s="1"/>
    </row>
    <row r="1605" spans="5:11" x14ac:dyDescent="0.3">
      <c r="E1605" s="6"/>
      <c r="F1605" s="1"/>
      <c r="K1605" s="1"/>
    </row>
    <row r="1606" spans="5:11" x14ac:dyDescent="0.3">
      <c r="E1606" s="6"/>
      <c r="F1606" s="1"/>
      <c r="K1606" s="1"/>
    </row>
    <row r="1607" spans="5:11" x14ac:dyDescent="0.3">
      <c r="E1607" s="6"/>
      <c r="F1607" s="1"/>
      <c r="K1607" s="1"/>
    </row>
    <row r="1608" spans="5:11" x14ac:dyDescent="0.3">
      <c r="E1608" s="6"/>
      <c r="F1608" s="1"/>
      <c r="K1608" s="1"/>
    </row>
    <row r="1609" spans="5:11" x14ac:dyDescent="0.3">
      <c r="E1609" s="6"/>
      <c r="F1609" s="1"/>
      <c r="K1609" s="1"/>
    </row>
    <row r="1610" spans="5:11" x14ac:dyDescent="0.3">
      <c r="E1610" s="6"/>
      <c r="F1610" s="1"/>
      <c r="K1610" s="1"/>
    </row>
    <row r="1611" spans="5:11" x14ac:dyDescent="0.3">
      <c r="E1611" s="6"/>
      <c r="F1611" s="1"/>
      <c r="K1611" s="1"/>
    </row>
    <row r="1612" spans="5:11" x14ac:dyDescent="0.3">
      <c r="E1612" s="6"/>
      <c r="F1612" s="1"/>
      <c r="K1612" s="1"/>
    </row>
    <row r="1613" spans="5:11" x14ac:dyDescent="0.3">
      <c r="E1613" s="6"/>
      <c r="F1613" s="1"/>
      <c r="K1613" s="1"/>
    </row>
    <row r="1614" spans="5:11" x14ac:dyDescent="0.3">
      <c r="E1614" s="6"/>
      <c r="F1614" s="1"/>
      <c r="K1614" s="1"/>
    </row>
    <row r="1615" spans="5:11" x14ac:dyDescent="0.3">
      <c r="E1615" s="6"/>
      <c r="F1615" s="1"/>
      <c r="K1615" s="1"/>
    </row>
    <row r="1616" spans="5:11" x14ac:dyDescent="0.3">
      <c r="E1616" s="6"/>
      <c r="F1616" s="1"/>
      <c r="K1616" s="1"/>
    </row>
    <row r="1617" spans="5:11" x14ac:dyDescent="0.3">
      <c r="E1617" s="6"/>
      <c r="F1617" s="1"/>
      <c r="K1617" s="1"/>
    </row>
    <row r="1618" spans="5:11" x14ac:dyDescent="0.3">
      <c r="E1618" s="6"/>
      <c r="F1618" s="1"/>
      <c r="K1618" s="1"/>
    </row>
    <row r="1619" spans="5:11" x14ac:dyDescent="0.3">
      <c r="E1619" s="6"/>
      <c r="F1619" s="1"/>
      <c r="K1619" s="1"/>
    </row>
    <row r="1620" spans="5:11" x14ac:dyDescent="0.3">
      <c r="E1620" s="6"/>
      <c r="F1620" s="1"/>
      <c r="K1620" s="1"/>
    </row>
    <row r="1621" spans="5:11" x14ac:dyDescent="0.3">
      <c r="E1621" s="6"/>
      <c r="F1621" s="1"/>
      <c r="K1621" s="1"/>
    </row>
    <row r="1622" spans="5:11" x14ac:dyDescent="0.3">
      <c r="E1622" s="6"/>
      <c r="F1622" s="1"/>
      <c r="K1622" s="1"/>
    </row>
    <row r="1623" spans="5:11" x14ac:dyDescent="0.3">
      <c r="E1623" s="6"/>
      <c r="F1623" s="1"/>
      <c r="K1623" s="1"/>
    </row>
    <row r="1624" spans="5:11" x14ac:dyDescent="0.3">
      <c r="E1624" s="6"/>
      <c r="F1624" s="1"/>
      <c r="K1624" s="1"/>
    </row>
    <row r="1625" spans="5:11" x14ac:dyDescent="0.3">
      <c r="E1625" s="6"/>
      <c r="F1625" s="1"/>
      <c r="K1625" s="1"/>
    </row>
    <row r="1626" spans="5:11" x14ac:dyDescent="0.3">
      <c r="E1626" s="6"/>
      <c r="F1626" s="1"/>
      <c r="K1626" s="1"/>
    </row>
    <row r="1627" spans="5:11" x14ac:dyDescent="0.3">
      <c r="E1627" s="6"/>
      <c r="F1627" s="1"/>
      <c r="K1627" s="1"/>
    </row>
    <row r="1628" spans="5:11" x14ac:dyDescent="0.3">
      <c r="E1628" s="6"/>
      <c r="F1628" s="1"/>
      <c r="K1628" s="1"/>
    </row>
    <row r="1629" spans="5:11" x14ac:dyDescent="0.3">
      <c r="E1629" s="6"/>
      <c r="F1629" s="1"/>
      <c r="K1629" s="1"/>
    </row>
    <row r="1630" spans="5:11" x14ac:dyDescent="0.3">
      <c r="E1630" s="6"/>
      <c r="F1630" s="1"/>
      <c r="K1630" s="1"/>
    </row>
    <row r="1631" spans="5:11" x14ac:dyDescent="0.3">
      <c r="E1631" s="6"/>
      <c r="F1631" s="1"/>
      <c r="K1631" s="1"/>
    </row>
    <row r="1632" spans="5:11" x14ac:dyDescent="0.3">
      <c r="E1632" s="6"/>
      <c r="F1632" s="1"/>
      <c r="K1632" s="1"/>
    </row>
    <row r="1633" spans="5:11" x14ac:dyDescent="0.3">
      <c r="E1633" s="6"/>
      <c r="F1633" s="1"/>
      <c r="K1633" s="1"/>
    </row>
    <row r="1634" spans="5:11" x14ac:dyDescent="0.3">
      <c r="E1634" s="6"/>
      <c r="F1634" s="1"/>
      <c r="K1634" s="1"/>
    </row>
    <row r="1635" spans="5:11" x14ac:dyDescent="0.3">
      <c r="E1635" s="6"/>
      <c r="F1635" s="1"/>
      <c r="K1635" s="1"/>
    </row>
    <row r="1636" spans="5:11" x14ac:dyDescent="0.3">
      <c r="E1636" s="6"/>
      <c r="F1636" s="1"/>
      <c r="K1636" s="1"/>
    </row>
    <row r="1637" spans="5:11" x14ac:dyDescent="0.3">
      <c r="E1637" s="6"/>
      <c r="F1637" s="1"/>
      <c r="K1637" s="1"/>
    </row>
    <row r="1638" spans="5:11" x14ac:dyDescent="0.3">
      <c r="E1638" s="6"/>
      <c r="F1638" s="1"/>
      <c r="K1638" s="1"/>
    </row>
    <row r="1639" spans="5:11" x14ac:dyDescent="0.3">
      <c r="E1639" s="6"/>
      <c r="F1639" s="1"/>
      <c r="K1639" s="1"/>
    </row>
    <row r="1640" spans="5:11" x14ac:dyDescent="0.3">
      <c r="E1640" s="6"/>
      <c r="F1640" s="1"/>
      <c r="K1640" s="1"/>
    </row>
    <row r="1641" spans="5:11" x14ac:dyDescent="0.3">
      <c r="E1641" s="6"/>
      <c r="F1641" s="1"/>
      <c r="K1641" s="1"/>
    </row>
    <row r="1642" spans="5:11" x14ac:dyDescent="0.3">
      <c r="E1642" s="6"/>
      <c r="F1642" s="1"/>
      <c r="K1642" s="1"/>
    </row>
    <row r="1643" spans="5:11" x14ac:dyDescent="0.3">
      <c r="E1643" s="6"/>
      <c r="F1643" s="1"/>
      <c r="K1643" s="1"/>
    </row>
    <row r="1644" spans="5:11" x14ac:dyDescent="0.3">
      <c r="E1644" s="6"/>
      <c r="F1644" s="1"/>
      <c r="K1644" s="1"/>
    </row>
    <row r="1645" spans="5:11" x14ac:dyDescent="0.3">
      <c r="E1645" s="6"/>
      <c r="F1645" s="1"/>
      <c r="K1645" s="1"/>
    </row>
    <row r="1646" spans="5:11" x14ac:dyDescent="0.3">
      <c r="E1646" s="6"/>
      <c r="F1646" s="1"/>
      <c r="K1646" s="1"/>
    </row>
    <row r="1647" spans="5:11" x14ac:dyDescent="0.3">
      <c r="E1647" s="6"/>
      <c r="F1647" s="1"/>
      <c r="K1647" s="1"/>
    </row>
    <row r="1648" spans="5:11" x14ac:dyDescent="0.3">
      <c r="E1648" s="6"/>
      <c r="F1648" s="1"/>
      <c r="K1648" s="1"/>
    </row>
    <row r="1649" spans="5:11" x14ac:dyDescent="0.3">
      <c r="E1649" s="6"/>
      <c r="F1649" s="1"/>
      <c r="K1649" s="1"/>
    </row>
    <row r="1650" spans="5:11" x14ac:dyDescent="0.3">
      <c r="E1650" s="6"/>
      <c r="F1650" s="1"/>
      <c r="K1650" s="1"/>
    </row>
    <row r="1651" spans="5:11" x14ac:dyDescent="0.3">
      <c r="E1651" s="6"/>
      <c r="F1651" s="1"/>
      <c r="K1651" s="1"/>
    </row>
    <row r="1652" spans="5:11" x14ac:dyDescent="0.3">
      <c r="E1652" s="6"/>
      <c r="F1652" s="1"/>
      <c r="K1652" s="1"/>
    </row>
    <row r="1653" spans="5:11" x14ac:dyDescent="0.3">
      <c r="E1653" s="6"/>
      <c r="F1653" s="1"/>
      <c r="K1653" s="1"/>
    </row>
    <row r="1654" spans="5:11" x14ac:dyDescent="0.3">
      <c r="E1654" s="6"/>
      <c r="F1654" s="1"/>
      <c r="K1654" s="1"/>
    </row>
    <row r="1655" spans="5:11" x14ac:dyDescent="0.3">
      <c r="E1655" s="6"/>
      <c r="F1655" s="1"/>
      <c r="K1655" s="1"/>
    </row>
    <row r="1656" spans="5:11" x14ac:dyDescent="0.3">
      <c r="E1656" s="6"/>
      <c r="F1656" s="1"/>
      <c r="K1656" s="1"/>
    </row>
    <row r="1657" spans="5:11" x14ac:dyDescent="0.3">
      <c r="E1657" s="6"/>
      <c r="F1657" s="1"/>
      <c r="K1657" s="1"/>
    </row>
    <row r="1658" spans="5:11" x14ac:dyDescent="0.3">
      <c r="E1658" s="6"/>
      <c r="F1658" s="1"/>
      <c r="K1658" s="1"/>
    </row>
    <row r="1659" spans="5:11" x14ac:dyDescent="0.3">
      <c r="E1659" s="6"/>
      <c r="F1659" s="1"/>
      <c r="K1659" s="1"/>
    </row>
    <row r="1660" spans="5:11" x14ac:dyDescent="0.3">
      <c r="E1660" s="6"/>
      <c r="F1660" s="1"/>
      <c r="K1660" s="1"/>
    </row>
    <row r="1661" spans="5:11" x14ac:dyDescent="0.3">
      <c r="E1661" s="6"/>
      <c r="F1661" s="1"/>
      <c r="K1661" s="1"/>
    </row>
    <row r="1662" spans="5:11" x14ac:dyDescent="0.3">
      <c r="E1662" s="6"/>
      <c r="F1662" s="1"/>
      <c r="K1662" s="1"/>
    </row>
    <row r="1663" spans="5:11" x14ac:dyDescent="0.3">
      <c r="E1663" s="6"/>
      <c r="F1663" s="1"/>
      <c r="K1663" s="1"/>
    </row>
    <row r="1664" spans="5:11" x14ac:dyDescent="0.3">
      <c r="E1664" s="6"/>
      <c r="F1664" s="1"/>
      <c r="K1664" s="1"/>
    </row>
    <row r="1665" spans="5:11" x14ac:dyDescent="0.3">
      <c r="E1665" s="6"/>
      <c r="F1665" s="1"/>
      <c r="K1665" s="1"/>
    </row>
    <row r="1666" spans="5:11" x14ac:dyDescent="0.3">
      <c r="E1666" s="6"/>
      <c r="F1666" s="1"/>
      <c r="K1666" s="1"/>
    </row>
    <row r="1667" spans="5:11" x14ac:dyDescent="0.3">
      <c r="E1667" s="6"/>
      <c r="F1667" s="1"/>
      <c r="K1667" s="1"/>
    </row>
    <row r="1668" spans="5:11" x14ac:dyDescent="0.3">
      <c r="E1668" s="6"/>
      <c r="F1668" s="1"/>
      <c r="K1668" s="1"/>
    </row>
    <row r="1669" spans="5:11" x14ac:dyDescent="0.3">
      <c r="E1669" s="6"/>
      <c r="F1669" s="1"/>
      <c r="K1669" s="1"/>
    </row>
    <row r="1670" spans="5:11" x14ac:dyDescent="0.3">
      <c r="E1670" s="6"/>
      <c r="F1670" s="1"/>
      <c r="K1670" s="1"/>
    </row>
    <row r="1671" spans="5:11" x14ac:dyDescent="0.3">
      <c r="E1671" s="6"/>
      <c r="F1671" s="1"/>
      <c r="K1671" s="1"/>
    </row>
    <row r="1672" spans="5:11" x14ac:dyDescent="0.3">
      <c r="E1672" s="6"/>
      <c r="F1672" s="1"/>
      <c r="K1672" s="1"/>
    </row>
    <row r="1673" spans="5:11" x14ac:dyDescent="0.3">
      <c r="E1673" s="6"/>
      <c r="F1673" s="1"/>
      <c r="K1673" s="1"/>
    </row>
    <row r="1674" spans="5:11" x14ac:dyDescent="0.3">
      <c r="E1674" s="6"/>
      <c r="F1674" s="1"/>
      <c r="K1674" s="1"/>
    </row>
    <row r="1675" spans="5:11" x14ac:dyDescent="0.3">
      <c r="E1675" s="6"/>
      <c r="F1675" s="1"/>
      <c r="K1675" s="1"/>
    </row>
    <row r="1676" spans="5:11" x14ac:dyDescent="0.3">
      <c r="E1676" s="6"/>
      <c r="F1676" s="1"/>
      <c r="K1676" s="1"/>
    </row>
    <row r="1677" spans="5:11" x14ac:dyDescent="0.3">
      <c r="E1677" s="6"/>
      <c r="F1677" s="1"/>
      <c r="K1677" s="1"/>
    </row>
    <row r="1678" spans="5:11" x14ac:dyDescent="0.3">
      <c r="E1678" s="6"/>
      <c r="F1678" s="1"/>
      <c r="K1678" s="1"/>
    </row>
    <row r="1679" spans="5:11" x14ac:dyDescent="0.3">
      <c r="E1679" s="6"/>
      <c r="F1679" s="1"/>
      <c r="K1679" s="1"/>
    </row>
    <row r="1680" spans="5:11" x14ac:dyDescent="0.3">
      <c r="E1680" s="6"/>
      <c r="F1680" s="1"/>
      <c r="K1680" s="1"/>
    </row>
    <row r="1681" spans="5:11" x14ac:dyDescent="0.3">
      <c r="E1681" s="6"/>
      <c r="F1681" s="1"/>
      <c r="K1681" s="1"/>
    </row>
    <row r="1682" spans="5:11" x14ac:dyDescent="0.3">
      <c r="E1682" s="6"/>
      <c r="F1682" s="1"/>
      <c r="K1682" s="1"/>
    </row>
    <row r="1683" spans="5:11" x14ac:dyDescent="0.3">
      <c r="E1683" s="6"/>
      <c r="F1683" s="1"/>
      <c r="K1683" s="1"/>
    </row>
    <row r="1684" spans="5:11" x14ac:dyDescent="0.3">
      <c r="E1684" s="6"/>
      <c r="F1684" s="1"/>
      <c r="K1684" s="1"/>
    </row>
    <row r="1685" spans="5:11" x14ac:dyDescent="0.3">
      <c r="E1685" s="6"/>
      <c r="F1685" s="1"/>
      <c r="K1685" s="1"/>
    </row>
    <row r="1686" spans="5:11" x14ac:dyDescent="0.3">
      <c r="E1686" s="6"/>
      <c r="F1686" s="1"/>
      <c r="K1686" s="1"/>
    </row>
    <row r="1687" spans="5:11" x14ac:dyDescent="0.3">
      <c r="E1687" s="6"/>
      <c r="F1687" s="1"/>
      <c r="K1687" s="1"/>
    </row>
    <row r="1688" spans="5:11" x14ac:dyDescent="0.3">
      <c r="E1688" s="6"/>
      <c r="F1688" s="1"/>
      <c r="K1688" s="1"/>
    </row>
    <row r="1689" spans="5:11" x14ac:dyDescent="0.3">
      <c r="E1689" s="6"/>
      <c r="F1689" s="1"/>
      <c r="K1689" s="1"/>
    </row>
    <row r="1690" spans="5:11" x14ac:dyDescent="0.3">
      <c r="E1690" s="6"/>
      <c r="F1690" s="1"/>
      <c r="K1690" s="1"/>
    </row>
    <row r="1691" spans="5:11" x14ac:dyDescent="0.3">
      <c r="E1691" s="6"/>
      <c r="F1691" s="1"/>
      <c r="K1691" s="1"/>
    </row>
    <row r="1692" spans="5:11" x14ac:dyDescent="0.3">
      <c r="E1692" s="6"/>
      <c r="F1692" s="1"/>
      <c r="K1692" s="1"/>
    </row>
    <row r="1693" spans="5:11" x14ac:dyDescent="0.3">
      <c r="E1693" s="6"/>
      <c r="F1693" s="1"/>
      <c r="K1693" s="1"/>
    </row>
    <row r="1694" spans="5:11" x14ac:dyDescent="0.3">
      <c r="E1694" s="6"/>
      <c r="F1694" s="1"/>
      <c r="K1694" s="1"/>
    </row>
    <row r="1695" spans="5:11" x14ac:dyDescent="0.3">
      <c r="E1695" s="6"/>
      <c r="F1695" s="1"/>
      <c r="K1695" s="1"/>
    </row>
    <row r="1696" spans="5:11" x14ac:dyDescent="0.3">
      <c r="E1696" s="6"/>
      <c r="F1696" s="1"/>
      <c r="K1696" s="1"/>
    </row>
    <row r="1697" spans="5:11" x14ac:dyDescent="0.3">
      <c r="E1697" s="6"/>
      <c r="F1697" s="1"/>
      <c r="K1697" s="1"/>
    </row>
    <row r="1698" spans="5:11" x14ac:dyDescent="0.3">
      <c r="E1698" s="6"/>
      <c r="F1698" s="1"/>
      <c r="K1698" s="1"/>
    </row>
    <row r="1699" spans="5:11" x14ac:dyDescent="0.3">
      <c r="E1699" s="6"/>
      <c r="F1699" s="1"/>
      <c r="K1699" s="1"/>
    </row>
    <row r="1700" spans="5:11" x14ac:dyDescent="0.3">
      <c r="E1700" s="6"/>
      <c r="F1700" s="1"/>
      <c r="K1700" s="1"/>
    </row>
    <row r="1701" spans="5:11" x14ac:dyDescent="0.3">
      <c r="E1701" s="6"/>
      <c r="F1701" s="1"/>
      <c r="K1701" s="1"/>
    </row>
    <row r="1702" spans="5:11" x14ac:dyDescent="0.3">
      <c r="E1702" s="6"/>
      <c r="F1702" s="1"/>
      <c r="K1702" s="1"/>
    </row>
    <row r="1703" spans="5:11" x14ac:dyDescent="0.3">
      <c r="E1703" s="6"/>
      <c r="F1703" s="1"/>
      <c r="K1703" s="1"/>
    </row>
    <row r="1704" spans="5:11" x14ac:dyDescent="0.3">
      <c r="E1704" s="6"/>
      <c r="F1704" s="1"/>
      <c r="K1704" s="1"/>
    </row>
    <row r="1705" spans="5:11" x14ac:dyDescent="0.3">
      <c r="E1705" s="6"/>
      <c r="F1705" s="1"/>
      <c r="K1705" s="1"/>
    </row>
    <row r="1706" spans="5:11" x14ac:dyDescent="0.3">
      <c r="E1706" s="6"/>
      <c r="F1706" s="1"/>
      <c r="K1706" s="1"/>
    </row>
    <row r="1707" spans="5:11" x14ac:dyDescent="0.3">
      <c r="E1707" s="6"/>
      <c r="F1707" s="1"/>
      <c r="K1707" s="1"/>
    </row>
    <row r="1708" spans="5:11" x14ac:dyDescent="0.3">
      <c r="E1708" s="6"/>
      <c r="F1708" s="1"/>
      <c r="K1708" s="1"/>
    </row>
    <row r="1709" spans="5:11" x14ac:dyDescent="0.3">
      <c r="E1709" s="6"/>
      <c r="F1709" s="1"/>
      <c r="K1709" s="1"/>
    </row>
    <row r="1710" spans="5:11" x14ac:dyDescent="0.3">
      <c r="E1710" s="6"/>
      <c r="F1710" s="1"/>
      <c r="K1710" s="1"/>
    </row>
    <row r="1711" spans="5:11" x14ac:dyDescent="0.3">
      <c r="E1711" s="6"/>
      <c r="F1711" s="1"/>
      <c r="K1711" s="1"/>
    </row>
    <row r="1712" spans="5:11" x14ac:dyDescent="0.3">
      <c r="E1712" s="6"/>
      <c r="F1712" s="1"/>
      <c r="K1712" s="1"/>
    </row>
    <row r="1713" spans="5:11" x14ac:dyDescent="0.3">
      <c r="E1713" s="6"/>
      <c r="F1713" s="1"/>
      <c r="K1713" s="1"/>
    </row>
    <row r="1714" spans="5:11" x14ac:dyDescent="0.3">
      <c r="E1714" s="6"/>
      <c r="F1714" s="1"/>
      <c r="K1714" s="1"/>
    </row>
    <row r="1715" spans="5:11" x14ac:dyDescent="0.3">
      <c r="E1715" s="6"/>
      <c r="F1715" s="1"/>
      <c r="K1715" s="1"/>
    </row>
    <row r="1716" spans="5:11" x14ac:dyDescent="0.3">
      <c r="E1716" s="6"/>
      <c r="F1716" s="1"/>
      <c r="K1716" s="1"/>
    </row>
    <row r="1717" spans="5:11" x14ac:dyDescent="0.3">
      <c r="E1717" s="6"/>
      <c r="F1717" s="1"/>
      <c r="K1717" s="1"/>
    </row>
    <row r="1718" spans="5:11" x14ac:dyDescent="0.3">
      <c r="E1718" s="6"/>
      <c r="F1718" s="1"/>
      <c r="K1718" s="1"/>
    </row>
    <row r="1719" spans="5:11" x14ac:dyDescent="0.3">
      <c r="E1719" s="6"/>
      <c r="F1719" s="1"/>
      <c r="K1719" s="1"/>
    </row>
    <row r="1720" spans="5:11" x14ac:dyDescent="0.3">
      <c r="E1720" s="6"/>
      <c r="F1720" s="1"/>
      <c r="K1720" s="1"/>
    </row>
    <row r="1721" spans="5:11" x14ac:dyDescent="0.3">
      <c r="E1721" s="6"/>
      <c r="F1721" s="1"/>
      <c r="K1721" s="1"/>
    </row>
    <row r="1722" spans="5:11" x14ac:dyDescent="0.3">
      <c r="E1722" s="6"/>
      <c r="F1722" s="1"/>
      <c r="K1722" s="1"/>
    </row>
    <row r="1723" spans="5:11" x14ac:dyDescent="0.3">
      <c r="E1723" s="6"/>
      <c r="F1723" s="1"/>
      <c r="K1723" s="1"/>
    </row>
    <row r="1724" spans="5:11" x14ac:dyDescent="0.3">
      <c r="E1724" s="6"/>
      <c r="F1724" s="1"/>
      <c r="K1724" s="1"/>
    </row>
    <row r="1725" spans="5:11" x14ac:dyDescent="0.3">
      <c r="E1725" s="6"/>
      <c r="F1725" s="1"/>
      <c r="K1725" s="1"/>
    </row>
    <row r="1726" spans="5:11" x14ac:dyDescent="0.3">
      <c r="E1726" s="6"/>
      <c r="F1726" s="1"/>
      <c r="K1726" s="1"/>
    </row>
    <row r="1727" spans="5:11" x14ac:dyDescent="0.3">
      <c r="E1727" s="6"/>
      <c r="F1727" s="1"/>
      <c r="K1727" s="1"/>
    </row>
    <row r="1728" spans="5:11" x14ac:dyDescent="0.3">
      <c r="E1728" s="6"/>
      <c r="F1728" s="1"/>
      <c r="K1728" s="1"/>
    </row>
    <row r="1729" spans="5:11" x14ac:dyDescent="0.3">
      <c r="E1729" s="6"/>
      <c r="F1729" s="1"/>
      <c r="K1729" s="1"/>
    </row>
    <row r="1730" spans="5:11" x14ac:dyDescent="0.3">
      <c r="E1730" s="6"/>
      <c r="F1730" s="1"/>
      <c r="K1730" s="1"/>
    </row>
    <row r="1731" spans="5:11" x14ac:dyDescent="0.3">
      <c r="E1731" s="6"/>
      <c r="F1731" s="1"/>
      <c r="K1731" s="1"/>
    </row>
    <row r="1732" spans="5:11" x14ac:dyDescent="0.3">
      <c r="E1732" s="6"/>
      <c r="F1732" s="1"/>
      <c r="K1732" s="1"/>
    </row>
    <row r="1733" spans="5:11" x14ac:dyDescent="0.3">
      <c r="E1733" s="6"/>
      <c r="F1733" s="1"/>
      <c r="K1733" s="1"/>
    </row>
    <row r="1734" spans="5:11" x14ac:dyDescent="0.3">
      <c r="E1734" s="6"/>
      <c r="F1734" s="1"/>
      <c r="K1734" s="1"/>
    </row>
    <row r="1735" spans="5:11" x14ac:dyDescent="0.3">
      <c r="E1735" s="6"/>
      <c r="F1735" s="1"/>
      <c r="K1735" s="1"/>
    </row>
    <row r="1736" spans="5:11" x14ac:dyDescent="0.3">
      <c r="E1736" s="6"/>
      <c r="F1736" s="1"/>
      <c r="K1736" s="1"/>
    </row>
    <row r="1737" spans="5:11" x14ac:dyDescent="0.3">
      <c r="E1737" s="6"/>
      <c r="F1737" s="1"/>
      <c r="K1737" s="1"/>
    </row>
    <row r="1738" spans="5:11" x14ac:dyDescent="0.3">
      <c r="E1738" s="6"/>
      <c r="F1738" s="1"/>
      <c r="K1738" s="1"/>
    </row>
    <row r="1739" spans="5:11" x14ac:dyDescent="0.3">
      <c r="E1739" s="6"/>
      <c r="F1739" s="1"/>
      <c r="K1739" s="1"/>
    </row>
    <row r="1740" spans="5:11" x14ac:dyDescent="0.3">
      <c r="E1740" s="6"/>
      <c r="F1740" s="1"/>
      <c r="K1740" s="1"/>
    </row>
    <row r="1741" spans="5:11" x14ac:dyDescent="0.3">
      <c r="E1741" s="6"/>
      <c r="F1741" s="1"/>
      <c r="K1741" s="1"/>
    </row>
    <row r="1742" spans="5:11" x14ac:dyDescent="0.3">
      <c r="E1742" s="6"/>
      <c r="F1742" s="1"/>
      <c r="K1742" s="1"/>
    </row>
    <row r="1743" spans="5:11" x14ac:dyDescent="0.3">
      <c r="E1743" s="6"/>
      <c r="F1743" s="1"/>
      <c r="K1743" s="1"/>
    </row>
    <row r="1744" spans="5:11" x14ac:dyDescent="0.3">
      <c r="E1744" s="6"/>
      <c r="F1744" s="1"/>
      <c r="K1744" s="1"/>
    </row>
    <row r="1745" spans="5:11" x14ac:dyDescent="0.3">
      <c r="E1745" s="6"/>
      <c r="F1745" s="1"/>
      <c r="K1745" s="1"/>
    </row>
    <row r="1746" spans="5:11" x14ac:dyDescent="0.3">
      <c r="E1746" s="6"/>
      <c r="F1746" s="1"/>
      <c r="K1746" s="1"/>
    </row>
    <row r="1747" spans="5:11" x14ac:dyDescent="0.3">
      <c r="E1747" s="6"/>
      <c r="F1747" s="1"/>
      <c r="K1747" s="1"/>
    </row>
    <row r="1748" spans="5:11" x14ac:dyDescent="0.3">
      <c r="E1748" s="6"/>
      <c r="F1748" s="1"/>
      <c r="K1748" s="1"/>
    </row>
    <row r="1749" spans="5:11" x14ac:dyDescent="0.3">
      <c r="E1749" s="6"/>
      <c r="F1749" s="1"/>
      <c r="K1749" s="1"/>
    </row>
    <row r="1750" spans="5:11" x14ac:dyDescent="0.3">
      <c r="E1750" s="6"/>
      <c r="F1750" s="1"/>
      <c r="K1750" s="1"/>
    </row>
    <row r="1751" spans="5:11" x14ac:dyDescent="0.3">
      <c r="E1751" s="6"/>
      <c r="F1751" s="1"/>
      <c r="K1751" s="1"/>
    </row>
    <row r="1752" spans="5:11" x14ac:dyDescent="0.3">
      <c r="E1752" s="6"/>
      <c r="F1752" s="1"/>
      <c r="K1752" s="1"/>
    </row>
    <row r="1753" spans="5:11" x14ac:dyDescent="0.3">
      <c r="E1753" s="6"/>
      <c r="F1753" s="1"/>
      <c r="K1753" s="1"/>
    </row>
    <row r="1754" spans="5:11" x14ac:dyDescent="0.3">
      <c r="E1754" s="6"/>
      <c r="F1754" s="1"/>
      <c r="K1754" s="1"/>
    </row>
    <row r="1755" spans="5:11" x14ac:dyDescent="0.3">
      <c r="E1755" s="6"/>
      <c r="F1755" s="1"/>
      <c r="K1755" s="1"/>
    </row>
    <row r="1756" spans="5:11" x14ac:dyDescent="0.3">
      <c r="E1756" s="6"/>
      <c r="F1756" s="1"/>
      <c r="K1756" s="1"/>
    </row>
    <row r="1757" spans="5:11" x14ac:dyDescent="0.3">
      <c r="E1757" s="6"/>
      <c r="F1757" s="1"/>
      <c r="K1757" s="1"/>
    </row>
    <row r="1758" spans="5:11" x14ac:dyDescent="0.3">
      <c r="E1758" s="6"/>
      <c r="F1758" s="1"/>
      <c r="K1758" s="1"/>
    </row>
    <row r="1759" spans="5:11" x14ac:dyDescent="0.3">
      <c r="E1759" s="6"/>
      <c r="F1759" s="1"/>
      <c r="K1759" s="1"/>
    </row>
    <row r="1760" spans="5:11" x14ac:dyDescent="0.3">
      <c r="E1760" s="6"/>
      <c r="F1760" s="1"/>
      <c r="K1760" s="1"/>
    </row>
    <row r="1761" spans="5:11" x14ac:dyDescent="0.3">
      <c r="E1761" s="6"/>
      <c r="F1761" s="1"/>
      <c r="K1761" s="1"/>
    </row>
    <row r="1762" spans="5:11" x14ac:dyDescent="0.3">
      <c r="E1762" s="6"/>
      <c r="F1762" s="1"/>
      <c r="K1762" s="1"/>
    </row>
    <row r="1763" spans="5:11" x14ac:dyDescent="0.3">
      <c r="E1763" s="6"/>
      <c r="F1763" s="1"/>
      <c r="K1763" s="1"/>
    </row>
    <row r="1764" spans="5:11" x14ac:dyDescent="0.3">
      <c r="E1764" s="6"/>
      <c r="F1764" s="1"/>
      <c r="K1764" s="1"/>
    </row>
    <row r="1765" spans="5:11" x14ac:dyDescent="0.3">
      <c r="E1765" s="6"/>
      <c r="F1765" s="1"/>
      <c r="K1765" s="1"/>
    </row>
    <row r="1766" spans="5:11" x14ac:dyDescent="0.3">
      <c r="E1766" s="6"/>
      <c r="F1766" s="1"/>
      <c r="K1766" s="1"/>
    </row>
    <row r="1767" spans="5:11" x14ac:dyDescent="0.3">
      <c r="E1767" s="6"/>
      <c r="F1767" s="1"/>
      <c r="K1767" s="1"/>
    </row>
    <row r="1768" spans="5:11" x14ac:dyDescent="0.3">
      <c r="E1768" s="6"/>
      <c r="F1768" s="1"/>
      <c r="K1768" s="1"/>
    </row>
    <row r="1769" spans="5:11" x14ac:dyDescent="0.3">
      <c r="E1769" s="6"/>
      <c r="F1769" s="1"/>
      <c r="K1769" s="1"/>
    </row>
    <row r="1770" spans="5:11" x14ac:dyDescent="0.3">
      <c r="E1770" s="6"/>
      <c r="F1770" s="1"/>
      <c r="K1770" s="1"/>
    </row>
    <row r="1771" spans="5:11" x14ac:dyDescent="0.3">
      <c r="E1771" s="6"/>
      <c r="F1771" s="1"/>
      <c r="K1771" s="1"/>
    </row>
    <row r="1772" spans="5:11" x14ac:dyDescent="0.3">
      <c r="E1772" s="6"/>
      <c r="F1772" s="1"/>
      <c r="K1772" s="1"/>
    </row>
    <row r="1773" spans="5:11" x14ac:dyDescent="0.3">
      <c r="E1773" s="6"/>
      <c r="F1773" s="1"/>
      <c r="K1773" s="1"/>
    </row>
    <row r="1774" spans="5:11" x14ac:dyDescent="0.3">
      <c r="E1774" s="6"/>
      <c r="F1774" s="1"/>
      <c r="K1774" s="1"/>
    </row>
    <row r="1775" spans="5:11" x14ac:dyDescent="0.3">
      <c r="E1775" s="6"/>
      <c r="F1775" s="1"/>
      <c r="K1775" s="1"/>
    </row>
    <row r="1776" spans="5:11" x14ac:dyDescent="0.3">
      <c r="E1776" s="6"/>
      <c r="F1776" s="1"/>
      <c r="K1776" s="1"/>
    </row>
    <row r="1777" spans="5:11" x14ac:dyDescent="0.3">
      <c r="E1777" s="6"/>
      <c r="F1777" s="1"/>
      <c r="K1777" s="1"/>
    </row>
    <row r="1778" spans="5:11" x14ac:dyDescent="0.3">
      <c r="E1778" s="6"/>
      <c r="F1778" s="1"/>
      <c r="K1778" s="1"/>
    </row>
    <row r="1779" spans="5:11" x14ac:dyDescent="0.3">
      <c r="E1779" s="6"/>
      <c r="F1779" s="1"/>
      <c r="K1779" s="1"/>
    </row>
    <row r="1780" spans="5:11" x14ac:dyDescent="0.3">
      <c r="E1780" s="6"/>
      <c r="F1780" s="1"/>
      <c r="K1780" s="1"/>
    </row>
    <row r="1781" spans="5:11" x14ac:dyDescent="0.3">
      <c r="E1781" s="6"/>
      <c r="F1781" s="1"/>
      <c r="K1781" s="1"/>
    </row>
    <row r="1782" spans="5:11" x14ac:dyDescent="0.3">
      <c r="E1782" s="6"/>
      <c r="F1782" s="1"/>
      <c r="K1782" s="1"/>
    </row>
    <row r="1783" spans="5:11" x14ac:dyDescent="0.3">
      <c r="E1783" s="6"/>
      <c r="F1783" s="1"/>
      <c r="K1783" s="1"/>
    </row>
    <row r="1784" spans="5:11" x14ac:dyDescent="0.3">
      <c r="E1784" s="6"/>
      <c r="F1784" s="1"/>
      <c r="K1784" s="1"/>
    </row>
    <row r="1785" spans="5:11" x14ac:dyDescent="0.3">
      <c r="E1785" s="6"/>
      <c r="F1785" s="1"/>
      <c r="K1785" s="1"/>
    </row>
    <row r="1786" spans="5:11" x14ac:dyDescent="0.3">
      <c r="E1786" s="6"/>
      <c r="F1786" s="1"/>
      <c r="K1786" s="1"/>
    </row>
    <row r="1787" spans="5:11" x14ac:dyDescent="0.3">
      <c r="E1787" s="6"/>
      <c r="F1787" s="1"/>
      <c r="K1787" s="1"/>
    </row>
    <row r="1788" spans="5:11" x14ac:dyDescent="0.3">
      <c r="E1788" s="6"/>
      <c r="F1788" s="1"/>
      <c r="K1788" s="1"/>
    </row>
    <row r="1789" spans="5:11" x14ac:dyDescent="0.3">
      <c r="E1789" s="6"/>
      <c r="F1789" s="1"/>
      <c r="K1789" s="1"/>
    </row>
    <row r="1790" spans="5:11" x14ac:dyDescent="0.3">
      <c r="E1790" s="6"/>
      <c r="F1790" s="1"/>
      <c r="K1790" s="1"/>
    </row>
    <row r="1791" spans="5:11" x14ac:dyDescent="0.3">
      <c r="E1791" s="6"/>
      <c r="F1791" s="1"/>
      <c r="K1791" s="1"/>
    </row>
    <row r="1792" spans="5:11" x14ac:dyDescent="0.3">
      <c r="E1792" s="6"/>
      <c r="F1792" s="1"/>
      <c r="K1792" s="1"/>
    </row>
    <row r="1793" spans="5:11" x14ac:dyDescent="0.3">
      <c r="E1793" s="6"/>
      <c r="F1793" s="1"/>
      <c r="K1793" s="1"/>
    </row>
    <row r="1794" spans="5:11" x14ac:dyDescent="0.3">
      <c r="E1794" s="6"/>
      <c r="F1794" s="1"/>
      <c r="K1794" s="1"/>
    </row>
    <row r="1795" spans="5:11" x14ac:dyDescent="0.3">
      <c r="E1795" s="6"/>
      <c r="F1795" s="1"/>
      <c r="K1795" s="1"/>
    </row>
    <row r="1796" spans="5:11" x14ac:dyDescent="0.3">
      <c r="E1796" s="6"/>
      <c r="F1796" s="1"/>
      <c r="K1796" s="1"/>
    </row>
    <row r="1797" spans="5:11" x14ac:dyDescent="0.3">
      <c r="E1797" s="6"/>
      <c r="F1797" s="1"/>
      <c r="K1797" s="1"/>
    </row>
    <row r="1798" spans="5:11" x14ac:dyDescent="0.3">
      <c r="E1798" s="6"/>
      <c r="F1798" s="1"/>
      <c r="K1798" s="1"/>
    </row>
    <row r="1799" spans="5:11" x14ac:dyDescent="0.3">
      <c r="E1799" s="6"/>
      <c r="F1799" s="1"/>
      <c r="K1799" s="1"/>
    </row>
    <row r="1800" spans="5:11" x14ac:dyDescent="0.3">
      <c r="E1800" s="6"/>
      <c r="F1800" s="1"/>
      <c r="K1800" s="1"/>
    </row>
    <row r="1801" spans="5:11" x14ac:dyDescent="0.3">
      <c r="E1801" s="6"/>
      <c r="F1801" s="1"/>
      <c r="K1801" s="1"/>
    </row>
    <row r="1802" spans="5:11" x14ac:dyDescent="0.3">
      <c r="E1802" s="6"/>
      <c r="F1802" s="1"/>
      <c r="K1802" s="1"/>
    </row>
    <row r="1803" spans="5:11" x14ac:dyDescent="0.3">
      <c r="E1803" s="6"/>
      <c r="F1803" s="1"/>
      <c r="K1803" s="1"/>
    </row>
    <row r="1804" spans="5:11" x14ac:dyDescent="0.3">
      <c r="E1804" s="6"/>
      <c r="F1804" s="1"/>
      <c r="K1804" s="1"/>
    </row>
    <row r="1805" spans="5:11" x14ac:dyDescent="0.3">
      <c r="E1805" s="6"/>
      <c r="F1805" s="1"/>
      <c r="K1805" s="1"/>
    </row>
    <row r="1806" spans="5:11" x14ac:dyDescent="0.3">
      <c r="E1806" s="6"/>
      <c r="F1806" s="1"/>
      <c r="K1806" s="1"/>
    </row>
    <row r="1807" spans="5:11" x14ac:dyDescent="0.3">
      <c r="E1807" s="6"/>
      <c r="F1807" s="1"/>
      <c r="K1807" s="1"/>
    </row>
    <row r="1808" spans="5:11" x14ac:dyDescent="0.3">
      <c r="E1808" s="6"/>
      <c r="F1808" s="1"/>
      <c r="K1808" s="1"/>
    </row>
    <row r="1809" spans="5:11" x14ac:dyDescent="0.3">
      <c r="E1809" s="6"/>
      <c r="F1809" s="1"/>
      <c r="K1809" s="1"/>
    </row>
    <row r="1810" spans="5:11" x14ac:dyDescent="0.3">
      <c r="E1810" s="6"/>
      <c r="F1810" s="1"/>
      <c r="K1810" s="1"/>
    </row>
    <row r="1811" spans="5:11" x14ac:dyDescent="0.3">
      <c r="E1811" s="6"/>
      <c r="F1811" s="1"/>
      <c r="K1811" s="1"/>
    </row>
    <row r="1812" spans="5:11" x14ac:dyDescent="0.3">
      <c r="E1812" s="6"/>
      <c r="F1812" s="1"/>
      <c r="K1812" s="1"/>
    </row>
    <row r="1813" spans="5:11" x14ac:dyDescent="0.3">
      <c r="E1813" s="6"/>
      <c r="F1813" s="1"/>
      <c r="K1813" s="1"/>
    </row>
    <row r="1814" spans="5:11" x14ac:dyDescent="0.3">
      <c r="E1814" s="6"/>
      <c r="F1814" s="1"/>
      <c r="K1814" s="1"/>
    </row>
    <row r="1815" spans="5:11" x14ac:dyDescent="0.3">
      <c r="E1815" s="6"/>
      <c r="F1815" s="1"/>
      <c r="K1815" s="1"/>
    </row>
    <row r="1816" spans="5:11" x14ac:dyDescent="0.3">
      <c r="E1816" s="6"/>
      <c r="F1816" s="1"/>
      <c r="K1816" s="1"/>
    </row>
    <row r="1817" spans="5:11" x14ac:dyDescent="0.3">
      <c r="E1817" s="6"/>
      <c r="F1817" s="1"/>
      <c r="K1817" s="1"/>
    </row>
    <row r="1818" spans="5:11" x14ac:dyDescent="0.3">
      <c r="E1818" s="6"/>
      <c r="F1818" s="1"/>
      <c r="K1818" s="1"/>
    </row>
    <row r="1819" spans="5:11" x14ac:dyDescent="0.3">
      <c r="E1819" s="6"/>
      <c r="F1819" s="1"/>
      <c r="K1819" s="1"/>
    </row>
    <row r="1820" spans="5:11" x14ac:dyDescent="0.3">
      <c r="E1820" s="6"/>
      <c r="F1820" s="1"/>
      <c r="K1820" s="1"/>
    </row>
    <row r="1821" spans="5:11" x14ac:dyDescent="0.3">
      <c r="E1821" s="6"/>
      <c r="F1821" s="1"/>
      <c r="K1821" s="1"/>
    </row>
    <row r="1822" spans="5:11" x14ac:dyDescent="0.3">
      <c r="E1822" s="6"/>
      <c r="F1822" s="1"/>
      <c r="K1822" s="1"/>
    </row>
    <row r="1823" spans="5:11" x14ac:dyDescent="0.3">
      <c r="E1823" s="6"/>
      <c r="F1823" s="1"/>
      <c r="K1823" s="1"/>
    </row>
    <row r="1824" spans="5:11" x14ac:dyDescent="0.3">
      <c r="E1824" s="6"/>
      <c r="F1824" s="1"/>
      <c r="K1824" s="1"/>
    </row>
    <row r="1825" spans="5:11" x14ac:dyDescent="0.3">
      <c r="E1825" s="6"/>
      <c r="F1825" s="1"/>
      <c r="K1825" s="1"/>
    </row>
    <row r="1826" spans="5:11" x14ac:dyDescent="0.3">
      <c r="E1826" s="6"/>
      <c r="F1826" s="1"/>
      <c r="K1826" s="1"/>
    </row>
    <row r="1827" spans="5:11" x14ac:dyDescent="0.3">
      <c r="E1827" s="6"/>
      <c r="F1827" s="1"/>
      <c r="K1827" s="1"/>
    </row>
    <row r="1828" spans="5:11" x14ac:dyDescent="0.3">
      <c r="E1828" s="6"/>
      <c r="F1828" s="1"/>
      <c r="K1828" s="1"/>
    </row>
    <row r="1829" spans="5:11" x14ac:dyDescent="0.3">
      <c r="E1829" s="6"/>
      <c r="F1829" s="1"/>
      <c r="K1829" s="1"/>
    </row>
    <row r="1830" spans="5:11" x14ac:dyDescent="0.3">
      <c r="E1830" s="6"/>
      <c r="F1830" s="1"/>
      <c r="K1830" s="1"/>
    </row>
    <row r="1831" spans="5:11" x14ac:dyDescent="0.3">
      <c r="E1831" s="6"/>
      <c r="F1831" s="1"/>
      <c r="K1831" s="1"/>
    </row>
    <row r="1832" spans="5:11" x14ac:dyDescent="0.3">
      <c r="E1832" s="6"/>
      <c r="F1832" s="1"/>
      <c r="K1832" s="1"/>
    </row>
    <row r="1833" spans="5:11" x14ac:dyDescent="0.3">
      <c r="E1833" s="6"/>
      <c r="F1833" s="1"/>
      <c r="K1833" s="1"/>
    </row>
    <row r="1834" spans="5:11" x14ac:dyDescent="0.3">
      <c r="E1834" s="6"/>
      <c r="F1834" s="1"/>
      <c r="K1834" s="1"/>
    </row>
    <row r="1835" spans="5:11" x14ac:dyDescent="0.3">
      <c r="E1835" s="6"/>
      <c r="F1835" s="1"/>
      <c r="K1835" s="1"/>
    </row>
    <row r="1836" spans="5:11" x14ac:dyDescent="0.3">
      <c r="E1836" s="6"/>
      <c r="F1836" s="1"/>
      <c r="K1836" s="1"/>
    </row>
    <row r="1837" spans="5:11" x14ac:dyDescent="0.3">
      <c r="E1837" s="6"/>
      <c r="F1837" s="1"/>
      <c r="K1837" s="1"/>
    </row>
    <row r="1838" spans="5:11" x14ac:dyDescent="0.3">
      <c r="E1838" s="6"/>
      <c r="F1838" s="1"/>
      <c r="K1838" s="1"/>
    </row>
    <row r="1839" spans="5:11" x14ac:dyDescent="0.3">
      <c r="E1839" s="6"/>
      <c r="F1839" s="1"/>
      <c r="K1839" s="1"/>
    </row>
    <row r="1840" spans="5:11" x14ac:dyDescent="0.3">
      <c r="E1840" s="6"/>
      <c r="F1840" s="1"/>
      <c r="K1840" s="1"/>
    </row>
    <row r="1841" spans="5:11" x14ac:dyDescent="0.3">
      <c r="E1841" s="6"/>
      <c r="F1841" s="1"/>
      <c r="K1841" s="1"/>
    </row>
    <row r="1842" spans="5:11" x14ac:dyDescent="0.3">
      <c r="E1842" s="6"/>
      <c r="F1842" s="1"/>
      <c r="K1842" s="1"/>
    </row>
    <row r="1843" spans="5:11" x14ac:dyDescent="0.3">
      <c r="E1843" s="6"/>
      <c r="F1843" s="1"/>
      <c r="K1843" s="1"/>
    </row>
    <row r="1844" spans="5:11" x14ac:dyDescent="0.3">
      <c r="E1844" s="6"/>
      <c r="F1844" s="1"/>
      <c r="K1844" s="1"/>
    </row>
    <row r="1845" spans="5:11" x14ac:dyDescent="0.3">
      <c r="E1845" s="6"/>
      <c r="F1845" s="1"/>
      <c r="K1845" s="1"/>
    </row>
    <row r="1846" spans="5:11" x14ac:dyDescent="0.3">
      <c r="E1846" s="6"/>
      <c r="F1846" s="1"/>
      <c r="K1846" s="1"/>
    </row>
    <row r="1847" spans="5:11" x14ac:dyDescent="0.3">
      <c r="E1847" s="6"/>
      <c r="F1847" s="1"/>
      <c r="K1847" s="1"/>
    </row>
    <row r="1848" spans="5:11" x14ac:dyDescent="0.3">
      <c r="E1848" s="6"/>
      <c r="F1848" s="1"/>
      <c r="K1848" s="1"/>
    </row>
    <row r="1849" spans="5:11" x14ac:dyDescent="0.3">
      <c r="E1849" s="6"/>
      <c r="F1849" s="1"/>
      <c r="K1849" s="1"/>
    </row>
    <row r="1850" spans="5:11" x14ac:dyDescent="0.3">
      <c r="E1850" s="6"/>
      <c r="F1850" s="1"/>
      <c r="K1850" s="1"/>
    </row>
    <row r="1851" spans="5:11" x14ac:dyDescent="0.3">
      <c r="E1851" s="6"/>
      <c r="F1851" s="1"/>
      <c r="K1851" s="1"/>
    </row>
    <row r="1852" spans="5:11" x14ac:dyDescent="0.3">
      <c r="E1852" s="6"/>
      <c r="F1852" s="1"/>
      <c r="K1852" s="1"/>
    </row>
    <row r="1853" spans="5:11" x14ac:dyDescent="0.3">
      <c r="E1853" s="6"/>
      <c r="F1853" s="1"/>
      <c r="K1853" s="1"/>
    </row>
    <row r="1854" spans="5:11" x14ac:dyDescent="0.3">
      <c r="E1854" s="6"/>
      <c r="F1854" s="1"/>
      <c r="K1854" s="1"/>
    </row>
    <row r="1855" spans="5:11" x14ac:dyDescent="0.3">
      <c r="E1855" s="6"/>
      <c r="F1855" s="1"/>
      <c r="K1855" s="1"/>
    </row>
    <row r="1856" spans="5:11" x14ac:dyDescent="0.3">
      <c r="E1856" s="6"/>
      <c r="F1856" s="1"/>
      <c r="K1856" s="1"/>
    </row>
    <row r="1857" spans="5:11" x14ac:dyDescent="0.3">
      <c r="E1857" s="6"/>
      <c r="F1857" s="1"/>
      <c r="K1857" s="1"/>
    </row>
    <row r="1858" spans="5:11" x14ac:dyDescent="0.3">
      <c r="E1858" s="6"/>
      <c r="F1858" s="1"/>
      <c r="K1858" s="1"/>
    </row>
    <row r="1859" spans="5:11" x14ac:dyDescent="0.3">
      <c r="E1859" s="6"/>
      <c r="F1859" s="1"/>
      <c r="K1859" s="1"/>
    </row>
    <row r="1860" spans="5:11" x14ac:dyDescent="0.3">
      <c r="E1860" s="6"/>
      <c r="F1860" s="1"/>
      <c r="K1860" s="1"/>
    </row>
    <row r="1861" spans="5:11" x14ac:dyDescent="0.3">
      <c r="E1861" s="6"/>
      <c r="F1861" s="1"/>
      <c r="K1861" s="1"/>
    </row>
    <row r="1862" spans="5:11" x14ac:dyDescent="0.3">
      <c r="E1862" s="6"/>
      <c r="F1862" s="1"/>
      <c r="K1862" s="1"/>
    </row>
    <row r="1863" spans="5:11" x14ac:dyDescent="0.3">
      <c r="E1863" s="6"/>
      <c r="F1863" s="1"/>
      <c r="K1863" s="1"/>
    </row>
    <row r="1864" spans="5:11" x14ac:dyDescent="0.3">
      <c r="E1864" s="6"/>
      <c r="F1864" s="1"/>
      <c r="K1864" s="1"/>
    </row>
    <row r="1865" spans="5:11" x14ac:dyDescent="0.3">
      <c r="E1865" s="6"/>
      <c r="F1865" s="1"/>
      <c r="K1865" s="1"/>
    </row>
    <row r="1866" spans="5:11" x14ac:dyDescent="0.3">
      <c r="E1866" s="6"/>
      <c r="F1866" s="1"/>
      <c r="K1866" s="1"/>
    </row>
    <row r="1867" spans="5:11" x14ac:dyDescent="0.3">
      <c r="E1867" s="6"/>
      <c r="F1867" s="1"/>
      <c r="K1867" s="1"/>
    </row>
    <row r="1868" spans="5:11" x14ac:dyDescent="0.3">
      <c r="E1868" s="6"/>
      <c r="F1868" s="1"/>
      <c r="K1868" s="1"/>
    </row>
    <row r="1869" spans="5:11" x14ac:dyDescent="0.3">
      <c r="E1869" s="6"/>
      <c r="F1869" s="1"/>
      <c r="K1869" s="1"/>
    </row>
    <row r="1870" spans="5:11" x14ac:dyDescent="0.3">
      <c r="E1870" s="6"/>
      <c r="F1870" s="1"/>
      <c r="K1870" s="1"/>
    </row>
    <row r="1871" spans="5:11" x14ac:dyDescent="0.3">
      <c r="E1871" s="6"/>
      <c r="F1871" s="1"/>
      <c r="K1871" s="1"/>
    </row>
    <row r="1872" spans="5:11" x14ac:dyDescent="0.3">
      <c r="E1872" s="6"/>
      <c r="F1872" s="1"/>
      <c r="K1872" s="1"/>
    </row>
    <row r="1873" spans="5:11" x14ac:dyDescent="0.3">
      <c r="E1873" s="6"/>
      <c r="F1873" s="1"/>
      <c r="K1873" s="1"/>
    </row>
    <row r="1874" spans="5:11" x14ac:dyDescent="0.3">
      <c r="E1874" s="6"/>
      <c r="F1874" s="1"/>
      <c r="K1874" s="1"/>
    </row>
    <row r="1875" spans="5:11" x14ac:dyDescent="0.3">
      <c r="E1875" s="6"/>
      <c r="F1875" s="1"/>
      <c r="K1875" s="1"/>
    </row>
    <row r="1876" spans="5:11" x14ac:dyDescent="0.3">
      <c r="E1876" s="6"/>
      <c r="F1876" s="1"/>
      <c r="K1876" s="1"/>
    </row>
    <row r="1877" spans="5:11" x14ac:dyDescent="0.3">
      <c r="E1877" s="6"/>
      <c r="F1877" s="1"/>
      <c r="K1877" s="1"/>
    </row>
    <row r="1878" spans="5:11" x14ac:dyDescent="0.3">
      <c r="E1878" s="6"/>
      <c r="F1878" s="1"/>
      <c r="K1878" s="1"/>
    </row>
    <row r="1879" spans="5:11" x14ac:dyDescent="0.3">
      <c r="E1879" s="6"/>
      <c r="F1879" s="1"/>
      <c r="K1879" s="1"/>
    </row>
    <row r="1880" spans="5:11" x14ac:dyDescent="0.3">
      <c r="E1880" s="6"/>
      <c r="F1880" s="1"/>
      <c r="K1880" s="1"/>
    </row>
    <row r="1881" spans="5:11" x14ac:dyDescent="0.3">
      <c r="E1881" s="6"/>
      <c r="F1881" s="1"/>
      <c r="K1881" s="1"/>
    </row>
    <row r="1882" spans="5:11" x14ac:dyDescent="0.3">
      <c r="E1882" s="6"/>
      <c r="F1882" s="1"/>
      <c r="K1882" s="1"/>
    </row>
    <row r="1883" spans="5:11" x14ac:dyDescent="0.3">
      <c r="E1883" s="6"/>
      <c r="F1883" s="1"/>
      <c r="K1883" s="1"/>
    </row>
    <row r="1884" spans="5:11" x14ac:dyDescent="0.3">
      <c r="E1884" s="6"/>
      <c r="F1884" s="1"/>
      <c r="K1884" s="1"/>
    </row>
    <row r="1885" spans="5:11" x14ac:dyDescent="0.3">
      <c r="E1885" s="6"/>
      <c r="F1885" s="1"/>
      <c r="K1885" s="1"/>
    </row>
    <row r="1886" spans="5:11" x14ac:dyDescent="0.3">
      <c r="E1886" s="6"/>
      <c r="F1886" s="1"/>
      <c r="K1886" s="1"/>
    </row>
    <row r="1887" spans="5:11" x14ac:dyDescent="0.3">
      <c r="E1887" s="6"/>
      <c r="F1887" s="1"/>
      <c r="K1887" s="1"/>
    </row>
    <row r="1888" spans="5:11" x14ac:dyDescent="0.3">
      <c r="E1888" s="6"/>
      <c r="F1888" s="1"/>
      <c r="K1888" s="1"/>
    </row>
    <row r="1889" spans="5:11" x14ac:dyDescent="0.3">
      <c r="E1889" s="6"/>
      <c r="F1889" s="1"/>
      <c r="K1889" s="1"/>
    </row>
    <row r="1890" spans="5:11" x14ac:dyDescent="0.3">
      <c r="E1890" s="6"/>
      <c r="F1890" s="1"/>
      <c r="K1890" s="1"/>
    </row>
    <row r="1891" spans="5:11" x14ac:dyDescent="0.3">
      <c r="E1891" s="6"/>
      <c r="F1891" s="1"/>
      <c r="K1891" s="1"/>
    </row>
    <row r="1892" spans="5:11" x14ac:dyDescent="0.3">
      <c r="E1892" s="6"/>
      <c r="F1892" s="1"/>
      <c r="K1892" s="1"/>
    </row>
    <row r="1893" spans="5:11" x14ac:dyDescent="0.3">
      <c r="E1893" s="6"/>
      <c r="F1893" s="1"/>
      <c r="K1893" s="1"/>
    </row>
    <row r="1894" spans="5:11" x14ac:dyDescent="0.3">
      <c r="E1894" s="6"/>
      <c r="F1894" s="1"/>
      <c r="K1894" s="1"/>
    </row>
    <row r="1895" spans="5:11" x14ac:dyDescent="0.3">
      <c r="E1895" s="6"/>
      <c r="F1895" s="1"/>
      <c r="K1895" s="1"/>
    </row>
    <row r="1896" spans="5:11" x14ac:dyDescent="0.3">
      <c r="E1896" s="6"/>
      <c r="F1896" s="1"/>
      <c r="K1896" s="1"/>
    </row>
    <row r="1897" spans="5:11" x14ac:dyDescent="0.3">
      <c r="E1897" s="6"/>
      <c r="F1897" s="1"/>
      <c r="K1897" s="1"/>
    </row>
    <row r="1898" spans="5:11" x14ac:dyDescent="0.3">
      <c r="E1898" s="6"/>
      <c r="F1898" s="1"/>
      <c r="K1898" s="1"/>
    </row>
    <row r="1899" spans="5:11" x14ac:dyDescent="0.3">
      <c r="E1899" s="6"/>
      <c r="F1899" s="1"/>
      <c r="K1899" s="1"/>
    </row>
    <row r="1900" spans="5:11" x14ac:dyDescent="0.3">
      <c r="E1900" s="6"/>
      <c r="F1900" s="1"/>
      <c r="K1900" s="1"/>
    </row>
    <row r="1901" spans="5:11" x14ac:dyDescent="0.3">
      <c r="E1901" s="6"/>
      <c r="F1901" s="1"/>
      <c r="K1901" s="1"/>
    </row>
    <row r="1902" spans="5:11" x14ac:dyDescent="0.3">
      <c r="E1902" s="6"/>
      <c r="F1902" s="1"/>
      <c r="K1902" s="1"/>
    </row>
    <row r="1903" spans="5:11" x14ac:dyDescent="0.3">
      <c r="E1903" s="6"/>
      <c r="F1903" s="1"/>
      <c r="K1903" s="1"/>
    </row>
    <row r="1904" spans="5:11" x14ac:dyDescent="0.3">
      <c r="E1904" s="6"/>
      <c r="F1904" s="1"/>
      <c r="K1904" s="1"/>
    </row>
    <row r="1905" spans="5:11" x14ac:dyDescent="0.3">
      <c r="E1905" s="6"/>
      <c r="F1905" s="1"/>
      <c r="K1905" s="1"/>
    </row>
    <row r="1906" spans="5:11" x14ac:dyDescent="0.3">
      <c r="E1906" s="6"/>
      <c r="F1906" s="1"/>
      <c r="K1906" s="1"/>
    </row>
    <row r="1907" spans="5:11" x14ac:dyDescent="0.3">
      <c r="E1907" s="6"/>
      <c r="F1907" s="1"/>
      <c r="K1907" s="1"/>
    </row>
    <row r="1908" spans="5:11" x14ac:dyDescent="0.3">
      <c r="E1908" s="6"/>
      <c r="F1908" s="1"/>
      <c r="K1908" s="1"/>
    </row>
    <row r="1909" spans="5:11" x14ac:dyDescent="0.3">
      <c r="E1909" s="6"/>
      <c r="F1909" s="1"/>
      <c r="K1909" s="1"/>
    </row>
    <row r="1910" spans="5:11" x14ac:dyDescent="0.3">
      <c r="E1910" s="6"/>
      <c r="F1910" s="1"/>
      <c r="K1910" s="1"/>
    </row>
    <row r="1911" spans="5:11" x14ac:dyDescent="0.3">
      <c r="E1911" s="6"/>
      <c r="F1911" s="1"/>
      <c r="K1911" s="1"/>
    </row>
    <row r="1912" spans="5:11" x14ac:dyDescent="0.3">
      <c r="E1912" s="6"/>
      <c r="F1912" s="1"/>
      <c r="K1912" s="1"/>
    </row>
    <row r="1913" spans="5:11" x14ac:dyDescent="0.3">
      <c r="E1913" s="6"/>
      <c r="F1913" s="1"/>
      <c r="K1913" s="1"/>
    </row>
    <row r="1914" spans="5:11" x14ac:dyDescent="0.3">
      <c r="E1914" s="6"/>
      <c r="F1914" s="1"/>
      <c r="K1914" s="1"/>
    </row>
    <row r="1915" spans="5:11" x14ac:dyDescent="0.3">
      <c r="E1915" s="6"/>
      <c r="F1915" s="1"/>
      <c r="K1915" s="1"/>
    </row>
    <row r="1916" spans="5:11" x14ac:dyDescent="0.3">
      <c r="E1916" s="6"/>
      <c r="F1916" s="1"/>
      <c r="K1916" s="1"/>
    </row>
    <row r="1917" spans="5:11" x14ac:dyDescent="0.3">
      <c r="E1917" s="6"/>
      <c r="F1917" s="1"/>
      <c r="K1917" s="1"/>
    </row>
    <row r="1918" spans="5:11" x14ac:dyDescent="0.3">
      <c r="E1918" s="6"/>
      <c r="F1918" s="1"/>
      <c r="K1918" s="1"/>
    </row>
    <row r="1919" spans="5:11" x14ac:dyDescent="0.3">
      <c r="E1919" s="6"/>
      <c r="F1919" s="1"/>
      <c r="K1919" s="1"/>
    </row>
    <row r="1920" spans="5:11" x14ac:dyDescent="0.3">
      <c r="E1920" s="6"/>
      <c r="F1920" s="1"/>
      <c r="K1920" s="1"/>
    </row>
    <row r="1921" spans="5:11" x14ac:dyDescent="0.3">
      <c r="E1921" s="6"/>
      <c r="F1921" s="1"/>
      <c r="K1921" s="1"/>
    </row>
    <row r="1922" spans="5:11" x14ac:dyDescent="0.3">
      <c r="E1922" s="6"/>
      <c r="F1922" s="1"/>
      <c r="K1922" s="1"/>
    </row>
    <row r="1923" spans="5:11" x14ac:dyDescent="0.3">
      <c r="E1923" s="6"/>
      <c r="F1923" s="1"/>
      <c r="K1923" s="1"/>
    </row>
    <row r="1924" spans="5:11" x14ac:dyDescent="0.3">
      <c r="E1924" s="6"/>
      <c r="F1924" s="1"/>
      <c r="K1924" s="1"/>
    </row>
    <row r="1925" spans="5:11" x14ac:dyDescent="0.3">
      <c r="E1925" s="6"/>
      <c r="F1925" s="1"/>
      <c r="K1925" s="1"/>
    </row>
    <row r="1926" spans="5:11" x14ac:dyDescent="0.3">
      <c r="E1926" s="6"/>
      <c r="F1926" s="1"/>
      <c r="K1926" s="1"/>
    </row>
    <row r="1927" spans="5:11" x14ac:dyDescent="0.3">
      <c r="E1927" s="6"/>
      <c r="F1927" s="1"/>
      <c r="K1927" s="1"/>
    </row>
    <row r="1928" spans="5:11" x14ac:dyDescent="0.3">
      <c r="E1928" s="6"/>
      <c r="F1928" s="1"/>
      <c r="K1928" s="1"/>
    </row>
    <row r="1929" spans="5:11" x14ac:dyDescent="0.3">
      <c r="E1929" s="6"/>
      <c r="F1929" s="1"/>
      <c r="K1929" s="1"/>
    </row>
    <row r="1930" spans="5:11" x14ac:dyDescent="0.3">
      <c r="E1930" s="6"/>
      <c r="F1930" s="1"/>
      <c r="K1930" s="1"/>
    </row>
    <row r="1931" spans="5:11" x14ac:dyDescent="0.3">
      <c r="E1931" s="6"/>
      <c r="F1931" s="1"/>
      <c r="K1931" s="1"/>
    </row>
    <row r="1932" spans="5:11" x14ac:dyDescent="0.3">
      <c r="E1932" s="6"/>
      <c r="F1932" s="1"/>
      <c r="K1932" s="1"/>
    </row>
    <row r="1933" spans="5:11" x14ac:dyDescent="0.3">
      <c r="E1933" s="6"/>
      <c r="F1933" s="1"/>
      <c r="K1933" s="1"/>
    </row>
    <row r="1934" spans="5:11" x14ac:dyDescent="0.3">
      <c r="E1934" s="6"/>
      <c r="F1934" s="1"/>
      <c r="K1934" s="1"/>
    </row>
    <row r="1935" spans="5:11" x14ac:dyDescent="0.3">
      <c r="E1935" s="6"/>
      <c r="F1935" s="1"/>
      <c r="K1935" s="1"/>
    </row>
    <row r="1936" spans="5:11" x14ac:dyDescent="0.3">
      <c r="E1936" s="6"/>
      <c r="F1936" s="1"/>
      <c r="K1936" s="1"/>
    </row>
    <row r="1937" spans="5:11" x14ac:dyDescent="0.3">
      <c r="E1937" s="6"/>
      <c r="F1937" s="1"/>
      <c r="K1937" s="1"/>
    </row>
    <row r="1938" spans="5:11" x14ac:dyDescent="0.3">
      <c r="E1938" s="6"/>
      <c r="F1938" s="1"/>
      <c r="K1938" s="1"/>
    </row>
    <row r="1939" spans="5:11" x14ac:dyDescent="0.3">
      <c r="E1939" s="6"/>
      <c r="F1939" s="1"/>
      <c r="K1939" s="1"/>
    </row>
    <row r="1940" spans="5:11" x14ac:dyDescent="0.3">
      <c r="E1940" s="6"/>
      <c r="F1940" s="1"/>
      <c r="K1940" s="1"/>
    </row>
    <row r="1941" spans="5:11" x14ac:dyDescent="0.3">
      <c r="E1941" s="6"/>
      <c r="F1941" s="1"/>
      <c r="K1941" s="1"/>
    </row>
    <row r="1942" spans="5:11" x14ac:dyDescent="0.3">
      <c r="E1942" s="6"/>
      <c r="F1942" s="1"/>
      <c r="K1942" s="1"/>
    </row>
    <row r="1943" spans="5:11" x14ac:dyDescent="0.3">
      <c r="E1943" s="6"/>
      <c r="F1943" s="1"/>
      <c r="K1943" s="1"/>
    </row>
    <row r="1944" spans="5:11" x14ac:dyDescent="0.3">
      <c r="E1944" s="6"/>
      <c r="F1944" s="1"/>
      <c r="K1944" s="1"/>
    </row>
    <row r="1945" spans="5:11" x14ac:dyDescent="0.3">
      <c r="E1945" s="6"/>
      <c r="F1945" s="1"/>
      <c r="K1945" s="1"/>
    </row>
    <row r="1946" spans="5:11" x14ac:dyDescent="0.3">
      <c r="E1946" s="6"/>
      <c r="F1946" s="1"/>
      <c r="K1946" s="1"/>
    </row>
    <row r="1947" spans="5:11" x14ac:dyDescent="0.3">
      <c r="E1947" s="6"/>
      <c r="F1947" s="1"/>
      <c r="K1947" s="1"/>
    </row>
    <row r="1948" spans="5:11" x14ac:dyDescent="0.3">
      <c r="E1948" s="6"/>
      <c r="F1948" s="1"/>
      <c r="K1948" s="1"/>
    </row>
    <row r="1949" spans="5:11" x14ac:dyDescent="0.3">
      <c r="E1949" s="6"/>
      <c r="F1949" s="1"/>
      <c r="K1949" s="1"/>
    </row>
    <row r="1950" spans="5:11" x14ac:dyDescent="0.3">
      <c r="E1950" s="6"/>
      <c r="F1950" s="1"/>
      <c r="K1950" s="1"/>
    </row>
    <row r="1951" spans="5:11" x14ac:dyDescent="0.3">
      <c r="E1951" s="6"/>
      <c r="F1951" s="1"/>
      <c r="K1951" s="1"/>
    </row>
    <row r="1952" spans="5:11" x14ac:dyDescent="0.3">
      <c r="E1952" s="6"/>
      <c r="F1952" s="1"/>
      <c r="K1952" s="1"/>
    </row>
    <row r="1953" spans="5:11" x14ac:dyDescent="0.3">
      <c r="E1953" s="6"/>
      <c r="F1953" s="1"/>
      <c r="K1953" s="1"/>
    </row>
    <row r="1954" spans="5:11" x14ac:dyDescent="0.3">
      <c r="E1954" s="6"/>
      <c r="F1954" s="1"/>
      <c r="K1954" s="1"/>
    </row>
    <row r="1955" spans="5:11" x14ac:dyDescent="0.3">
      <c r="E1955" s="6"/>
      <c r="F1955" s="1"/>
      <c r="K1955" s="1"/>
    </row>
    <row r="1956" spans="5:11" x14ac:dyDescent="0.3">
      <c r="E1956" s="6"/>
      <c r="F1956" s="1"/>
      <c r="K1956" s="1"/>
    </row>
    <row r="1957" spans="5:11" x14ac:dyDescent="0.3">
      <c r="E1957" s="6"/>
      <c r="F1957" s="1"/>
      <c r="K1957" s="1"/>
    </row>
    <row r="1958" spans="5:11" x14ac:dyDescent="0.3">
      <c r="E1958" s="6"/>
      <c r="F1958" s="1"/>
      <c r="K1958" s="1"/>
    </row>
    <row r="1959" spans="5:11" x14ac:dyDescent="0.3">
      <c r="E1959" s="6"/>
      <c r="F1959" s="1"/>
      <c r="K1959" s="1"/>
    </row>
    <row r="1960" spans="5:11" x14ac:dyDescent="0.3">
      <c r="E1960" s="6"/>
      <c r="F1960" s="1"/>
      <c r="K1960" s="1"/>
    </row>
    <row r="1961" spans="5:11" x14ac:dyDescent="0.3">
      <c r="E1961" s="6"/>
      <c r="F1961" s="1"/>
      <c r="K1961" s="1"/>
    </row>
    <row r="1962" spans="5:11" x14ac:dyDescent="0.3">
      <c r="E1962" s="6"/>
      <c r="F1962" s="1"/>
      <c r="K1962" s="1"/>
    </row>
    <row r="1963" spans="5:11" x14ac:dyDescent="0.3">
      <c r="E1963" s="6"/>
      <c r="F1963" s="1"/>
      <c r="K1963" s="1"/>
    </row>
    <row r="1964" spans="5:11" x14ac:dyDescent="0.3">
      <c r="E1964" s="6"/>
      <c r="F1964" s="1"/>
      <c r="K1964" s="1"/>
    </row>
    <row r="1965" spans="5:11" x14ac:dyDescent="0.3">
      <c r="E1965" s="6"/>
      <c r="F1965" s="1"/>
      <c r="K1965" s="1"/>
    </row>
    <row r="1966" spans="5:11" x14ac:dyDescent="0.3">
      <c r="E1966" s="6"/>
      <c r="F1966" s="1"/>
      <c r="K1966" s="1"/>
    </row>
    <row r="1967" spans="5:11" x14ac:dyDescent="0.3">
      <c r="E1967" s="6"/>
      <c r="F1967" s="1"/>
      <c r="K1967" s="1"/>
    </row>
    <row r="1968" spans="5:11" x14ac:dyDescent="0.3">
      <c r="E1968" s="6"/>
      <c r="F1968" s="1"/>
      <c r="K1968" s="1"/>
    </row>
    <row r="1969" spans="5:11" x14ac:dyDescent="0.3">
      <c r="E1969" s="6"/>
      <c r="F1969" s="1"/>
      <c r="K1969" s="1"/>
    </row>
    <row r="1970" spans="5:11" x14ac:dyDescent="0.3">
      <c r="E1970" s="6"/>
      <c r="F1970" s="1"/>
      <c r="K1970" s="1"/>
    </row>
    <row r="1971" spans="5:11" x14ac:dyDescent="0.3">
      <c r="E1971" s="6"/>
      <c r="F1971" s="1"/>
      <c r="K1971" s="1"/>
    </row>
    <row r="1972" spans="5:11" x14ac:dyDescent="0.3">
      <c r="E1972" s="6"/>
      <c r="F1972" s="1"/>
      <c r="K1972" s="1"/>
    </row>
    <row r="1973" spans="5:11" x14ac:dyDescent="0.3">
      <c r="E1973" s="6"/>
      <c r="F1973" s="1"/>
      <c r="K1973" s="1"/>
    </row>
    <row r="1974" spans="5:11" x14ac:dyDescent="0.3">
      <c r="E1974" s="6"/>
      <c r="F1974" s="1"/>
      <c r="K1974" s="1"/>
    </row>
    <row r="1975" spans="5:11" x14ac:dyDescent="0.3">
      <c r="E1975" s="6"/>
      <c r="F1975" s="1"/>
      <c r="K1975" s="1"/>
    </row>
    <row r="1976" spans="5:11" x14ac:dyDescent="0.3">
      <c r="E1976" s="6"/>
      <c r="F1976" s="1"/>
      <c r="K1976" s="1"/>
    </row>
    <row r="1977" spans="5:11" x14ac:dyDescent="0.3">
      <c r="E1977" s="6"/>
      <c r="F1977" s="1"/>
      <c r="K1977" s="1"/>
    </row>
    <row r="1978" spans="5:11" x14ac:dyDescent="0.3">
      <c r="E1978" s="6"/>
      <c r="F1978" s="1"/>
      <c r="K1978" s="1"/>
    </row>
    <row r="1979" spans="5:11" x14ac:dyDescent="0.3">
      <c r="E1979" s="6"/>
      <c r="F1979" s="1"/>
      <c r="K1979" s="1"/>
    </row>
    <row r="1980" spans="5:11" x14ac:dyDescent="0.3">
      <c r="E1980" s="6"/>
      <c r="F1980" s="1"/>
      <c r="K1980" s="1"/>
    </row>
    <row r="1981" spans="5:11" x14ac:dyDescent="0.3">
      <c r="E1981" s="6"/>
      <c r="F1981" s="1"/>
      <c r="K1981" s="1"/>
    </row>
    <row r="1982" spans="5:11" x14ac:dyDescent="0.3">
      <c r="E1982" s="6"/>
      <c r="F1982" s="1"/>
      <c r="K1982" s="1"/>
    </row>
    <row r="1983" spans="5:11" x14ac:dyDescent="0.3">
      <c r="E1983" s="6"/>
      <c r="F1983" s="1"/>
      <c r="K1983" s="1"/>
    </row>
    <row r="1984" spans="5:11" x14ac:dyDescent="0.3">
      <c r="E1984" s="6"/>
      <c r="F1984" s="1"/>
      <c r="K1984" s="1"/>
    </row>
    <row r="1985" spans="5:11" x14ac:dyDescent="0.3">
      <c r="E1985" s="6"/>
      <c r="F1985" s="1"/>
      <c r="K1985" s="1"/>
    </row>
    <row r="1986" spans="5:11" x14ac:dyDescent="0.3">
      <c r="E1986" s="6"/>
      <c r="F1986" s="1"/>
      <c r="K1986" s="1"/>
    </row>
    <row r="1987" spans="5:11" x14ac:dyDescent="0.3">
      <c r="E1987" s="6"/>
      <c r="F1987" s="1"/>
      <c r="K1987" s="1"/>
    </row>
    <row r="1988" spans="5:11" x14ac:dyDescent="0.3">
      <c r="E1988" s="6"/>
      <c r="F1988" s="1"/>
      <c r="K1988" s="1"/>
    </row>
    <row r="1989" spans="5:11" x14ac:dyDescent="0.3">
      <c r="E1989" s="6"/>
      <c r="F1989" s="1"/>
      <c r="K1989" s="1"/>
    </row>
    <row r="1990" spans="5:11" x14ac:dyDescent="0.3">
      <c r="E1990" s="6"/>
      <c r="F1990" s="1"/>
      <c r="K1990" s="1"/>
    </row>
    <row r="1991" spans="5:11" x14ac:dyDescent="0.3">
      <c r="E1991" s="6"/>
      <c r="F1991" s="1"/>
      <c r="K1991" s="1"/>
    </row>
    <row r="1992" spans="5:11" x14ac:dyDescent="0.3">
      <c r="E1992" s="6"/>
      <c r="F1992" s="1"/>
      <c r="K1992" s="1"/>
    </row>
    <row r="1993" spans="5:11" x14ac:dyDescent="0.3">
      <c r="E1993" s="6"/>
      <c r="F1993" s="1"/>
      <c r="K1993" s="1"/>
    </row>
    <row r="1994" spans="5:11" x14ac:dyDescent="0.3">
      <c r="E1994" s="6"/>
      <c r="F1994" s="1"/>
      <c r="K1994" s="1"/>
    </row>
    <row r="1995" spans="5:11" x14ac:dyDescent="0.3">
      <c r="E1995" s="6"/>
      <c r="F1995" s="1"/>
      <c r="K1995" s="1"/>
    </row>
    <row r="1996" spans="5:11" x14ac:dyDescent="0.3">
      <c r="E1996" s="6"/>
      <c r="F1996" s="1"/>
      <c r="K1996" s="1"/>
    </row>
    <row r="1997" spans="5:11" x14ac:dyDescent="0.3">
      <c r="E1997" s="6"/>
      <c r="F1997" s="1"/>
      <c r="K1997" s="1"/>
    </row>
    <row r="1998" spans="5:11" x14ac:dyDescent="0.3">
      <c r="E1998" s="6"/>
      <c r="F1998" s="1"/>
      <c r="K1998" s="1"/>
    </row>
    <row r="1999" spans="5:11" x14ac:dyDescent="0.3">
      <c r="E1999" s="6"/>
      <c r="F1999" s="1"/>
      <c r="K1999" s="1"/>
    </row>
    <row r="2000" spans="5:11" x14ac:dyDescent="0.3">
      <c r="E2000" s="6"/>
      <c r="F2000" s="1"/>
      <c r="K2000" s="1"/>
    </row>
    <row r="2001" spans="5:11" x14ac:dyDescent="0.3">
      <c r="E2001" s="6"/>
      <c r="F2001" s="1"/>
      <c r="K2001" s="1"/>
    </row>
    <row r="2002" spans="5:11" x14ac:dyDescent="0.3">
      <c r="E2002" s="6"/>
      <c r="F2002" s="1"/>
      <c r="K2002" s="1"/>
    </row>
    <row r="2003" spans="5:11" x14ac:dyDescent="0.3">
      <c r="E2003" s="6"/>
      <c r="F2003" s="1"/>
      <c r="K2003" s="1"/>
    </row>
    <row r="2004" spans="5:11" x14ac:dyDescent="0.3">
      <c r="E2004" s="6"/>
      <c r="F2004" s="1"/>
      <c r="K2004" s="1"/>
    </row>
    <row r="2005" spans="5:11" x14ac:dyDescent="0.3">
      <c r="E2005" s="6"/>
      <c r="F2005" s="1"/>
      <c r="K2005" s="1"/>
    </row>
    <row r="2006" spans="5:11" x14ac:dyDescent="0.3">
      <c r="E2006" s="6"/>
      <c r="F2006" s="1"/>
      <c r="K2006" s="1"/>
    </row>
    <row r="2007" spans="5:11" x14ac:dyDescent="0.3">
      <c r="E2007" s="6"/>
      <c r="F2007" s="1"/>
      <c r="K2007" s="1"/>
    </row>
    <row r="2008" spans="5:11" x14ac:dyDescent="0.3">
      <c r="E2008" s="6"/>
      <c r="F2008" s="1"/>
      <c r="K2008" s="1"/>
    </row>
    <row r="2009" spans="5:11" x14ac:dyDescent="0.3">
      <c r="E2009" s="6"/>
      <c r="F2009" s="1"/>
      <c r="K2009" s="1"/>
    </row>
    <row r="2010" spans="5:11" x14ac:dyDescent="0.3">
      <c r="E2010" s="6"/>
      <c r="F2010" s="1"/>
      <c r="K2010" s="1"/>
    </row>
    <row r="2011" spans="5:11" x14ac:dyDescent="0.3">
      <c r="E2011" s="6"/>
      <c r="F2011" s="1"/>
      <c r="K2011" s="1"/>
    </row>
    <row r="2012" spans="5:11" x14ac:dyDescent="0.3">
      <c r="E2012" s="6"/>
      <c r="F2012" s="1"/>
      <c r="K2012" s="1"/>
    </row>
    <row r="2013" spans="5:11" x14ac:dyDescent="0.3">
      <c r="E2013" s="6"/>
      <c r="F2013" s="1"/>
      <c r="K2013" s="1"/>
    </row>
    <row r="2014" spans="5:11" x14ac:dyDescent="0.3">
      <c r="E2014" s="6"/>
      <c r="F2014" s="1"/>
      <c r="K2014" s="1"/>
    </row>
    <row r="2015" spans="5:11" x14ac:dyDescent="0.3">
      <c r="E2015" s="6"/>
      <c r="F2015" s="1"/>
      <c r="K2015" s="1"/>
    </row>
    <row r="2016" spans="5:11" x14ac:dyDescent="0.3">
      <c r="E2016" s="6"/>
      <c r="F2016" s="1"/>
      <c r="K2016" s="1"/>
    </row>
    <row r="2017" spans="5:11" x14ac:dyDescent="0.3">
      <c r="E2017" s="6"/>
      <c r="F2017" s="1"/>
      <c r="K2017" s="1"/>
    </row>
    <row r="2018" spans="5:11" x14ac:dyDescent="0.3">
      <c r="E2018" s="6"/>
      <c r="F2018" s="1"/>
      <c r="K2018" s="1"/>
    </row>
    <row r="2019" spans="5:11" x14ac:dyDescent="0.3">
      <c r="E2019" s="5"/>
      <c r="F2019" s="1"/>
      <c r="K2019" s="1"/>
    </row>
    <row r="2020" spans="5:11" x14ac:dyDescent="0.3">
      <c r="E2020" s="6"/>
      <c r="F2020" s="1"/>
      <c r="K2020" s="1"/>
    </row>
    <row r="2021" spans="5:11" x14ac:dyDescent="0.3">
      <c r="E2021" s="6"/>
      <c r="F2021" s="1"/>
      <c r="K2021" s="1"/>
    </row>
    <row r="2022" spans="5:11" x14ac:dyDescent="0.3">
      <c r="E2022" s="6"/>
      <c r="F2022" s="1"/>
      <c r="K2022" s="1"/>
    </row>
    <row r="2023" spans="5:11" x14ac:dyDescent="0.3">
      <c r="E2023" s="6"/>
      <c r="F2023" s="1"/>
      <c r="K2023" s="1"/>
    </row>
    <row r="2024" spans="5:11" x14ac:dyDescent="0.3">
      <c r="E2024" s="6"/>
      <c r="F2024" s="1"/>
      <c r="K2024" s="1"/>
    </row>
    <row r="2025" spans="5:11" x14ac:dyDescent="0.3">
      <c r="E2025" s="6"/>
      <c r="F2025" s="1"/>
      <c r="K2025" s="1"/>
    </row>
    <row r="2026" spans="5:11" x14ac:dyDescent="0.3">
      <c r="E2026" s="6"/>
      <c r="F2026" s="1"/>
      <c r="K2026" s="1"/>
    </row>
    <row r="2027" spans="5:11" x14ac:dyDescent="0.3">
      <c r="E2027" s="6"/>
      <c r="F2027" s="1"/>
      <c r="K2027" s="1"/>
    </row>
    <row r="2028" spans="5:11" x14ac:dyDescent="0.3">
      <c r="E2028" s="6"/>
      <c r="F2028" s="1"/>
      <c r="K2028" s="1"/>
    </row>
    <row r="2029" spans="5:11" x14ac:dyDescent="0.3">
      <c r="E2029" s="6"/>
      <c r="F2029" s="1"/>
      <c r="K2029" s="1"/>
    </row>
    <row r="2030" spans="5:11" x14ac:dyDescent="0.3">
      <c r="E2030" s="6"/>
      <c r="F2030" s="1"/>
      <c r="K2030" s="1"/>
    </row>
    <row r="2031" spans="5:11" x14ac:dyDescent="0.3">
      <c r="E2031" s="6"/>
      <c r="F2031" s="1"/>
      <c r="K2031" s="1"/>
    </row>
    <row r="2032" spans="5:11" x14ac:dyDescent="0.3">
      <c r="E2032" s="6"/>
      <c r="F2032" s="1"/>
      <c r="K2032" s="1"/>
    </row>
    <row r="2033" spans="5:11" x14ac:dyDescent="0.3">
      <c r="E2033" s="6"/>
      <c r="F2033" s="1"/>
      <c r="K2033" s="1"/>
    </row>
    <row r="2034" spans="5:11" x14ac:dyDescent="0.3">
      <c r="E2034" s="6"/>
      <c r="F2034" s="1"/>
      <c r="K2034" s="1"/>
    </row>
    <row r="2035" spans="5:11" x14ac:dyDescent="0.3">
      <c r="E2035" s="6"/>
      <c r="F2035" s="1"/>
      <c r="K2035" s="1"/>
    </row>
    <row r="2036" spans="5:11" x14ac:dyDescent="0.3">
      <c r="E2036" s="6"/>
      <c r="F2036" s="1"/>
      <c r="K2036" s="1"/>
    </row>
    <row r="2037" spans="5:11" x14ac:dyDescent="0.3">
      <c r="E2037" s="6"/>
      <c r="F2037" s="1"/>
      <c r="K2037" s="1"/>
    </row>
    <row r="2038" spans="5:11" x14ac:dyDescent="0.3">
      <c r="E2038" s="6"/>
      <c r="F2038" s="1"/>
      <c r="K2038" s="1"/>
    </row>
    <row r="2039" spans="5:11" x14ac:dyDescent="0.3">
      <c r="E2039" s="6"/>
      <c r="F2039" s="1"/>
      <c r="K2039" s="1"/>
    </row>
    <row r="2040" spans="5:11" x14ac:dyDescent="0.3">
      <c r="E2040" s="6"/>
      <c r="F2040" s="1"/>
      <c r="K2040" s="1"/>
    </row>
    <row r="2041" spans="5:11" x14ac:dyDescent="0.3">
      <c r="E2041" s="6"/>
      <c r="F2041" s="1"/>
      <c r="K2041" s="1"/>
    </row>
    <row r="2042" spans="5:11" x14ac:dyDescent="0.3">
      <c r="E2042" s="6"/>
      <c r="F2042" s="1"/>
      <c r="K2042" s="1"/>
    </row>
    <row r="2043" spans="5:11" x14ac:dyDescent="0.3">
      <c r="E2043" s="6"/>
      <c r="F2043" s="1"/>
      <c r="K2043" s="1"/>
    </row>
    <row r="2044" spans="5:11" x14ac:dyDescent="0.3">
      <c r="E2044" s="6"/>
      <c r="F2044" s="1"/>
      <c r="K2044" s="1"/>
    </row>
    <row r="2045" spans="5:11" x14ac:dyDescent="0.3">
      <c r="E2045" s="6"/>
      <c r="F2045" s="1"/>
      <c r="K2045" s="1"/>
    </row>
    <row r="2046" spans="5:11" x14ac:dyDescent="0.3">
      <c r="E2046" s="6"/>
      <c r="F2046" s="1"/>
      <c r="K2046" s="1"/>
    </row>
    <row r="2047" spans="5:11" x14ac:dyDescent="0.3">
      <c r="E2047" s="6"/>
      <c r="F2047" s="1"/>
      <c r="K2047" s="1"/>
    </row>
    <row r="2048" spans="5:11" x14ac:dyDescent="0.3">
      <c r="E2048" s="6"/>
      <c r="F2048" s="1"/>
      <c r="K2048" s="1"/>
    </row>
    <row r="2049" spans="5:11" x14ac:dyDescent="0.3">
      <c r="E2049" s="6"/>
      <c r="F2049" s="1"/>
      <c r="K2049" s="1"/>
    </row>
    <row r="2050" spans="5:11" x14ac:dyDescent="0.3">
      <c r="E2050" s="6"/>
      <c r="F2050" s="1"/>
      <c r="K2050" s="1"/>
    </row>
    <row r="2051" spans="5:11" x14ac:dyDescent="0.3">
      <c r="E2051" s="6"/>
      <c r="F2051" s="1"/>
      <c r="K2051" s="1"/>
    </row>
    <row r="2052" spans="5:11" x14ac:dyDescent="0.3">
      <c r="E2052" s="6"/>
      <c r="F2052" s="1"/>
      <c r="K2052" s="1"/>
    </row>
    <row r="2053" spans="5:11" x14ac:dyDescent="0.3">
      <c r="E2053" s="6"/>
      <c r="F2053" s="1"/>
      <c r="K2053" s="1"/>
    </row>
    <row r="2054" spans="5:11" x14ac:dyDescent="0.3">
      <c r="E2054" s="6"/>
      <c r="F2054" s="1"/>
      <c r="K2054" s="1"/>
    </row>
    <row r="2055" spans="5:11" x14ac:dyDescent="0.3">
      <c r="E2055" s="6"/>
      <c r="F2055" s="1"/>
      <c r="K2055" s="1"/>
    </row>
    <row r="2056" spans="5:11" x14ac:dyDescent="0.3">
      <c r="E2056" s="6"/>
      <c r="F2056" s="1"/>
      <c r="K2056" s="1"/>
    </row>
    <row r="2057" spans="5:11" x14ac:dyDescent="0.3">
      <c r="E2057" s="6"/>
      <c r="F2057" s="1"/>
      <c r="K2057" s="1"/>
    </row>
    <row r="2058" spans="5:11" x14ac:dyDescent="0.3">
      <c r="E2058" s="6"/>
      <c r="F2058" s="1"/>
      <c r="K2058" s="1"/>
    </row>
    <row r="2059" spans="5:11" x14ac:dyDescent="0.3">
      <c r="E2059" s="6"/>
      <c r="F2059" s="1"/>
      <c r="K2059" s="1"/>
    </row>
    <row r="2060" spans="5:11" x14ac:dyDescent="0.3">
      <c r="E2060" s="6"/>
      <c r="F2060" s="1"/>
      <c r="K2060" s="1"/>
    </row>
    <row r="2061" spans="5:11" x14ac:dyDescent="0.3">
      <c r="E2061" s="6"/>
      <c r="F2061" s="1"/>
      <c r="K2061" s="1"/>
    </row>
    <row r="2062" spans="5:11" x14ac:dyDescent="0.3">
      <c r="E2062" s="6"/>
      <c r="F2062" s="1"/>
      <c r="K2062" s="1"/>
    </row>
    <row r="2063" spans="5:11" x14ac:dyDescent="0.3">
      <c r="E2063" s="6"/>
      <c r="F2063" s="1"/>
      <c r="K2063" s="1"/>
    </row>
    <row r="2064" spans="5:11" x14ac:dyDescent="0.3">
      <c r="E2064" s="6"/>
      <c r="F2064" s="1"/>
      <c r="K2064" s="1"/>
    </row>
    <row r="2065" spans="5:11" x14ac:dyDescent="0.3">
      <c r="E2065" s="6"/>
      <c r="F2065" s="1"/>
      <c r="K2065" s="1"/>
    </row>
    <row r="2066" spans="5:11" x14ac:dyDescent="0.3">
      <c r="E2066" s="6"/>
      <c r="F2066" s="1"/>
      <c r="K2066" s="1"/>
    </row>
    <row r="2067" spans="5:11" x14ac:dyDescent="0.3">
      <c r="E2067" s="6"/>
      <c r="F2067" s="1"/>
      <c r="K2067" s="1"/>
    </row>
    <row r="2068" spans="5:11" x14ac:dyDescent="0.3">
      <c r="E2068" s="6"/>
      <c r="F2068" s="1"/>
      <c r="K2068" s="1"/>
    </row>
    <row r="2069" spans="5:11" x14ac:dyDescent="0.3">
      <c r="E2069" s="6"/>
      <c r="F2069" s="1"/>
      <c r="K2069" s="1"/>
    </row>
    <row r="2070" spans="5:11" x14ac:dyDescent="0.3">
      <c r="E2070" s="6"/>
      <c r="F2070" s="1"/>
      <c r="K2070" s="1"/>
    </row>
    <row r="2071" spans="5:11" x14ac:dyDescent="0.3">
      <c r="E2071" s="6"/>
      <c r="F2071" s="1"/>
      <c r="K2071" s="1"/>
    </row>
    <row r="2072" spans="5:11" x14ac:dyDescent="0.3">
      <c r="E2072" s="6"/>
      <c r="F2072" s="1"/>
      <c r="K2072" s="1"/>
    </row>
    <row r="2073" spans="5:11" x14ac:dyDescent="0.3">
      <c r="E2073" s="6"/>
      <c r="F2073" s="1"/>
      <c r="K2073" s="1"/>
    </row>
    <row r="2074" spans="5:11" x14ac:dyDescent="0.3">
      <c r="E2074" s="6"/>
      <c r="F2074" s="1"/>
      <c r="K2074" s="1"/>
    </row>
    <row r="2075" spans="5:11" x14ac:dyDescent="0.3">
      <c r="E2075" s="6"/>
      <c r="F2075" s="1"/>
      <c r="K2075" s="1"/>
    </row>
    <row r="2076" spans="5:11" x14ac:dyDescent="0.3">
      <c r="E2076" s="6"/>
      <c r="F2076" s="1"/>
      <c r="K2076" s="1"/>
    </row>
    <row r="2077" spans="5:11" x14ac:dyDescent="0.3">
      <c r="E2077" s="5"/>
      <c r="F2077" s="1"/>
      <c r="K2077" s="1"/>
    </row>
    <row r="2078" spans="5:11" x14ac:dyDescent="0.3">
      <c r="E2078" s="5"/>
      <c r="F2078" s="1"/>
      <c r="K2078" s="1"/>
    </row>
    <row r="2079" spans="5:11" x14ac:dyDescent="0.3">
      <c r="E2079" s="6"/>
      <c r="F2079" s="1"/>
      <c r="K2079" s="1"/>
    </row>
    <row r="2080" spans="5:11" x14ac:dyDescent="0.3">
      <c r="E2080" s="6"/>
      <c r="F2080" s="1"/>
      <c r="K2080" s="1"/>
    </row>
    <row r="2081" spans="5:11" x14ac:dyDescent="0.3">
      <c r="E2081" s="6"/>
      <c r="F2081" s="1"/>
      <c r="K2081" s="1"/>
    </row>
    <row r="2082" spans="5:11" x14ac:dyDescent="0.3">
      <c r="E2082" s="6"/>
      <c r="F2082" s="1"/>
      <c r="K2082" s="1"/>
    </row>
    <row r="2083" spans="5:11" x14ac:dyDescent="0.3">
      <c r="E2083" s="6"/>
      <c r="F2083" s="1"/>
      <c r="K2083" s="1"/>
    </row>
    <row r="2084" spans="5:11" x14ac:dyDescent="0.3">
      <c r="E2084" s="6"/>
      <c r="F2084" s="1"/>
      <c r="K2084" s="1"/>
    </row>
    <row r="2085" spans="5:11" x14ac:dyDescent="0.3">
      <c r="E2085" s="6"/>
      <c r="F2085" s="1"/>
      <c r="K2085" s="1"/>
    </row>
    <row r="2086" spans="5:11" x14ac:dyDescent="0.3">
      <c r="E2086" s="6"/>
      <c r="F2086" s="1"/>
      <c r="K2086" s="1"/>
    </row>
    <row r="2087" spans="5:11" x14ac:dyDescent="0.3">
      <c r="E2087" s="6"/>
      <c r="F2087" s="1"/>
      <c r="K2087" s="1"/>
    </row>
    <row r="2088" spans="5:11" x14ac:dyDescent="0.3">
      <c r="E2088" s="6"/>
      <c r="F2088" s="1"/>
      <c r="K2088" s="1"/>
    </row>
    <row r="2089" spans="5:11" x14ac:dyDescent="0.3">
      <c r="E2089" s="6"/>
      <c r="F2089" s="1"/>
      <c r="K2089" s="1"/>
    </row>
    <row r="2090" spans="5:11" x14ac:dyDescent="0.3">
      <c r="E2090" s="6"/>
      <c r="F2090" s="1"/>
      <c r="K2090" s="1"/>
    </row>
    <row r="2091" spans="5:11" x14ac:dyDescent="0.3">
      <c r="E2091" s="6"/>
      <c r="F2091" s="1"/>
      <c r="K2091" s="1"/>
    </row>
    <row r="2092" spans="5:11" x14ac:dyDescent="0.3">
      <c r="E2092" s="6"/>
      <c r="F2092" s="1"/>
      <c r="K2092" s="1"/>
    </row>
    <row r="2093" spans="5:11" x14ac:dyDescent="0.3">
      <c r="E2093" s="6"/>
      <c r="F2093" s="1"/>
      <c r="K2093" s="1"/>
    </row>
    <row r="2094" spans="5:11" x14ac:dyDescent="0.3">
      <c r="E2094" s="6"/>
      <c r="F2094" s="1"/>
      <c r="K2094" s="1"/>
    </row>
    <row r="2095" spans="5:11" x14ac:dyDescent="0.3">
      <c r="E2095" s="6"/>
      <c r="F2095" s="1"/>
      <c r="K2095" s="1"/>
    </row>
    <row r="2096" spans="5:11" x14ac:dyDescent="0.3">
      <c r="E2096" s="6"/>
      <c r="F2096" s="1"/>
      <c r="K2096" s="1"/>
    </row>
    <row r="2097" spans="5:11" x14ac:dyDescent="0.3">
      <c r="E2097" s="6"/>
      <c r="F2097" s="1"/>
      <c r="K2097" s="1"/>
    </row>
    <row r="2098" spans="5:11" x14ac:dyDescent="0.3">
      <c r="E2098" s="6"/>
      <c r="F2098" s="1"/>
      <c r="K2098" s="1"/>
    </row>
    <row r="2099" spans="5:11" x14ac:dyDescent="0.3">
      <c r="E2099" s="6"/>
      <c r="F2099" s="1"/>
      <c r="K2099" s="1"/>
    </row>
    <row r="2100" spans="5:11" x14ac:dyDescent="0.3">
      <c r="E2100" s="6"/>
      <c r="F2100" s="1"/>
      <c r="K2100" s="1"/>
    </row>
    <row r="2101" spans="5:11" x14ac:dyDescent="0.3">
      <c r="E2101" s="6"/>
      <c r="F2101" s="1"/>
      <c r="K2101" s="1"/>
    </row>
    <row r="2102" spans="5:11" x14ac:dyDescent="0.3">
      <c r="E2102" s="6"/>
      <c r="F2102" s="1"/>
      <c r="K2102" s="1"/>
    </row>
    <row r="2103" spans="5:11" x14ac:dyDescent="0.3">
      <c r="E2103" s="6"/>
      <c r="F2103" s="1"/>
      <c r="K2103" s="1"/>
    </row>
    <row r="2104" spans="5:11" x14ac:dyDescent="0.3">
      <c r="E2104" s="5"/>
      <c r="F2104" s="1"/>
      <c r="K2104" s="1"/>
    </row>
    <row r="2105" spans="5:11" x14ac:dyDescent="0.3">
      <c r="E2105" s="6"/>
      <c r="F2105" s="1"/>
      <c r="K2105" s="1"/>
    </row>
    <row r="2106" spans="5:11" x14ac:dyDescent="0.3">
      <c r="E2106" s="6"/>
      <c r="F2106" s="1"/>
      <c r="K2106" s="1"/>
    </row>
    <row r="2107" spans="5:11" x14ac:dyDescent="0.3">
      <c r="E2107" s="6"/>
      <c r="F2107" s="1"/>
      <c r="K2107" s="1"/>
    </row>
    <row r="2108" spans="5:11" x14ac:dyDescent="0.3">
      <c r="E2108" s="6"/>
      <c r="F2108" s="1"/>
      <c r="K2108" s="1"/>
    </row>
    <row r="2109" spans="5:11" x14ac:dyDescent="0.3">
      <c r="E2109" s="6"/>
      <c r="F2109" s="1"/>
      <c r="K2109" s="1"/>
    </row>
    <row r="2110" spans="5:11" x14ac:dyDescent="0.3">
      <c r="E2110" s="6"/>
      <c r="F2110" s="1"/>
      <c r="K2110" s="1"/>
    </row>
    <row r="2111" spans="5:11" x14ac:dyDescent="0.3">
      <c r="E2111" s="6"/>
      <c r="F2111" s="1"/>
      <c r="K2111" s="1"/>
    </row>
    <row r="2112" spans="5:11" x14ac:dyDescent="0.3">
      <c r="E2112" s="6"/>
      <c r="F2112" s="1"/>
      <c r="K2112" s="1"/>
    </row>
    <row r="2113" spans="5:11" x14ac:dyDescent="0.3">
      <c r="E2113" s="6"/>
      <c r="F2113" s="1"/>
      <c r="K2113" s="1"/>
    </row>
    <row r="2114" spans="5:11" x14ac:dyDescent="0.3">
      <c r="E2114" s="6"/>
      <c r="F2114" s="1"/>
      <c r="K2114" s="1"/>
    </row>
    <row r="2115" spans="5:11" x14ac:dyDescent="0.3">
      <c r="E2115" s="6"/>
      <c r="F2115" s="1"/>
      <c r="K2115" s="1"/>
    </row>
    <row r="2116" spans="5:11" x14ac:dyDescent="0.3">
      <c r="E2116" s="6"/>
      <c r="F2116" s="1"/>
      <c r="K2116" s="1"/>
    </row>
    <row r="2117" spans="5:11" x14ac:dyDescent="0.3">
      <c r="E2117" s="6"/>
      <c r="F2117" s="1"/>
      <c r="K2117" s="1"/>
    </row>
    <row r="2118" spans="5:11" x14ac:dyDescent="0.3">
      <c r="E2118" s="6"/>
      <c r="F2118" s="1"/>
      <c r="K2118" s="1"/>
    </row>
    <row r="2119" spans="5:11" x14ac:dyDescent="0.3">
      <c r="E2119" s="6"/>
      <c r="F2119" s="1"/>
      <c r="K2119" s="1"/>
    </row>
    <row r="2120" spans="5:11" x14ac:dyDescent="0.3">
      <c r="E2120" s="6"/>
      <c r="F2120" s="1"/>
      <c r="K2120" s="1"/>
    </row>
    <row r="2121" spans="5:11" x14ac:dyDescent="0.3">
      <c r="E2121" s="6"/>
      <c r="F2121" s="1"/>
      <c r="K2121" s="1"/>
    </row>
    <row r="2122" spans="5:11" x14ac:dyDescent="0.3">
      <c r="E2122" s="6"/>
      <c r="F2122" s="1"/>
      <c r="K2122" s="1"/>
    </row>
    <row r="2123" spans="5:11" x14ac:dyDescent="0.3">
      <c r="E2123" s="6"/>
      <c r="F2123" s="1"/>
      <c r="K2123" s="1"/>
    </row>
    <row r="2124" spans="5:11" x14ac:dyDescent="0.3">
      <c r="E2124" s="6"/>
      <c r="F2124" s="1"/>
      <c r="K2124" s="1"/>
    </row>
    <row r="2125" spans="5:11" x14ac:dyDescent="0.3">
      <c r="E2125" s="6"/>
      <c r="F2125" s="1"/>
      <c r="K2125" s="1"/>
    </row>
    <row r="2126" spans="5:11" x14ac:dyDescent="0.3">
      <c r="E2126" s="6"/>
      <c r="F2126" s="1"/>
      <c r="K2126" s="1"/>
    </row>
    <row r="2127" spans="5:11" x14ac:dyDescent="0.3">
      <c r="E2127" s="6"/>
      <c r="F2127" s="1"/>
      <c r="K2127" s="1"/>
    </row>
    <row r="2128" spans="5:11" x14ac:dyDescent="0.3">
      <c r="E2128" s="6"/>
      <c r="F2128" s="1"/>
      <c r="K2128" s="1"/>
    </row>
    <row r="2129" spans="5:11" x14ac:dyDescent="0.3">
      <c r="E2129" s="6"/>
      <c r="F2129" s="1"/>
      <c r="K2129" s="1"/>
    </row>
    <row r="2130" spans="5:11" x14ac:dyDescent="0.3">
      <c r="E2130" s="6"/>
      <c r="F2130" s="1"/>
      <c r="K2130" s="1"/>
    </row>
    <row r="2131" spans="5:11" x14ac:dyDescent="0.3">
      <c r="E2131" s="6"/>
      <c r="F2131" s="1"/>
      <c r="K2131" s="1"/>
    </row>
    <row r="2132" spans="5:11" x14ac:dyDescent="0.3">
      <c r="E2132" s="6"/>
      <c r="F2132" s="1"/>
      <c r="K2132" s="1"/>
    </row>
    <row r="2133" spans="5:11" x14ac:dyDescent="0.3">
      <c r="E2133" s="6"/>
      <c r="F2133" s="1"/>
      <c r="K2133" s="1"/>
    </row>
    <row r="2134" spans="5:11" x14ac:dyDescent="0.3">
      <c r="E2134" s="6"/>
      <c r="F2134" s="1"/>
      <c r="K2134" s="1"/>
    </row>
    <row r="2135" spans="5:11" x14ac:dyDescent="0.3">
      <c r="E2135" s="6"/>
      <c r="F2135" s="1"/>
      <c r="K2135" s="1"/>
    </row>
    <row r="2136" spans="5:11" x14ac:dyDescent="0.3">
      <c r="E2136" s="6"/>
      <c r="F2136" s="1"/>
      <c r="K2136" s="1"/>
    </row>
    <row r="2137" spans="5:11" x14ac:dyDescent="0.3">
      <c r="E2137" s="6"/>
      <c r="F2137" s="1"/>
      <c r="K2137" s="1"/>
    </row>
    <row r="2138" spans="5:11" x14ac:dyDescent="0.3">
      <c r="E2138" s="5"/>
      <c r="F2138" s="1"/>
      <c r="K2138" s="1"/>
    </row>
    <row r="2139" spans="5:11" x14ac:dyDescent="0.3">
      <c r="E2139" s="6"/>
      <c r="F2139" s="1"/>
      <c r="K2139" s="1"/>
    </row>
    <row r="2140" spans="5:11" x14ac:dyDescent="0.3">
      <c r="E2140" s="6"/>
      <c r="F2140" s="1"/>
      <c r="K2140" s="1"/>
    </row>
    <row r="2141" spans="5:11" x14ac:dyDescent="0.3">
      <c r="E2141" s="6"/>
      <c r="F2141" s="1"/>
      <c r="K2141" s="1"/>
    </row>
    <row r="2142" spans="5:11" x14ac:dyDescent="0.3">
      <c r="E2142" s="6"/>
      <c r="F2142" s="1"/>
      <c r="K2142" s="1"/>
    </row>
    <row r="2143" spans="5:11" x14ac:dyDescent="0.3">
      <c r="E2143" s="6"/>
      <c r="F2143" s="1"/>
      <c r="K2143" s="1"/>
    </row>
    <row r="2144" spans="5:11" x14ac:dyDescent="0.3">
      <c r="E2144" s="6"/>
      <c r="F2144" s="1"/>
      <c r="K2144" s="1"/>
    </row>
    <row r="2145" spans="5:11" x14ac:dyDescent="0.3">
      <c r="E2145" s="6"/>
      <c r="F2145" s="1"/>
      <c r="K2145" s="1"/>
    </row>
    <row r="2146" spans="5:11" x14ac:dyDescent="0.3">
      <c r="E2146" s="6"/>
      <c r="F2146" s="1"/>
      <c r="K2146" s="1"/>
    </row>
    <row r="2147" spans="5:11" x14ac:dyDescent="0.3">
      <c r="E2147" s="6"/>
      <c r="F2147" s="1"/>
      <c r="K2147" s="1"/>
    </row>
    <row r="2148" spans="5:11" x14ac:dyDescent="0.3">
      <c r="E2148" s="6"/>
      <c r="F2148" s="1"/>
      <c r="K2148" s="1"/>
    </row>
    <row r="2149" spans="5:11" x14ac:dyDescent="0.3">
      <c r="E2149" s="6"/>
      <c r="F2149" s="1"/>
      <c r="K2149" s="1"/>
    </row>
    <row r="2150" spans="5:11" x14ac:dyDescent="0.3">
      <c r="E2150" s="6"/>
      <c r="F2150" s="1"/>
      <c r="K2150" s="1"/>
    </row>
    <row r="2151" spans="5:11" x14ac:dyDescent="0.3">
      <c r="E2151" s="6"/>
      <c r="F2151" s="1"/>
      <c r="K2151" s="1"/>
    </row>
    <row r="2152" spans="5:11" x14ac:dyDescent="0.3">
      <c r="E2152" s="6"/>
      <c r="F2152" s="1"/>
      <c r="K2152" s="1"/>
    </row>
    <row r="2153" spans="5:11" x14ac:dyDescent="0.3">
      <c r="E2153" s="6"/>
      <c r="F2153" s="1"/>
      <c r="K2153" s="1"/>
    </row>
    <row r="2154" spans="5:11" x14ac:dyDescent="0.3">
      <c r="E2154" s="6"/>
      <c r="F2154" s="1"/>
      <c r="K2154" s="1"/>
    </row>
    <row r="2155" spans="5:11" x14ac:dyDescent="0.3">
      <c r="E2155" s="6"/>
      <c r="F2155" s="1"/>
      <c r="K2155" s="1"/>
    </row>
    <row r="2156" spans="5:11" x14ac:dyDescent="0.3">
      <c r="E2156" s="6"/>
      <c r="F2156" s="1"/>
      <c r="K2156" s="1"/>
    </row>
    <row r="2157" spans="5:11" x14ac:dyDescent="0.3">
      <c r="E2157" s="6"/>
      <c r="F2157" s="1"/>
      <c r="K2157" s="1"/>
    </row>
    <row r="2158" spans="5:11" x14ac:dyDescent="0.3">
      <c r="E2158" s="6"/>
      <c r="F2158" s="1"/>
      <c r="K2158" s="1"/>
    </row>
    <row r="2159" spans="5:11" x14ac:dyDescent="0.3">
      <c r="E2159" s="6"/>
      <c r="F2159" s="1"/>
      <c r="K2159" s="1"/>
    </row>
    <row r="2160" spans="5:11" x14ac:dyDescent="0.3">
      <c r="E2160" s="6"/>
      <c r="F2160" s="1"/>
      <c r="K2160" s="1"/>
    </row>
    <row r="2161" spans="5:11" x14ac:dyDescent="0.3">
      <c r="E2161" s="6"/>
      <c r="F2161" s="1"/>
      <c r="K2161" s="1"/>
    </row>
    <row r="2162" spans="5:11" x14ac:dyDescent="0.3">
      <c r="E2162" s="6"/>
      <c r="F2162" s="1"/>
      <c r="K2162" s="1"/>
    </row>
    <row r="2163" spans="5:11" x14ac:dyDescent="0.3">
      <c r="E2163" s="6"/>
      <c r="F2163" s="1"/>
      <c r="K2163" s="1"/>
    </row>
    <row r="2164" spans="5:11" x14ac:dyDescent="0.3">
      <c r="E2164" s="6"/>
      <c r="F2164" s="1"/>
      <c r="K2164" s="1"/>
    </row>
    <row r="2165" spans="5:11" x14ac:dyDescent="0.3">
      <c r="E2165" s="6"/>
      <c r="F2165" s="1"/>
      <c r="K2165" s="1"/>
    </row>
    <row r="2166" spans="5:11" x14ac:dyDescent="0.3">
      <c r="E2166" s="6"/>
      <c r="F2166" s="1"/>
      <c r="K2166" s="1"/>
    </row>
    <row r="2167" spans="5:11" x14ac:dyDescent="0.3">
      <c r="E2167" s="6"/>
      <c r="F2167" s="1"/>
      <c r="K2167" s="1"/>
    </row>
    <row r="2168" spans="5:11" x14ac:dyDescent="0.3">
      <c r="E2168" s="6"/>
      <c r="F2168" s="1"/>
      <c r="K2168" s="1"/>
    </row>
    <row r="2169" spans="5:11" x14ac:dyDescent="0.3">
      <c r="E2169" s="5"/>
      <c r="F2169" s="1"/>
      <c r="K2169" s="1"/>
    </row>
    <row r="2170" spans="5:11" x14ac:dyDescent="0.3">
      <c r="E2170" s="5"/>
      <c r="F2170" s="1"/>
      <c r="K2170" s="1"/>
    </row>
    <row r="2171" spans="5:11" x14ac:dyDescent="0.3">
      <c r="E2171" s="6"/>
      <c r="F2171" s="1"/>
      <c r="K2171" s="1"/>
    </row>
    <row r="2172" spans="5:11" x14ac:dyDescent="0.3">
      <c r="E2172" s="6"/>
      <c r="F2172" s="1"/>
      <c r="K2172" s="1"/>
    </row>
    <row r="2173" spans="5:11" x14ac:dyDescent="0.3">
      <c r="E2173" s="6"/>
      <c r="F2173" s="1"/>
      <c r="K2173" s="1"/>
    </row>
    <row r="2174" spans="5:11" x14ac:dyDescent="0.3">
      <c r="E2174" s="6"/>
      <c r="F2174" s="1"/>
      <c r="K2174" s="1"/>
    </row>
    <row r="2175" spans="5:11" x14ac:dyDescent="0.3">
      <c r="E2175" s="6"/>
      <c r="F2175" s="1"/>
      <c r="K2175" s="1"/>
    </row>
    <row r="2176" spans="5:11" x14ac:dyDescent="0.3">
      <c r="E2176" s="6"/>
      <c r="F2176" s="1"/>
      <c r="K2176" s="1"/>
    </row>
    <row r="2177" spans="5:11" x14ac:dyDescent="0.3">
      <c r="E2177" s="6"/>
      <c r="F2177" s="1"/>
      <c r="K2177" s="1"/>
    </row>
    <row r="2178" spans="5:11" x14ac:dyDescent="0.3">
      <c r="E2178" s="6"/>
      <c r="F2178" s="1"/>
      <c r="K2178" s="1"/>
    </row>
    <row r="2179" spans="5:11" x14ac:dyDescent="0.3">
      <c r="E2179" s="6"/>
      <c r="F2179" s="1"/>
      <c r="K2179" s="1"/>
    </row>
    <row r="2180" spans="5:11" x14ac:dyDescent="0.3">
      <c r="E2180" s="6"/>
      <c r="F2180" s="1"/>
      <c r="K2180" s="1"/>
    </row>
    <row r="2181" spans="5:11" x14ac:dyDescent="0.3">
      <c r="E2181" s="6"/>
      <c r="F2181" s="1"/>
      <c r="K2181" s="1"/>
    </row>
    <row r="2182" spans="5:11" x14ac:dyDescent="0.3">
      <c r="E2182" s="6"/>
      <c r="F2182" s="1"/>
      <c r="K2182" s="1"/>
    </row>
    <row r="2183" spans="5:11" x14ac:dyDescent="0.3">
      <c r="E2183" s="6"/>
      <c r="F2183" s="1"/>
      <c r="K2183" s="1"/>
    </row>
    <row r="2184" spans="5:11" x14ac:dyDescent="0.3">
      <c r="E2184" s="6"/>
      <c r="F2184" s="1"/>
      <c r="K2184" s="1"/>
    </row>
    <row r="2185" spans="5:11" x14ac:dyDescent="0.3">
      <c r="E2185" s="6"/>
      <c r="F2185" s="1"/>
      <c r="K2185" s="1"/>
    </row>
    <row r="2186" spans="5:11" x14ac:dyDescent="0.3">
      <c r="E2186" s="6"/>
      <c r="F2186" s="1"/>
      <c r="K2186" s="1"/>
    </row>
    <row r="2187" spans="5:11" x14ac:dyDescent="0.3">
      <c r="E2187" s="6"/>
      <c r="F2187" s="1"/>
      <c r="K2187" s="1"/>
    </row>
    <row r="2188" spans="5:11" x14ac:dyDescent="0.3">
      <c r="E2188" s="6"/>
      <c r="F2188" s="1"/>
      <c r="K2188" s="1"/>
    </row>
    <row r="2189" spans="5:11" x14ac:dyDescent="0.3">
      <c r="E2189" s="6"/>
      <c r="F2189" s="1"/>
      <c r="K2189" s="1"/>
    </row>
    <row r="2190" spans="5:11" x14ac:dyDescent="0.3">
      <c r="E2190" s="6"/>
      <c r="F2190" s="1"/>
      <c r="K2190" s="1"/>
    </row>
    <row r="2191" spans="5:11" x14ac:dyDescent="0.3">
      <c r="E2191" s="6"/>
      <c r="F2191" s="1"/>
      <c r="K2191" s="1"/>
    </row>
    <row r="2192" spans="5:11" x14ac:dyDescent="0.3">
      <c r="E2192" s="6"/>
      <c r="F2192" s="1"/>
      <c r="K2192" s="1"/>
    </row>
    <row r="2193" spans="5:11" x14ac:dyDescent="0.3">
      <c r="E2193" s="6"/>
      <c r="F2193" s="1"/>
      <c r="K2193" s="1"/>
    </row>
    <row r="2194" spans="5:11" x14ac:dyDescent="0.3">
      <c r="E2194" s="6"/>
      <c r="F2194" s="1"/>
      <c r="K2194" s="1"/>
    </row>
    <row r="2195" spans="5:11" x14ac:dyDescent="0.3">
      <c r="E2195" s="6"/>
      <c r="F2195" s="1"/>
      <c r="K2195" s="1"/>
    </row>
    <row r="2196" spans="5:11" x14ac:dyDescent="0.3">
      <c r="E2196" s="6"/>
      <c r="F2196" s="1"/>
      <c r="K2196" s="1"/>
    </row>
    <row r="2197" spans="5:11" x14ac:dyDescent="0.3">
      <c r="E2197" s="6"/>
      <c r="F2197" s="1"/>
      <c r="K2197" s="1"/>
    </row>
    <row r="2198" spans="5:11" x14ac:dyDescent="0.3">
      <c r="E2198" s="6"/>
      <c r="F2198" s="1"/>
      <c r="K2198" s="1"/>
    </row>
    <row r="2199" spans="5:11" x14ac:dyDescent="0.3">
      <c r="E2199" s="6"/>
      <c r="F2199" s="1"/>
      <c r="K2199" s="1"/>
    </row>
    <row r="2200" spans="5:11" x14ac:dyDescent="0.3">
      <c r="E2200" s="6"/>
      <c r="F2200" s="1"/>
      <c r="K2200" s="1"/>
    </row>
    <row r="2201" spans="5:11" x14ac:dyDescent="0.3">
      <c r="E2201" s="6"/>
      <c r="F2201" s="1"/>
      <c r="K2201" s="1"/>
    </row>
    <row r="2202" spans="5:11" x14ac:dyDescent="0.3">
      <c r="E2202" s="6"/>
      <c r="F2202" s="1"/>
      <c r="K2202" s="1"/>
    </row>
    <row r="2203" spans="5:11" x14ac:dyDescent="0.3">
      <c r="E2203" s="6"/>
      <c r="F2203" s="1"/>
      <c r="K2203" s="1"/>
    </row>
    <row r="2204" spans="5:11" x14ac:dyDescent="0.3">
      <c r="E2204" s="6"/>
      <c r="F2204" s="1"/>
      <c r="K2204" s="1"/>
    </row>
    <row r="2205" spans="5:11" x14ac:dyDescent="0.3">
      <c r="E2205" s="6"/>
      <c r="F2205" s="1"/>
      <c r="K2205" s="1"/>
    </row>
    <row r="2206" spans="5:11" x14ac:dyDescent="0.3">
      <c r="E2206" s="6"/>
      <c r="F2206" s="1"/>
      <c r="K2206" s="1"/>
    </row>
    <row r="2207" spans="5:11" x14ac:dyDescent="0.3">
      <c r="E2207" s="6"/>
      <c r="F2207" s="1"/>
      <c r="K2207" s="1"/>
    </row>
    <row r="2208" spans="5:11" x14ac:dyDescent="0.3">
      <c r="E2208" s="6"/>
      <c r="F2208" s="1"/>
      <c r="K2208" s="1"/>
    </row>
    <row r="2209" spans="5:11" x14ac:dyDescent="0.3">
      <c r="E2209" s="6"/>
      <c r="F2209" s="1"/>
      <c r="K2209" s="1"/>
    </row>
    <row r="2210" spans="5:11" x14ac:dyDescent="0.3">
      <c r="E2210" s="6"/>
      <c r="F2210" s="1"/>
      <c r="K2210" s="1"/>
    </row>
    <row r="2211" spans="5:11" x14ac:dyDescent="0.3">
      <c r="E2211" s="6"/>
      <c r="F2211" s="1"/>
      <c r="K2211" s="1"/>
    </row>
    <row r="2212" spans="5:11" x14ac:dyDescent="0.3">
      <c r="E2212" s="6"/>
      <c r="F2212" s="1"/>
      <c r="K2212" s="1"/>
    </row>
    <row r="2213" spans="5:11" x14ac:dyDescent="0.3">
      <c r="E2213" s="6"/>
      <c r="F2213" s="1"/>
      <c r="K2213" s="1"/>
    </row>
    <row r="2214" spans="5:11" x14ac:dyDescent="0.3">
      <c r="E2214" s="6"/>
      <c r="F2214" s="1"/>
      <c r="K2214" s="1"/>
    </row>
    <row r="2215" spans="5:11" x14ac:dyDescent="0.3">
      <c r="E2215" s="6"/>
      <c r="F2215" s="1"/>
      <c r="K2215" s="1"/>
    </row>
    <row r="2216" spans="5:11" x14ac:dyDescent="0.3">
      <c r="E2216" s="6"/>
      <c r="F2216" s="1"/>
      <c r="K2216" s="1"/>
    </row>
    <row r="2217" spans="5:11" x14ac:dyDescent="0.3">
      <c r="E2217" s="6"/>
      <c r="F2217" s="1"/>
      <c r="K2217" s="1"/>
    </row>
    <row r="2218" spans="5:11" x14ac:dyDescent="0.3">
      <c r="E2218" s="6"/>
      <c r="F2218" s="1"/>
      <c r="K2218" s="1"/>
    </row>
    <row r="2219" spans="5:11" x14ac:dyDescent="0.3">
      <c r="E2219" s="6"/>
      <c r="F2219" s="1"/>
      <c r="K2219" s="1"/>
    </row>
    <row r="2220" spans="5:11" x14ac:dyDescent="0.3">
      <c r="E2220" s="6"/>
      <c r="F2220" s="1"/>
      <c r="K2220" s="1"/>
    </row>
    <row r="2221" spans="5:11" x14ac:dyDescent="0.3">
      <c r="E2221" s="6"/>
      <c r="F2221" s="1"/>
      <c r="K2221" s="1"/>
    </row>
    <row r="2222" spans="5:11" x14ac:dyDescent="0.3">
      <c r="E2222" s="6"/>
      <c r="F2222" s="1"/>
      <c r="K2222" s="1"/>
    </row>
    <row r="2223" spans="5:11" x14ac:dyDescent="0.3">
      <c r="E2223" s="6"/>
      <c r="F2223" s="1"/>
      <c r="K2223" s="1"/>
    </row>
    <row r="2224" spans="5:11" x14ac:dyDescent="0.3">
      <c r="E2224" s="6"/>
      <c r="F2224" s="1"/>
      <c r="K2224" s="1"/>
    </row>
    <row r="2225" spans="5:11" x14ac:dyDescent="0.3">
      <c r="E2225" s="6"/>
      <c r="F2225" s="1"/>
      <c r="K2225" s="1"/>
    </row>
    <row r="2226" spans="5:11" x14ac:dyDescent="0.3">
      <c r="E2226" s="6"/>
      <c r="F2226" s="1"/>
      <c r="K2226" s="1"/>
    </row>
    <row r="2227" spans="5:11" x14ac:dyDescent="0.3">
      <c r="E2227" s="6"/>
      <c r="F2227" s="1"/>
      <c r="K2227" s="1"/>
    </row>
    <row r="2228" spans="5:11" x14ac:dyDescent="0.3">
      <c r="E2228" s="6"/>
      <c r="F2228" s="1"/>
      <c r="K2228" s="1"/>
    </row>
    <row r="2229" spans="5:11" x14ac:dyDescent="0.3">
      <c r="E2229" s="6"/>
      <c r="F2229" s="1"/>
      <c r="K2229" s="1"/>
    </row>
    <row r="2230" spans="5:11" x14ac:dyDescent="0.3">
      <c r="E2230" s="6"/>
      <c r="F2230" s="1"/>
      <c r="K2230" s="1"/>
    </row>
    <row r="2231" spans="5:11" x14ac:dyDescent="0.3">
      <c r="E2231" s="6"/>
      <c r="F2231" s="1"/>
      <c r="K2231" s="1"/>
    </row>
    <row r="2232" spans="5:11" x14ac:dyDescent="0.3">
      <c r="E2232" s="6"/>
      <c r="F2232" s="1"/>
      <c r="K2232" s="1"/>
    </row>
    <row r="2233" spans="5:11" x14ac:dyDescent="0.3">
      <c r="E2233" s="6"/>
      <c r="F2233" s="1"/>
      <c r="K2233" s="1"/>
    </row>
    <row r="2234" spans="5:11" x14ac:dyDescent="0.3">
      <c r="E2234" s="6"/>
      <c r="F2234" s="1"/>
      <c r="K2234" s="1"/>
    </row>
    <row r="2235" spans="5:11" x14ac:dyDescent="0.3">
      <c r="E2235" s="6"/>
      <c r="F2235" s="1"/>
      <c r="K2235" s="1"/>
    </row>
    <row r="2236" spans="5:11" x14ac:dyDescent="0.3">
      <c r="E2236" s="6"/>
      <c r="F2236" s="1"/>
      <c r="K2236" s="1"/>
    </row>
    <row r="2237" spans="5:11" x14ac:dyDescent="0.3">
      <c r="E2237" s="6"/>
      <c r="F2237" s="1"/>
      <c r="K2237" s="1"/>
    </row>
    <row r="2238" spans="5:11" x14ac:dyDescent="0.3">
      <c r="E2238" s="6"/>
      <c r="F2238" s="1"/>
      <c r="K2238" s="1"/>
    </row>
    <row r="2239" spans="5:11" x14ac:dyDescent="0.3">
      <c r="E2239" s="6"/>
      <c r="F2239" s="1"/>
      <c r="K2239" s="1"/>
    </row>
    <row r="2240" spans="5:11" x14ac:dyDescent="0.3">
      <c r="E2240" s="6"/>
      <c r="F2240" s="1"/>
      <c r="K2240" s="1"/>
    </row>
    <row r="2241" spans="5:11" x14ac:dyDescent="0.3">
      <c r="E2241" s="6"/>
      <c r="F2241" s="1"/>
      <c r="K2241" s="1"/>
    </row>
    <row r="2242" spans="5:11" x14ac:dyDescent="0.3">
      <c r="E2242" s="6"/>
      <c r="F2242" s="1"/>
      <c r="K2242" s="1"/>
    </row>
    <row r="2243" spans="5:11" x14ac:dyDescent="0.3">
      <c r="E2243" s="6"/>
      <c r="F2243" s="1"/>
      <c r="K2243" s="1"/>
    </row>
    <row r="2244" spans="5:11" x14ac:dyDescent="0.3">
      <c r="E2244" s="5"/>
      <c r="F2244" s="1"/>
      <c r="K2244" s="1"/>
    </row>
    <row r="2245" spans="5:11" x14ac:dyDescent="0.3">
      <c r="E2245" s="5"/>
      <c r="F2245" s="1"/>
      <c r="K2245" s="1"/>
    </row>
    <row r="2246" spans="5:11" x14ac:dyDescent="0.3">
      <c r="E2246" s="6"/>
      <c r="F2246" s="1"/>
      <c r="K2246" s="1"/>
    </row>
    <row r="2247" spans="5:11" x14ac:dyDescent="0.3">
      <c r="E2247" s="6"/>
      <c r="F2247" s="1"/>
      <c r="K2247" s="1"/>
    </row>
    <row r="2248" spans="5:11" x14ac:dyDescent="0.3">
      <c r="E2248" s="6"/>
      <c r="F2248" s="1"/>
      <c r="K2248" s="1"/>
    </row>
    <row r="2249" spans="5:11" x14ac:dyDescent="0.3">
      <c r="E2249" s="6"/>
      <c r="F2249" s="1"/>
      <c r="K2249" s="1"/>
    </row>
    <row r="2250" spans="5:11" x14ac:dyDescent="0.3">
      <c r="E2250" s="6"/>
      <c r="F2250" s="1"/>
      <c r="K2250" s="1"/>
    </row>
    <row r="2251" spans="5:11" x14ac:dyDescent="0.3">
      <c r="E2251" s="6"/>
      <c r="F2251" s="1"/>
      <c r="K2251" s="1"/>
    </row>
    <row r="2252" spans="5:11" x14ac:dyDescent="0.3">
      <c r="E2252" s="6"/>
      <c r="F2252" s="1"/>
      <c r="K2252" s="1"/>
    </row>
    <row r="2253" spans="5:11" x14ac:dyDescent="0.3">
      <c r="E2253" s="6"/>
      <c r="F2253" s="1"/>
      <c r="K2253" s="1"/>
    </row>
    <row r="2254" spans="5:11" x14ac:dyDescent="0.3">
      <c r="E2254" s="6"/>
      <c r="F2254" s="1"/>
      <c r="K2254" s="1"/>
    </row>
    <row r="2255" spans="5:11" x14ac:dyDescent="0.3">
      <c r="E2255" s="6"/>
      <c r="F2255" s="1"/>
      <c r="K2255" s="1"/>
    </row>
    <row r="2256" spans="5:11" x14ac:dyDescent="0.3">
      <c r="E2256" s="6"/>
      <c r="F2256" s="1"/>
      <c r="K2256" s="1"/>
    </row>
    <row r="2257" spans="5:11" x14ac:dyDescent="0.3">
      <c r="E2257" s="6"/>
      <c r="F2257" s="1"/>
      <c r="K2257" s="1"/>
    </row>
    <row r="2258" spans="5:11" x14ac:dyDescent="0.3">
      <c r="E2258" s="6"/>
      <c r="F2258" s="1"/>
      <c r="K2258" s="1"/>
    </row>
    <row r="2259" spans="5:11" x14ac:dyDescent="0.3">
      <c r="E2259" s="6"/>
      <c r="F2259" s="1"/>
      <c r="K2259" s="1"/>
    </row>
    <row r="2260" spans="5:11" x14ac:dyDescent="0.3">
      <c r="E2260" s="6"/>
      <c r="F2260" s="1"/>
      <c r="K2260" s="1"/>
    </row>
    <row r="2261" spans="5:11" x14ac:dyDescent="0.3">
      <c r="E2261" s="6"/>
      <c r="F2261" s="1"/>
      <c r="K2261" s="1"/>
    </row>
    <row r="2262" spans="5:11" x14ac:dyDescent="0.3">
      <c r="E2262" s="6"/>
      <c r="F2262" s="1"/>
      <c r="K2262" s="1"/>
    </row>
    <row r="2263" spans="5:11" x14ac:dyDescent="0.3">
      <c r="E2263" s="6"/>
      <c r="F2263" s="1"/>
      <c r="K2263" s="1"/>
    </row>
    <row r="2264" spans="5:11" x14ac:dyDescent="0.3">
      <c r="E2264" s="6"/>
      <c r="F2264" s="1"/>
      <c r="K2264" s="1"/>
    </row>
    <row r="2265" spans="5:11" x14ac:dyDescent="0.3">
      <c r="E2265" s="6"/>
      <c r="F2265" s="1"/>
      <c r="K2265" s="1"/>
    </row>
    <row r="2266" spans="5:11" x14ac:dyDescent="0.3">
      <c r="E2266" s="6"/>
      <c r="F2266" s="1"/>
      <c r="K2266" s="1"/>
    </row>
    <row r="2267" spans="5:11" x14ac:dyDescent="0.3">
      <c r="E2267" s="6"/>
      <c r="F2267" s="1"/>
      <c r="K2267" s="1"/>
    </row>
    <row r="2268" spans="5:11" x14ac:dyDescent="0.3">
      <c r="E2268" s="6"/>
      <c r="F2268" s="1"/>
      <c r="K2268" s="1"/>
    </row>
    <row r="2269" spans="5:11" x14ac:dyDescent="0.3">
      <c r="E2269" s="6"/>
      <c r="F2269" s="1"/>
      <c r="K2269" s="1"/>
    </row>
    <row r="2270" spans="5:11" x14ac:dyDescent="0.3">
      <c r="E2270" s="6"/>
      <c r="F2270" s="1"/>
      <c r="K2270" s="1"/>
    </row>
    <row r="2271" spans="5:11" x14ac:dyDescent="0.3">
      <c r="E2271" s="6"/>
      <c r="F2271" s="1"/>
      <c r="K2271" s="1"/>
    </row>
    <row r="2272" spans="5:11" x14ac:dyDescent="0.3">
      <c r="E2272" s="6"/>
      <c r="F2272" s="1"/>
      <c r="K2272" s="1"/>
    </row>
    <row r="2273" spans="5:11" x14ac:dyDescent="0.3">
      <c r="E2273" s="6"/>
      <c r="F2273" s="1"/>
      <c r="K2273" s="1"/>
    </row>
    <row r="2274" spans="5:11" x14ac:dyDescent="0.3">
      <c r="E2274" s="6"/>
      <c r="F2274" s="1"/>
      <c r="K2274" s="1"/>
    </row>
    <row r="2275" spans="5:11" x14ac:dyDescent="0.3">
      <c r="E2275" s="6"/>
      <c r="F2275" s="1"/>
      <c r="K2275" s="1"/>
    </row>
    <row r="2276" spans="5:11" x14ac:dyDescent="0.3">
      <c r="E2276" s="6"/>
      <c r="F2276" s="1"/>
      <c r="K2276" s="1"/>
    </row>
    <row r="2277" spans="5:11" x14ac:dyDescent="0.3">
      <c r="E2277" s="6"/>
      <c r="F2277" s="1"/>
      <c r="K2277" s="1"/>
    </row>
    <row r="2278" spans="5:11" x14ac:dyDescent="0.3">
      <c r="E2278" s="6"/>
      <c r="F2278" s="1"/>
      <c r="K2278" s="1"/>
    </row>
    <row r="2279" spans="5:11" x14ac:dyDescent="0.3">
      <c r="E2279" s="6"/>
      <c r="F2279" s="1"/>
      <c r="K2279" s="1"/>
    </row>
    <row r="2280" spans="5:11" x14ac:dyDescent="0.3">
      <c r="E2280" s="6"/>
      <c r="F2280" s="1"/>
      <c r="K2280" s="1"/>
    </row>
    <row r="2281" spans="5:11" x14ac:dyDescent="0.3">
      <c r="E2281" s="6"/>
      <c r="F2281" s="1"/>
      <c r="K2281" s="1"/>
    </row>
    <row r="2282" spans="5:11" x14ac:dyDescent="0.3">
      <c r="E2282" s="6"/>
      <c r="F2282" s="1"/>
      <c r="K2282" s="1"/>
    </row>
    <row r="2283" spans="5:11" x14ac:dyDescent="0.3">
      <c r="E2283" s="6"/>
      <c r="F2283" s="1"/>
      <c r="K2283" s="1"/>
    </row>
    <row r="2284" spans="5:11" x14ac:dyDescent="0.3">
      <c r="E2284" s="6"/>
      <c r="F2284" s="1"/>
      <c r="K2284" s="1"/>
    </row>
    <row r="2285" spans="5:11" x14ac:dyDescent="0.3">
      <c r="E2285" s="6"/>
      <c r="F2285" s="1"/>
      <c r="K2285" s="1"/>
    </row>
    <row r="2286" spans="5:11" x14ac:dyDescent="0.3">
      <c r="E2286" s="6"/>
      <c r="F2286" s="1"/>
      <c r="K2286" s="1"/>
    </row>
    <row r="2287" spans="5:11" x14ac:dyDescent="0.3">
      <c r="E2287" s="6"/>
      <c r="F2287" s="1"/>
      <c r="K2287" s="1"/>
    </row>
    <row r="2288" spans="5:11" x14ac:dyDescent="0.3">
      <c r="E2288" s="6"/>
      <c r="F2288" s="1"/>
      <c r="K2288" s="1"/>
    </row>
    <row r="2289" spans="5:11" x14ac:dyDescent="0.3">
      <c r="E2289" s="6"/>
      <c r="F2289" s="1"/>
      <c r="K2289" s="1"/>
    </row>
    <row r="2290" spans="5:11" x14ac:dyDescent="0.3">
      <c r="E2290" s="6"/>
      <c r="F2290" s="1"/>
      <c r="K2290" s="1"/>
    </row>
    <row r="2291" spans="5:11" x14ac:dyDescent="0.3">
      <c r="E2291" s="6"/>
      <c r="F2291" s="1"/>
      <c r="K2291" s="1"/>
    </row>
    <row r="2292" spans="5:11" x14ac:dyDescent="0.3">
      <c r="E2292" s="6"/>
      <c r="F2292" s="1"/>
      <c r="K2292" s="1"/>
    </row>
    <row r="2293" spans="5:11" x14ac:dyDescent="0.3">
      <c r="E2293" s="6"/>
      <c r="F2293" s="1"/>
      <c r="K2293" s="1"/>
    </row>
    <row r="2294" spans="5:11" x14ac:dyDescent="0.3">
      <c r="E2294" s="6"/>
      <c r="F2294" s="1"/>
      <c r="K2294" s="1"/>
    </row>
    <row r="2295" spans="5:11" x14ac:dyDescent="0.3">
      <c r="E2295" s="6"/>
      <c r="F2295" s="1"/>
      <c r="K2295" s="1"/>
    </row>
    <row r="2296" spans="5:11" x14ac:dyDescent="0.3">
      <c r="E2296" s="6"/>
      <c r="F2296" s="1"/>
      <c r="K2296" s="1"/>
    </row>
    <row r="2297" spans="5:11" x14ac:dyDescent="0.3">
      <c r="E2297" s="5"/>
      <c r="F2297" s="1"/>
      <c r="K2297" s="1"/>
    </row>
    <row r="2298" spans="5:11" x14ac:dyDescent="0.3">
      <c r="E2298" s="6"/>
      <c r="F2298" s="1"/>
      <c r="K2298" s="1"/>
    </row>
    <row r="2299" spans="5:11" x14ac:dyDescent="0.3">
      <c r="E2299" s="6"/>
      <c r="F2299" s="1"/>
      <c r="K2299" s="1"/>
    </row>
    <row r="2300" spans="5:11" x14ac:dyDescent="0.3">
      <c r="E2300" s="6"/>
      <c r="F2300" s="1"/>
      <c r="K2300" s="1"/>
    </row>
    <row r="2301" spans="5:11" x14ac:dyDescent="0.3">
      <c r="E2301" s="6"/>
      <c r="F2301" s="1"/>
      <c r="K2301" s="1"/>
    </row>
    <row r="2302" spans="5:11" x14ac:dyDescent="0.3">
      <c r="E2302" s="6"/>
      <c r="F2302" s="1"/>
      <c r="K2302" s="1"/>
    </row>
    <row r="2303" spans="5:11" x14ac:dyDescent="0.3">
      <c r="E2303" s="6"/>
      <c r="F2303" s="1"/>
      <c r="K2303" s="1"/>
    </row>
    <row r="2304" spans="5:11" x14ac:dyDescent="0.3">
      <c r="E2304" s="6"/>
      <c r="F2304" s="1"/>
      <c r="K2304" s="1"/>
    </row>
    <row r="2305" spans="5:11" x14ac:dyDescent="0.3">
      <c r="E2305" s="6"/>
      <c r="F2305" s="1"/>
      <c r="K2305" s="1"/>
    </row>
    <row r="2306" spans="5:11" x14ac:dyDescent="0.3">
      <c r="E2306" s="6"/>
      <c r="F2306" s="1"/>
      <c r="K2306" s="1"/>
    </row>
    <row r="2307" spans="5:11" x14ac:dyDescent="0.3">
      <c r="E2307" s="6"/>
      <c r="F2307" s="1"/>
      <c r="K2307" s="1"/>
    </row>
    <row r="2308" spans="5:11" x14ac:dyDescent="0.3">
      <c r="E2308" s="6"/>
      <c r="F2308" s="1"/>
      <c r="K2308" s="1"/>
    </row>
    <row r="2309" spans="5:11" x14ac:dyDescent="0.3">
      <c r="E2309" s="6"/>
      <c r="F2309" s="1"/>
      <c r="K2309" s="1"/>
    </row>
    <row r="2310" spans="5:11" x14ac:dyDescent="0.3">
      <c r="E2310" s="6"/>
      <c r="F2310" s="1"/>
      <c r="K2310" s="1"/>
    </row>
    <row r="2311" spans="5:11" x14ac:dyDescent="0.3">
      <c r="E2311" s="6"/>
      <c r="F2311" s="1"/>
      <c r="K2311" s="1"/>
    </row>
    <row r="2312" spans="5:11" x14ac:dyDescent="0.3">
      <c r="E2312" s="6"/>
      <c r="F2312" s="1"/>
      <c r="K2312" s="1"/>
    </row>
    <row r="2313" spans="5:11" x14ac:dyDescent="0.3">
      <c r="E2313" s="6"/>
      <c r="F2313" s="1"/>
      <c r="K2313" s="1"/>
    </row>
    <row r="2314" spans="5:11" x14ac:dyDescent="0.3">
      <c r="E2314" s="6"/>
      <c r="F2314" s="1"/>
      <c r="K2314" s="1"/>
    </row>
    <row r="2315" spans="5:11" x14ac:dyDescent="0.3">
      <c r="E2315" s="6"/>
      <c r="F2315" s="1"/>
      <c r="K2315" s="1"/>
    </row>
    <row r="2316" spans="5:11" x14ac:dyDescent="0.3">
      <c r="E2316" s="6"/>
      <c r="F2316" s="1"/>
      <c r="K2316" s="1"/>
    </row>
    <row r="2317" spans="5:11" x14ac:dyDescent="0.3">
      <c r="E2317" s="6"/>
      <c r="F2317" s="1"/>
      <c r="K2317" s="1"/>
    </row>
    <row r="2318" spans="5:11" x14ac:dyDescent="0.3">
      <c r="E2318" s="6"/>
      <c r="F2318" s="1"/>
      <c r="K2318" s="1"/>
    </row>
    <row r="2319" spans="5:11" x14ac:dyDescent="0.3">
      <c r="E2319" s="6"/>
      <c r="F2319" s="1"/>
      <c r="K2319" s="1"/>
    </row>
    <row r="2320" spans="5:11" x14ac:dyDescent="0.3">
      <c r="E2320" s="6"/>
      <c r="F2320" s="1"/>
      <c r="K2320" s="1"/>
    </row>
    <row r="2321" spans="5:11" x14ac:dyDescent="0.3">
      <c r="E2321" s="6"/>
      <c r="F2321" s="1"/>
      <c r="K2321" s="1"/>
    </row>
    <row r="2322" spans="5:11" x14ac:dyDescent="0.3">
      <c r="E2322" s="6"/>
      <c r="F2322" s="1"/>
      <c r="K2322" s="1"/>
    </row>
    <row r="2323" spans="5:11" x14ac:dyDescent="0.3">
      <c r="E2323" s="6"/>
      <c r="F2323" s="1"/>
      <c r="K2323" s="1"/>
    </row>
    <row r="2324" spans="5:11" x14ac:dyDescent="0.3">
      <c r="E2324" s="6"/>
      <c r="F2324" s="1"/>
      <c r="K2324" s="1"/>
    </row>
    <row r="2325" spans="5:11" x14ac:dyDescent="0.3">
      <c r="E2325" s="6"/>
      <c r="F2325" s="1"/>
      <c r="K2325" s="1"/>
    </row>
    <row r="2326" spans="5:11" x14ac:dyDescent="0.3">
      <c r="E2326" s="6"/>
      <c r="F2326" s="1"/>
      <c r="K2326" s="1"/>
    </row>
    <row r="2327" spans="5:11" x14ac:dyDescent="0.3">
      <c r="E2327" s="6"/>
      <c r="F2327" s="1"/>
      <c r="K2327" s="1"/>
    </row>
    <row r="2328" spans="5:11" x14ac:dyDescent="0.3">
      <c r="E2328" s="6"/>
      <c r="F2328" s="1"/>
      <c r="K2328" s="1"/>
    </row>
    <row r="2329" spans="5:11" x14ac:dyDescent="0.3">
      <c r="E2329" s="6"/>
      <c r="F2329" s="1"/>
      <c r="K2329" s="1"/>
    </row>
    <row r="2330" spans="5:11" x14ac:dyDescent="0.3">
      <c r="E2330" s="6"/>
      <c r="F2330" s="1"/>
      <c r="K2330" s="1"/>
    </row>
    <row r="2331" spans="5:11" x14ac:dyDescent="0.3">
      <c r="E2331" s="6"/>
      <c r="F2331" s="1"/>
      <c r="K2331" s="1"/>
    </row>
    <row r="2332" spans="5:11" x14ac:dyDescent="0.3">
      <c r="E2332" s="6"/>
      <c r="F2332" s="1"/>
      <c r="K2332" s="1"/>
    </row>
    <row r="2333" spans="5:11" x14ac:dyDescent="0.3">
      <c r="E2333" s="6"/>
      <c r="F2333" s="1"/>
      <c r="K2333" s="1"/>
    </row>
    <row r="2334" spans="5:11" x14ac:dyDescent="0.3">
      <c r="E2334" s="6"/>
      <c r="F2334" s="1"/>
      <c r="K2334" s="1"/>
    </row>
    <row r="2335" spans="5:11" x14ac:dyDescent="0.3">
      <c r="E2335" s="6"/>
      <c r="F2335" s="1"/>
      <c r="K2335" s="1"/>
    </row>
    <row r="2336" spans="5:11" x14ac:dyDescent="0.3">
      <c r="E2336" s="6"/>
      <c r="F2336" s="1"/>
      <c r="K2336" s="1"/>
    </row>
    <row r="2337" spans="5:11" x14ac:dyDescent="0.3">
      <c r="E2337" s="6"/>
      <c r="F2337" s="1"/>
      <c r="K2337" s="1"/>
    </row>
    <row r="2338" spans="5:11" x14ac:dyDescent="0.3">
      <c r="E2338" s="6"/>
      <c r="F2338" s="1"/>
      <c r="K2338" s="1"/>
    </row>
    <row r="2339" spans="5:11" x14ac:dyDescent="0.3">
      <c r="E2339" s="6"/>
      <c r="F2339" s="1"/>
      <c r="K2339" s="1"/>
    </row>
    <row r="2340" spans="5:11" x14ac:dyDescent="0.3">
      <c r="E2340" s="6"/>
      <c r="F2340" s="1"/>
      <c r="K2340" s="1"/>
    </row>
    <row r="2341" spans="5:11" x14ac:dyDescent="0.3">
      <c r="E2341" s="5"/>
      <c r="F2341" s="1"/>
      <c r="K2341" s="1"/>
    </row>
    <row r="2342" spans="5:11" x14ac:dyDescent="0.3">
      <c r="E2342" s="6"/>
      <c r="F2342" s="1"/>
      <c r="K2342" s="1"/>
    </row>
    <row r="2343" spans="5:11" x14ac:dyDescent="0.3">
      <c r="E2343" s="6"/>
      <c r="F2343" s="1"/>
      <c r="K2343" s="1"/>
    </row>
    <row r="2344" spans="5:11" x14ac:dyDescent="0.3">
      <c r="E2344" s="6"/>
      <c r="F2344" s="1"/>
      <c r="K2344" s="1"/>
    </row>
    <row r="2345" spans="5:11" x14ac:dyDescent="0.3">
      <c r="E2345" s="6"/>
      <c r="F2345" s="1"/>
      <c r="K2345" s="1"/>
    </row>
    <row r="2346" spans="5:11" x14ac:dyDescent="0.3">
      <c r="E2346" s="6"/>
      <c r="F2346" s="1"/>
      <c r="K2346" s="1"/>
    </row>
    <row r="2347" spans="5:11" x14ac:dyDescent="0.3">
      <c r="E2347" s="6"/>
      <c r="F2347" s="1"/>
      <c r="K2347" s="1"/>
    </row>
    <row r="2348" spans="5:11" x14ac:dyDescent="0.3">
      <c r="E2348" s="6"/>
      <c r="F2348" s="1"/>
      <c r="K2348" s="1"/>
    </row>
    <row r="2349" spans="5:11" x14ac:dyDescent="0.3">
      <c r="E2349" s="6"/>
      <c r="F2349" s="1"/>
      <c r="K2349" s="1"/>
    </row>
    <row r="2350" spans="5:11" x14ac:dyDescent="0.3">
      <c r="E2350" s="6"/>
      <c r="F2350" s="1"/>
      <c r="K2350" s="1"/>
    </row>
    <row r="2351" spans="5:11" x14ac:dyDescent="0.3">
      <c r="E2351" s="6"/>
      <c r="F2351" s="1"/>
      <c r="K2351" s="1"/>
    </row>
    <row r="2352" spans="5:11" x14ac:dyDescent="0.3">
      <c r="E2352" s="6"/>
      <c r="F2352" s="1"/>
      <c r="K2352" s="1"/>
    </row>
    <row r="2353" spans="5:11" x14ac:dyDescent="0.3">
      <c r="E2353" s="6"/>
      <c r="F2353" s="1"/>
      <c r="K2353" s="1"/>
    </row>
    <row r="2354" spans="5:11" x14ac:dyDescent="0.3">
      <c r="E2354" s="6"/>
      <c r="F2354" s="1"/>
      <c r="K2354" s="1"/>
    </row>
    <row r="2355" spans="5:11" x14ac:dyDescent="0.3">
      <c r="E2355" s="6"/>
      <c r="F2355" s="1"/>
      <c r="K2355" s="1"/>
    </row>
    <row r="2356" spans="5:11" x14ac:dyDescent="0.3">
      <c r="E2356" s="6"/>
      <c r="F2356" s="1"/>
      <c r="K2356" s="1"/>
    </row>
    <row r="2357" spans="5:11" x14ac:dyDescent="0.3">
      <c r="E2357" s="6"/>
      <c r="F2357" s="1"/>
      <c r="K2357" s="1"/>
    </row>
    <row r="2358" spans="5:11" x14ac:dyDescent="0.3">
      <c r="E2358" s="6"/>
      <c r="F2358" s="1"/>
      <c r="K2358" s="1"/>
    </row>
    <row r="2359" spans="5:11" x14ac:dyDescent="0.3">
      <c r="E2359" s="6"/>
      <c r="F2359" s="1"/>
      <c r="K2359" s="1"/>
    </row>
    <row r="2360" spans="5:11" x14ac:dyDescent="0.3">
      <c r="E2360" s="6"/>
      <c r="F2360" s="1"/>
      <c r="K2360" s="1"/>
    </row>
    <row r="2361" spans="5:11" x14ac:dyDescent="0.3">
      <c r="E2361" s="6"/>
      <c r="F2361" s="1"/>
      <c r="K2361" s="1"/>
    </row>
    <row r="2362" spans="5:11" x14ac:dyDescent="0.3">
      <c r="E2362" s="6"/>
      <c r="F2362" s="1"/>
      <c r="K2362" s="1"/>
    </row>
    <row r="2363" spans="5:11" x14ac:dyDescent="0.3">
      <c r="E2363" s="6"/>
      <c r="F2363" s="1"/>
      <c r="K2363" s="1"/>
    </row>
    <row r="2364" spans="5:11" x14ac:dyDescent="0.3">
      <c r="E2364" s="6"/>
      <c r="F2364" s="1"/>
      <c r="K2364" s="1"/>
    </row>
    <row r="2365" spans="5:11" x14ac:dyDescent="0.3">
      <c r="E2365" s="6"/>
      <c r="F2365" s="1"/>
      <c r="K2365" s="1"/>
    </row>
    <row r="2366" spans="5:11" x14ac:dyDescent="0.3">
      <c r="E2366" s="6"/>
      <c r="F2366" s="1"/>
      <c r="K2366" s="1"/>
    </row>
    <row r="2367" spans="5:11" x14ac:dyDescent="0.3">
      <c r="E2367" s="6"/>
      <c r="F2367" s="1"/>
      <c r="K2367" s="1"/>
    </row>
    <row r="2368" spans="5:11" x14ac:dyDescent="0.3">
      <c r="E2368" s="6"/>
      <c r="F2368" s="1"/>
      <c r="K2368" s="1"/>
    </row>
    <row r="2369" spans="5:11" x14ac:dyDescent="0.3">
      <c r="E2369" s="6"/>
      <c r="F2369" s="1"/>
      <c r="K2369" s="1"/>
    </row>
    <row r="2370" spans="5:11" x14ac:dyDescent="0.3">
      <c r="E2370" s="6"/>
      <c r="F2370" s="1"/>
      <c r="K2370" s="1"/>
    </row>
    <row r="2371" spans="5:11" x14ac:dyDescent="0.3">
      <c r="E2371" s="6"/>
      <c r="F2371" s="1"/>
      <c r="K2371" s="1"/>
    </row>
    <row r="2372" spans="5:11" x14ac:dyDescent="0.3">
      <c r="E2372" s="5"/>
      <c r="F2372" s="1"/>
      <c r="K2372" s="1"/>
    </row>
    <row r="2373" spans="5:11" x14ac:dyDescent="0.3">
      <c r="E2373" s="6"/>
      <c r="F2373" s="1"/>
      <c r="K2373" s="1"/>
    </row>
    <row r="2374" spans="5:11" x14ac:dyDescent="0.3">
      <c r="E2374" s="6"/>
      <c r="F2374" s="1"/>
      <c r="K2374" s="1"/>
    </row>
    <row r="2375" spans="5:11" x14ac:dyDescent="0.3">
      <c r="E2375" s="6"/>
      <c r="F2375" s="1"/>
      <c r="K2375" s="1"/>
    </row>
    <row r="2376" spans="5:11" x14ac:dyDescent="0.3">
      <c r="E2376" s="6"/>
      <c r="F2376" s="1"/>
      <c r="K2376" s="1"/>
    </row>
    <row r="2377" spans="5:11" x14ac:dyDescent="0.3">
      <c r="E2377" s="6"/>
      <c r="F2377" s="1"/>
      <c r="K2377" s="1"/>
    </row>
    <row r="2378" spans="5:11" x14ac:dyDescent="0.3">
      <c r="E2378" s="6"/>
      <c r="F2378" s="1"/>
      <c r="K2378" s="1"/>
    </row>
    <row r="2379" spans="5:11" x14ac:dyDescent="0.3">
      <c r="E2379" s="6"/>
      <c r="F2379" s="1"/>
      <c r="K2379" s="1"/>
    </row>
    <row r="2380" spans="5:11" x14ac:dyDescent="0.3">
      <c r="E2380" s="6"/>
      <c r="F2380" s="1"/>
      <c r="K2380" s="1"/>
    </row>
    <row r="2381" spans="5:11" x14ac:dyDescent="0.3">
      <c r="E2381" s="6"/>
      <c r="F2381" s="1"/>
      <c r="K2381" s="1"/>
    </row>
    <row r="2382" spans="5:11" x14ac:dyDescent="0.3">
      <c r="E2382" s="6"/>
      <c r="F2382" s="1"/>
      <c r="K2382" s="1"/>
    </row>
    <row r="2383" spans="5:11" x14ac:dyDescent="0.3">
      <c r="E2383" s="6"/>
      <c r="F2383" s="1"/>
      <c r="K2383" s="1"/>
    </row>
    <row r="2384" spans="5:11" x14ac:dyDescent="0.3">
      <c r="E2384" s="6"/>
      <c r="F2384" s="1"/>
      <c r="K2384" s="1"/>
    </row>
    <row r="2385" spans="5:11" x14ac:dyDescent="0.3">
      <c r="E2385" s="6"/>
      <c r="F2385" s="1"/>
      <c r="K2385" s="1"/>
    </row>
    <row r="2386" spans="5:11" x14ac:dyDescent="0.3">
      <c r="E2386" s="6"/>
      <c r="F2386" s="1"/>
      <c r="K2386" s="1"/>
    </row>
    <row r="2387" spans="5:11" x14ac:dyDescent="0.3">
      <c r="E2387" s="6"/>
      <c r="F2387" s="1"/>
      <c r="K2387" s="1"/>
    </row>
    <row r="2388" spans="5:11" x14ac:dyDescent="0.3">
      <c r="E2388" s="6"/>
      <c r="F2388" s="1"/>
      <c r="K2388" s="1"/>
    </row>
    <row r="2389" spans="5:11" x14ac:dyDescent="0.3">
      <c r="E2389" s="6"/>
      <c r="F2389" s="1"/>
      <c r="K2389" s="1"/>
    </row>
    <row r="2390" spans="5:11" x14ac:dyDescent="0.3">
      <c r="E2390" s="6"/>
      <c r="F2390" s="1"/>
      <c r="K2390" s="1"/>
    </row>
    <row r="2391" spans="5:11" x14ac:dyDescent="0.3">
      <c r="E2391" s="6"/>
      <c r="F2391" s="1"/>
      <c r="K2391" s="1"/>
    </row>
    <row r="2392" spans="5:11" x14ac:dyDescent="0.3">
      <c r="E2392" s="6"/>
      <c r="F2392" s="1"/>
      <c r="K2392" s="1"/>
    </row>
    <row r="2393" spans="5:11" x14ac:dyDescent="0.3">
      <c r="E2393" s="6"/>
      <c r="F2393" s="1"/>
      <c r="K2393" s="1"/>
    </row>
    <row r="2394" spans="5:11" x14ac:dyDescent="0.3">
      <c r="E2394" s="6"/>
      <c r="F2394" s="1"/>
      <c r="K2394" s="1"/>
    </row>
    <row r="2395" spans="5:11" x14ac:dyDescent="0.3">
      <c r="E2395" s="6"/>
      <c r="F2395" s="1"/>
      <c r="K2395" s="1"/>
    </row>
    <row r="2396" spans="5:11" x14ac:dyDescent="0.3">
      <c r="E2396" s="6"/>
      <c r="F2396" s="1"/>
      <c r="K2396" s="1"/>
    </row>
    <row r="2397" spans="5:11" x14ac:dyDescent="0.3">
      <c r="E2397" s="6"/>
      <c r="F2397" s="1"/>
      <c r="K2397" s="1"/>
    </row>
    <row r="2398" spans="5:11" x14ac:dyDescent="0.3">
      <c r="E2398" s="6"/>
      <c r="F2398" s="1"/>
      <c r="K2398" s="1"/>
    </row>
    <row r="2399" spans="5:11" x14ac:dyDescent="0.3">
      <c r="E2399" s="6"/>
      <c r="F2399" s="1"/>
      <c r="K2399" s="1"/>
    </row>
    <row r="2400" spans="5:11" x14ac:dyDescent="0.3">
      <c r="E2400" s="6"/>
      <c r="F2400" s="1"/>
      <c r="K2400" s="1"/>
    </row>
    <row r="2401" spans="5:11" x14ac:dyDescent="0.3">
      <c r="E2401" s="6"/>
      <c r="F2401" s="1"/>
      <c r="K2401" s="1"/>
    </row>
    <row r="2402" spans="5:11" x14ac:dyDescent="0.3">
      <c r="E2402" s="5"/>
      <c r="F2402" s="1"/>
      <c r="K2402" s="1"/>
    </row>
    <row r="2403" spans="5:11" x14ac:dyDescent="0.3">
      <c r="E2403" s="6"/>
      <c r="F2403" s="1"/>
      <c r="K2403" s="1"/>
    </row>
    <row r="2404" spans="5:11" x14ac:dyDescent="0.3">
      <c r="E2404" s="6"/>
      <c r="F2404" s="1"/>
      <c r="K2404" s="1"/>
    </row>
    <row r="2405" spans="5:11" x14ac:dyDescent="0.3">
      <c r="E2405" s="6"/>
      <c r="F2405" s="1"/>
      <c r="K2405" s="1"/>
    </row>
    <row r="2406" spans="5:11" x14ac:dyDescent="0.3">
      <c r="E2406" s="6"/>
      <c r="F2406" s="1"/>
      <c r="K2406" s="1"/>
    </row>
    <row r="2407" spans="5:11" x14ac:dyDescent="0.3">
      <c r="E2407" s="6"/>
      <c r="F2407" s="1"/>
      <c r="K2407" s="1"/>
    </row>
    <row r="2408" spans="5:11" x14ac:dyDescent="0.3">
      <c r="E2408" s="6"/>
      <c r="F2408" s="1"/>
      <c r="K2408" s="1"/>
    </row>
    <row r="2409" spans="5:11" x14ac:dyDescent="0.3">
      <c r="E2409" s="6"/>
      <c r="F2409" s="1"/>
      <c r="K2409" s="1"/>
    </row>
    <row r="2410" spans="5:11" x14ac:dyDescent="0.3">
      <c r="E2410" s="6"/>
      <c r="F2410" s="1"/>
      <c r="K2410" s="1"/>
    </row>
    <row r="2411" spans="5:11" x14ac:dyDescent="0.3">
      <c r="E2411" s="6"/>
      <c r="F2411" s="1"/>
      <c r="K2411" s="1"/>
    </row>
    <row r="2412" spans="5:11" x14ac:dyDescent="0.3">
      <c r="E2412" s="6"/>
      <c r="F2412" s="1"/>
      <c r="K2412" s="1"/>
    </row>
    <row r="2413" spans="5:11" x14ac:dyDescent="0.3">
      <c r="E2413" s="6"/>
      <c r="F2413" s="1"/>
      <c r="K2413" s="1"/>
    </row>
    <row r="2414" spans="5:11" x14ac:dyDescent="0.3">
      <c r="E2414" s="6"/>
      <c r="F2414" s="1"/>
      <c r="K2414" s="1"/>
    </row>
    <row r="2415" spans="5:11" x14ac:dyDescent="0.3">
      <c r="E2415" s="6"/>
      <c r="F2415" s="1"/>
      <c r="K2415" s="1"/>
    </row>
    <row r="2416" spans="5:11" x14ac:dyDescent="0.3">
      <c r="E2416" s="5"/>
      <c r="F2416" s="1"/>
      <c r="K2416" s="1"/>
    </row>
    <row r="2417" spans="5:11" x14ac:dyDescent="0.3">
      <c r="E2417" s="5"/>
      <c r="F2417" s="1"/>
      <c r="K2417" s="1"/>
    </row>
    <row r="2418" spans="5:11" x14ac:dyDescent="0.3">
      <c r="E2418" s="6"/>
      <c r="F2418" s="1"/>
      <c r="K2418" s="1"/>
    </row>
    <row r="2419" spans="5:11" x14ac:dyDescent="0.3">
      <c r="E2419" s="6"/>
      <c r="F2419" s="1"/>
      <c r="K2419" s="1"/>
    </row>
    <row r="2420" spans="5:11" x14ac:dyDescent="0.3">
      <c r="E2420" s="6"/>
      <c r="F2420" s="1"/>
      <c r="K2420" s="1"/>
    </row>
    <row r="2421" spans="5:11" x14ac:dyDescent="0.3">
      <c r="E2421" s="6"/>
      <c r="F2421" s="1"/>
      <c r="K2421" s="1"/>
    </row>
    <row r="2422" spans="5:11" x14ac:dyDescent="0.3">
      <c r="E2422" s="6"/>
      <c r="F2422" s="1"/>
      <c r="K2422" s="1"/>
    </row>
    <row r="2423" spans="5:11" x14ac:dyDescent="0.3">
      <c r="E2423" s="6"/>
      <c r="F2423" s="1"/>
      <c r="K2423" s="1"/>
    </row>
    <row r="2424" spans="5:11" x14ac:dyDescent="0.3">
      <c r="E2424" s="6"/>
      <c r="F2424" s="1"/>
      <c r="K2424" s="1"/>
    </row>
    <row r="2425" spans="5:11" x14ac:dyDescent="0.3">
      <c r="E2425" s="6"/>
      <c r="F2425" s="1"/>
      <c r="K2425" s="1"/>
    </row>
    <row r="2426" spans="5:11" x14ac:dyDescent="0.3">
      <c r="E2426" s="6"/>
      <c r="F2426" s="1"/>
      <c r="K2426" s="1"/>
    </row>
    <row r="2427" spans="5:11" x14ac:dyDescent="0.3">
      <c r="E2427" s="6"/>
      <c r="F2427" s="1"/>
      <c r="K2427" s="1"/>
    </row>
    <row r="2428" spans="5:11" x14ac:dyDescent="0.3">
      <c r="E2428" s="6"/>
      <c r="F2428" s="1"/>
      <c r="K2428" s="1"/>
    </row>
    <row r="2429" spans="5:11" x14ac:dyDescent="0.3">
      <c r="E2429" s="6"/>
      <c r="F2429" s="1"/>
      <c r="K2429" s="1"/>
    </row>
    <row r="2430" spans="5:11" x14ac:dyDescent="0.3">
      <c r="E2430" s="6"/>
      <c r="F2430" s="1"/>
      <c r="K2430" s="1"/>
    </row>
    <row r="2431" spans="5:11" x14ac:dyDescent="0.3">
      <c r="E2431" s="6"/>
      <c r="F2431" s="1"/>
      <c r="K2431" s="1"/>
    </row>
    <row r="2432" spans="5:11" x14ac:dyDescent="0.3">
      <c r="E2432" s="6"/>
      <c r="F2432" s="1"/>
      <c r="K2432" s="1"/>
    </row>
    <row r="2433" spans="5:11" x14ac:dyDescent="0.3">
      <c r="E2433" s="6"/>
      <c r="F2433" s="1"/>
      <c r="K2433" s="1"/>
    </row>
    <row r="2434" spans="5:11" x14ac:dyDescent="0.3">
      <c r="E2434" s="6"/>
      <c r="F2434" s="1"/>
      <c r="K2434" s="1"/>
    </row>
    <row r="2435" spans="5:11" x14ac:dyDescent="0.3">
      <c r="E2435" s="6"/>
      <c r="F2435" s="1"/>
      <c r="K2435" s="1"/>
    </row>
    <row r="2436" spans="5:11" x14ac:dyDescent="0.3">
      <c r="E2436" s="6"/>
      <c r="F2436" s="1"/>
      <c r="K2436" s="1"/>
    </row>
    <row r="2437" spans="5:11" x14ac:dyDescent="0.3">
      <c r="E2437" s="6"/>
      <c r="F2437" s="1"/>
      <c r="K2437" s="1"/>
    </row>
    <row r="2438" spans="5:11" x14ac:dyDescent="0.3">
      <c r="E2438" s="6"/>
      <c r="F2438" s="1"/>
      <c r="K2438" s="1"/>
    </row>
    <row r="2439" spans="5:11" x14ac:dyDescent="0.3">
      <c r="E2439" s="6"/>
      <c r="F2439" s="1"/>
      <c r="K2439" s="1"/>
    </row>
    <row r="2440" spans="5:11" x14ac:dyDescent="0.3">
      <c r="E2440" s="6"/>
      <c r="F2440" s="1"/>
      <c r="K2440" s="1"/>
    </row>
    <row r="2441" spans="5:11" x14ac:dyDescent="0.3">
      <c r="E2441" s="5"/>
      <c r="F2441" s="1"/>
      <c r="K2441" s="1"/>
    </row>
    <row r="2442" spans="5:11" x14ac:dyDescent="0.3">
      <c r="E2442" s="6"/>
      <c r="F2442" s="1"/>
      <c r="K2442" s="1"/>
    </row>
    <row r="2443" spans="5:11" x14ac:dyDescent="0.3">
      <c r="E2443" s="6"/>
      <c r="F2443" s="1"/>
      <c r="K2443" s="1"/>
    </row>
    <row r="2444" spans="5:11" x14ac:dyDescent="0.3">
      <c r="E2444" s="6"/>
      <c r="F2444" s="1"/>
      <c r="K2444" s="1"/>
    </row>
    <row r="2445" spans="5:11" x14ac:dyDescent="0.3">
      <c r="E2445" s="6"/>
      <c r="F2445" s="1"/>
      <c r="K2445" s="1"/>
    </row>
    <row r="2446" spans="5:11" x14ac:dyDescent="0.3">
      <c r="E2446" s="6"/>
      <c r="F2446" s="1"/>
      <c r="K2446" s="1"/>
    </row>
    <row r="2447" spans="5:11" x14ac:dyDescent="0.3">
      <c r="E2447" s="6"/>
      <c r="F2447" s="1"/>
      <c r="K2447" s="1"/>
    </row>
    <row r="2448" spans="5:11" x14ac:dyDescent="0.3">
      <c r="E2448" s="6"/>
      <c r="F2448" s="1"/>
      <c r="K2448" s="1"/>
    </row>
    <row r="2449" spans="5:11" x14ac:dyDescent="0.3">
      <c r="E2449" s="6"/>
      <c r="F2449" s="1"/>
      <c r="K2449" s="1"/>
    </row>
    <row r="2450" spans="5:11" x14ac:dyDescent="0.3">
      <c r="E2450" s="6"/>
      <c r="F2450" s="1"/>
      <c r="K2450" s="1"/>
    </row>
    <row r="2451" spans="5:11" x14ac:dyDescent="0.3">
      <c r="E2451" s="6"/>
      <c r="F2451" s="1"/>
      <c r="K2451" s="1"/>
    </row>
    <row r="2452" spans="5:11" x14ac:dyDescent="0.3">
      <c r="E2452" s="6"/>
      <c r="F2452" s="1"/>
      <c r="K2452" s="1"/>
    </row>
    <row r="2453" spans="5:11" x14ac:dyDescent="0.3">
      <c r="E2453" s="6"/>
      <c r="F2453" s="1"/>
      <c r="K2453" s="1"/>
    </row>
    <row r="2454" spans="5:11" x14ac:dyDescent="0.3">
      <c r="E2454" s="6"/>
      <c r="F2454" s="1"/>
      <c r="K2454" s="1"/>
    </row>
    <row r="2455" spans="5:11" x14ac:dyDescent="0.3">
      <c r="E2455" s="5"/>
      <c r="F2455" s="1"/>
      <c r="K2455" s="1"/>
    </row>
    <row r="2456" spans="5:11" x14ac:dyDescent="0.3">
      <c r="E2456" s="5"/>
      <c r="F2456" s="1"/>
      <c r="K2456" s="1"/>
    </row>
    <row r="2457" spans="5:11" x14ac:dyDescent="0.3">
      <c r="E2457" s="5"/>
      <c r="F2457" s="1"/>
      <c r="K2457" s="1"/>
    </row>
    <row r="2458" spans="5:11" x14ac:dyDescent="0.3">
      <c r="E2458" s="6"/>
      <c r="F2458" s="1"/>
      <c r="K2458" s="1"/>
    </row>
    <row r="2459" spans="5:11" x14ac:dyDescent="0.3">
      <c r="E2459" s="6"/>
      <c r="F2459" s="1"/>
      <c r="K2459" s="1"/>
    </row>
    <row r="2460" spans="5:11" x14ac:dyDescent="0.3">
      <c r="E2460" s="6"/>
      <c r="F2460" s="1"/>
      <c r="K2460" s="1"/>
    </row>
    <row r="2461" spans="5:11" x14ac:dyDescent="0.3">
      <c r="E2461" s="6"/>
      <c r="F2461" s="1"/>
      <c r="K2461" s="1"/>
    </row>
    <row r="2462" spans="5:11" x14ac:dyDescent="0.3">
      <c r="E2462" s="6"/>
      <c r="F2462" s="1"/>
      <c r="K2462" s="1"/>
    </row>
    <row r="2463" spans="5:11" x14ac:dyDescent="0.3">
      <c r="E2463" s="6"/>
      <c r="F2463" s="1"/>
      <c r="K2463" s="1"/>
    </row>
    <row r="2464" spans="5:11" x14ac:dyDescent="0.3">
      <c r="E2464" s="6"/>
      <c r="F2464" s="1"/>
      <c r="K2464" s="1"/>
    </row>
    <row r="2465" spans="5:11" x14ac:dyDescent="0.3">
      <c r="E2465" s="6"/>
      <c r="F2465" s="1"/>
      <c r="K2465" s="1"/>
    </row>
    <row r="2466" spans="5:11" x14ac:dyDescent="0.3">
      <c r="E2466" s="6"/>
      <c r="F2466" s="1"/>
      <c r="K2466" s="1"/>
    </row>
    <row r="2467" spans="5:11" x14ac:dyDescent="0.3">
      <c r="E2467" s="6"/>
      <c r="F2467" s="1"/>
      <c r="K2467" s="1"/>
    </row>
    <row r="2468" spans="5:11" x14ac:dyDescent="0.3">
      <c r="E2468" s="6"/>
      <c r="F2468" s="1"/>
      <c r="K2468" s="1"/>
    </row>
    <row r="2469" spans="5:11" x14ac:dyDescent="0.3">
      <c r="E2469" s="6"/>
      <c r="F2469" s="1"/>
      <c r="K2469" s="1"/>
    </row>
    <row r="2470" spans="5:11" x14ac:dyDescent="0.3">
      <c r="E2470" s="6"/>
      <c r="F2470" s="1"/>
      <c r="K2470" s="1"/>
    </row>
    <row r="2471" spans="5:11" x14ac:dyDescent="0.3">
      <c r="E2471" s="6"/>
      <c r="F2471" s="1"/>
      <c r="K2471" s="1"/>
    </row>
    <row r="2472" spans="5:11" x14ac:dyDescent="0.3">
      <c r="E2472" s="6"/>
      <c r="F2472" s="1"/>
      <c r="K2472" s="1"/>
    </row>
    <row r="2473" spans="5:11" x14ac:dyDescent="0.3">
      <c r="E2473" s="6"/>
      <c r="F2473" s="1"/>
      <c r="K2473" s="1"/>
    </row>
    <row r="2474" spans="5:11" x14ac:dyDescent="0.3">
      <c r="E2474" s="6"/>
      <c r="F2474" s="1"/>
      <c r="K2474" s="1"/>
    </row>
    <row r="2475" spans="5:11" x14ac:dyDescent="0.3">
      <c r="E2475" s="6"/>
      <c r="F2475" s="1"/>
      <c r="K2475" s="1"/>
    </row>
    <row r="2476" spans="5:11" x14ac:dyDescent="0.3">
      <c r="E2476" s="6"/>
      <c r="F2476" s="1"/>
      <c r="K2476" s="1"/>
    </row>
    <row r="2477" spans="5:11" x14ac:dyDescent="0.3">
      <c r="E2477" s="5"/>
      <c r="F2477" s="1"/>
      <c r="K2477" s="1"/>
    </row>
    <row r="2478" spans="5:11" x14ac:dyDescent="0.3">
      <c r="E2478" s="6"/>
      <c r="F2478" s="1"/>
      <c r="K2478" s="1"/>
    </row>
    <row r="2479" spans="5:11" x14ac:dyDescent="0.3">
      <c r="E2479" s="6"/>
      <c r="F2479" s="1"/>
      <c r="K2479" s="1"/>
    </row>
    <row r="2480" spans="5:11" x14ac:dyDescent="0.3">
      <c r="E2480" s="6"/>
      <c r="F2480" s="1"/>
      <c r="K2480" s="1"/>
    </row>
    <row r="2481" spans="5:11" x14ac:dyDescent="0.3">
      <c r="E2481" s="6"/>
      <c r="F2481" s="1"/>
      <c r="K2481" s="1"/>
    </row>
    <row r="2482" spans="5:11" x14ac:dyDescent="0.3">
      <c r="E2482" s="6"/>
      <c r="F2482" s="1"/>
      <c r="K2482" s="1"/>
    </row>
    <row r="2483" spans="5:11" x14ac:dyDescent="0.3">
      <c r="E2483" s="6"/>
      <c r="F2483" s="1"/>
      <c r="K2483" s="1"/>
    </row>
    <row r="2484" spans="5:11" x14ac:dyDescent="0.3">
      <c r="E2484" s="6"/>
      <c r="F2484" s="1"/>
      <c r="K2484" s="1"/>
    </row>
    <row r="2485" spans="5:11" x14ac:dyDescent="0.3">
      <c r="E2485" s="6"/>
      <c r="F2485" s="1"/>
      <c r="K2485" s="1"/>
    </row>
    <row r="2486" spans="5:11" x14ac:dyDescent="0.3">
      <c r="E2486" s="6"/>
      <c r="F2486" s="1"/>
      <c r="K2486" s="1"/>
    </row>
    <row r="2487" spans="5:11" x14ac:dyDescent="0.3">
      <c r="E2487" s="6"/>
      <c r="F2487" s="1"/>
      <c r="K2487" s="1"/>
    </row>
    <row r="2488" spans="5:11" x14ac:dyDescent="0.3">
      <c r="E2488" s="6"/>
      <c r="F2488" s="1"/>
      <c r="K2488" s="1"/>
    </row>
    <row r="2489" spans="5:11" x14ac:dyDescent="0.3">
      <c r="E2489" s="6"/>
      <c r="F2489" s="1"/>
      <c r="K2489" s="1"/>
    </row>
    <row r="2490" spans="5:11" x14ac:dyDescent="0.3">
      <c r="E2490" s="6"/>
      <c r="F2490" s="1"/>
      <c r="K2490" s="1"/>
    </row>
    <row r="2491" spans="5:11" x14ac:dyDescent="0.3">
      <c r="E2491" s="6"/>
      <c r="F2491" s="1"/>
      <c r="K2491" s="1"/>
    </row>
    <row r="2492" spans="5:11" x14ac:dyDescent="0.3">
      <c r="E2492" s="6"/>
      <c r="F2492" s="1"/>
      <c r="K2492" s="1"/>
    </row>
    <row r="2493" spans="5:11" x14ac:dyDescent="0.3">
      <c r="E2493" s="6"/>
      <c r="F2493" s="1"/>
      <c r="K2493" s="1"/>
    </row>
    <row r="2494" spans="5:11" x14ac:dyDescent="0.3">
      <c r="E2494" s="6"/>
      <c r="F2494" s="1"/>
      <c r="K2494" s="1"/>
    </row>
    <row r="2495" spans="5:11" x14ac:dyDescent="0.3">
      <c r="E2495" s="6"/>
      <c r="F2495" s="1"/>
      <c r="K2495" s="1"/>
    </row>
    <row r="2496" spans="5:11" x14ac:dyDescent="0.3">
      <c r="E2496" s="6"/>
      <c r="F2496" s="1"/>
      <c r="K2496" s="1"/>
    </row>
    <row r="2497" spans="5:11" x14ac:dyDescent="0.3">
      <c r="E2497" s="6"/>
      <c r="F2497" s="1"/>
      <c r="K2497" s="1"/>
    </row>
    <row r="2498" spans="5:11" x14ac:dyDescent="0.3">
      <c r="E2498" s="6"/>
      <c r="F2498" s="1"/>
      <c r="K2498" s="1"/>
    </row>
    <row r="2499" spans="5:11" x14ac:dyDescent="0.3">
      <c r="E2499" s="6"/>
      <c r="F2499" s="1"/>
      <c r="K2499" s="1"/>
    </row>
    <row r="2500" spans="5:11" x14ac:dyDescent="0.3">
      <c r="E2500" s="6"/>
      <c r="F2500" s="1"/>
      <c r="K2500" s="1"/>
    </row>
    <row r="2501" spans="5:11" x14ac:dyDescent="0.3">
      <c r="E2501" s="6"/>
      <c r="F2501" s="1"/>
      <c r="K2501" s="1"/>
    </row>
    <row r="2502" spans="5:11" x14ac:dyDescent="0.3">
      <c r="E2502" s="6"/>
      <c r="F2502" s="1"/>
      <c r="K2502" s="1"/>
    </row>
    <row r="2503" spans="5:11" x14ac:dyDescent="0.3">
      <c r="E2503" s="5"/>
      <c r="F2503" s="1"/>
      <c r="K2503" s="1"/>
    </row>
    <row r="2504" spans="5:11" x14ac:dyDescent="0.3">
      <c r="E2504" s="5"/>
      <c r="F2504" s="1"/>
      <c r="K2504" s="1"/>
    </row>
    <row r="2505" spans="5:11" x14ac:dyDescent="0.3">
      <c r="E2505" s="5"/>
      <c r="F2505" s="1"/>
      <c r="K2505" s="1"/>
    </row>
    <row r="2506" spans="5:11" x14ac:dyDescent="0.3">
      <c r="E2506" s="6"/>
      <c r="F2506" s="1"/>
      <c r="K2506" s="1"/>
    </row>
    <row r="2507" spans="5:11" x14ac:dyDescent="0.3">
      <c r="E2507" s="6"/>
      <c r="F2507" s="1"/>
      <c r="K2507" s="1"/>
    </row>
    <row r="2508" spans="5:11" x14ac:dyDescent="0.3">
      <c r="E2508" s="6"/>
      <c r="F2508" s="1"/>
      <c r="K2508" s="1"/>
    </row>
    <row r="2509" spans="5:11" x14ac:dyDescent="0.3">
      <c r="E2509" s="6"/>
      <c r="F2509" s="1"/>
      <c r="K2509" s="1"/>
    </row>
    <row r="2510" spans="5:11" x14ac:dyDescent="0.3">
      <c r="E2510" s="6"/>
      <c r="F2510" s="1"/>
      <c r="K2510" s="1"/>
    </row>
    <row r="2511" spans="5:11" x14ac:dyDescent="0.3">
      <c r="E2511" s="6"/>
      <c r="F2511" s="1"/>
      <c r="K2511" s="1"/>
    </row>
    <row r="2512" spans="5:11" x14ac:dyDescent="0.3">
      <c r="E2512" s="6"/>
      <c r="F2512" s="1"/>
      <c r="K2512" s="1"/>
    </row>
    <row r="2513" spans="5:11" x14ac:dyDescent="0.3">
      <c r="E2513" s="6"/>
      <c r="F2513" s="1"/>
      <c r="K2513" s="1"/>
    </row>
    <row r="2514" spans="5:11" x14ac:dyDescent="0.3">
      <c r="E2514" s="6"/>
      <c r="F2514" s="1"/>
      <c r="K2514" s="1"/>
    </row>
    <row r="2515" spans="5:11" x14ac:dyDescent="0.3">
      <c r="E2515" s="6"/>
      <c r="F2515" s="1"/>
      <c r="K2515" s="1"/>
    </row>
    <row r="2516" spans="5:11" x14ac:dyDescent="0.3">
      <c r="E2516" s="6"/>
      <c r="F2516" s="1"/>
      <c r="K2516" s="1"/>
    </row>
    <row r="2517" spans="5:11" x14ac:dyDescent="0.3">
      <c r="E2517" s="6"/>
      <c r="F2517" s="1"/>
      <c r="K2517" s="1"/>
    </row>
    <row r="2518" spans="5:11" x14ac:dyDescent="0.3">
      <c r="E2518" s="6"/>
      <c r="F2518" s="1"/>
      <c r="K2518" s="1"/>
    </row>
    <row r="2519" spans="5:11" x14ac:dyDescent="0.3">
      <c r="E2519" s="6"/>
      <c r="F2519" s="1"/>
      <c r="K2519" s="1"/>
    </row>
    <row r="2520" spans="5:11" x14ac:dyDescent="0.3">
      <c r="E2520" s="6"/>
      <c r="F2520" s="1"/>
      <c r="K2520" s="1"/>
    </row>
    <row r="2521" spans="5:11" x14ac:dyDescent="0.3">
      <c r="E2521" s="6"/>
      <c r="F2521" s="1"/>
      <c r="K2521" s="1"/>
    </row>
    <row r="2522" spans="5:11" x14ac:dyDescent="0.3">
      <c r="E2522" s="6"/>
      <c r="F2522" s="1"/>
      <c r="K2522" s="1"/>
    </row>
    <row r="2523" spans="5:11" x14ac:dyDescent="0.3">
      <c r="E2523" s="6"/>
      <c r="F2523" s="1"/>
      <c r="K2523" s="1"/>
    </row>
    <row r="2524" spans="5:11" x14ac:dyDescent="0.3">
      <c r="E2524" s="5"/>
      <c r="F2524" s="1"/>
      <c r="K2524" s="1"/>
    </row>
    <row r="2525" spans="5:11" x14ac:dyDescent="0.3">
      <c r="E2525" s="5"/>
      <c r="F2525" s="1"/>
      <c r="K2525" s="1"/>
    </row>
    <row r="2526" spans="5:11" x14ac:dyDescent="0.3">
      <c r="E2526" s="5"/>
      <c r="F2526" s="1"/>
      <c r="K2526" s="1"/>
    </row>
    <row r="2527" spans="5:11" x14ac:dyDescent="0.3">
      <c r="E2527" s="6"/>
      <c r="F2527" s="1"/>
      <c r="K2527" s="1"/>
    </row>
    <row r="2528" spans="5:11" x14ac:dyDescent="0.3">
      <c r="E2528" s="6"/>
      <c r="F2528" s="1"/>
      <c r="K2528" s="1"/>
    </row>
    <row r="2529" spans="5:11" x14ac:dyDescent="0.3">
      <c r="E2529" s="6"/>
      <c r="F2529" s="1"/>
      <c r="K2529" s="1"/>
    </row>
    <row r="2530" spans="5:11" x14ac:dyDescent="0.3">
      <c r="E2530" s="6"/>
      <c r="F2530" s="1"/>
      <c r="K2530" s="1"/>
    </row>
    <row r="2531" spans="5:11" x14ac:dyDescent="0.3">
      <c r="E2531" s="6"/>
      <c r="F2531" s="1"/>
      <c r="K2531" s="1"/>
    </row>
    <row r="2532" spans="5:11" x14ac:dyDescent="0.3">
      <c r="E2532" s="6"/>
      <c r="F2532" s="1"/>
      <c r="K2532" s="1"/>
    </row>
    <row r="2533" spans="5:11" x14ac:dyDescent="0.3">
      <c r="E2533" s="6"/>
      <c r="F2533" s="1"/>
      <c r="K2533" s="1"/>
    </row>
    <row r="2534" spans="5:11" x14ac:dyDescent="0.3">
      <c r="E2534" s="6"/>
      <c r="F2534" s="1"/>
      <c r="K2534" s="1"/>
    </row>
    <row r="2535" spans="5:11" x14ac:dyDescent="0.3">
      <c r="E2535" s="6"/>
      <c r="F2535" s="1"/>
      <c r="K2535" s="1"/>
    </row>
    <row r="2536" spans="5:11" x14ac:dyDescent="0.3">
      <c r="E2536" s="6"/>
      <c r="F2536" s="1"/>
      <c r="K2536" s="1"/>
    </row>
    <row r="2537" spans="5:11" x14ac:dyDescent="0.3">
      <c r="E2537" s="6"/>
      <c r="F2537" s="1"/>
      <c r="K2537" s="1"/>
    </row>
    <row r="2538" spans="5:11" x14ac:dyDescent="0.3">
      <c r="E2538" s="6"/>
      <c r="F2538" s="1"/>
      <c r="K2538" s="1"/>
    </row>
    <row r="2539" spans="5:11" x14ac:dyDescent="0.3">
      <c r="E2539" s="6"/>
      <c r="F2539" s="1"/>
      <c r="K2539" s="1"/>
    </row>
    <row r="2540" spans="5:11" x14ac:dyDescent="0.3">
      <c r="E2540" s="6"/>
      <c r="F2540" s="1"/>
      <c r="K2540" s="1"/>
    </row>
    <row r="2541" spans="5:11" x14ac:dyDescent="0.3">
      <c r="E2541" s="6"/>
      <c r="F2541" s="1"/>
      <c r="K2541" s="1"/>
    </row>
    <row r="2542" spans="5:11" x14ac:dyDescent="0.3">
      <c r="E2542" s="6"/>
      <c r="F2542" s="1"/>
      <c r="K2542" s="1"/>
    </row>
    <row r="2543" spans="5:11" x14ac:dyDescent="0.3">
      <c r="E2543" s="6"/>
      <c r="F2543" s="1"/>
      <c r="K2543" s="1"/>
    </row>
    <row r="2544" spans="5:11" x14ac:dyDescent="0.3">
      <c r="E2544" s="6"/>
      <c r="F2544" s="1"/>
      <c r="K2544" s="1"/>
    </row>
    <row r="2545" spans="5:11" x14ac:dyDescent="0.3">
      <c r="E2545" s="6"/>
      <c r="F2545" s="1"/>
      <c r="K2545" s="1"/>
    </row>
    <row r="2546" spans="5:11" x14ac:dyDescent="0.3">
      <c r="E2546" s="6"/>
      <c r="F2546" s="1"/>
      <c r="K2546" s="1"/>
    </row>
    <row r="2547" spans="5:11" x14ac:dyDescent="0.3">
      <c r="E2547" s="6"/>
      <c r="F2547" s="1"/>
      <c r="K2547" s="1"/>
    </row>
    <row r="2548" spans="5:11" x14ac:dyDescent="0.3">
      <c r="E2548" s="6"/>
      <c r="F2548" s="1"/>
      <c r="K2548" s="1"/>
    </row>
    <row r="2549" spans="5:11" x14ac:dyDescent="0.3">
      <c r="E2549" s="6"/>
      <c r="F2549" s="1"/>
      <c r="K2549" s="1"/>
    </row>
    <row r="2550" spans="5:11" x14ac:dyDescent="0.3">
      <c r="E2550" s="6"/>
      <c r="F2550" s="1"/>
      <c r="K2550" s="1"/>
    </row>
    <row r="2551" spans="5:11" x14ac:dyDescent="0.3">
      <c r="E2551" s="6"/>
      <c r="F2551" s="1"/>
      <c r="K2551" s="1"/>
    </row>
    <row r="2552" spans="5:11" x14ac:dyDescent="0.3">
      <c r="E2552" s="6"/>
      <c r="F2552" s="1"/>
      <c r="K2552" s="1"/>
    </row>
    <row r="2553" spans="5:11" x14ac:dyDescent="0.3">
      <c r="E2553" s="6"/>
      <c r="F2553" s="1"/>
      <c r="K2553" s="1"/>
    </row>
    <row r="2554" spans="5:11" x14ac:dyDescent="0.3">
      <c r="E2554" s="6"/>
      <c r="F2554" s="1"/>
      <c r="K2554" s="1"/>
    </row>
    <row r="2555" spans="5:11" x14ac:dyDescent="0.3">
      <c r="E2555" s="6"/>
      <c r="F2555" s="1"/>
      <c r="K2555" s="1"/>
    </row>
    <row r="2556" spans="5:11" x14ac:dyDescent="0.3">
      <c r="E2556" s="6"/>
      <c r="F2556" s="1"/>
      <c r="K2556" s="1"/>
    </row>
    <row r="2557" spans="5:11" x14ac:dyDescent="0.3">
      <c r="E2557" s="6"/>
      <c r="F2557" s="1"/>
      <c r="K2557" s="1"/>
    </row>
    <row r="2558" spans="5:11" x14ac:dyDescent="0.3">
      <c r="E2558" s="6"/>
      <c r="F2558" s="1"/>
      <c r="K2558" s="1"/>
    </row>
    <row r="2559" spans="5:11" x14ac:dyDescent="0.3">
      <c r="E2559" s="5"/>
      <c r="F2559" s="1"/>
      <c r="K2559" s="1"/>
    </row>
    <row r="2560" spans="5:11" x14ac:dyDescent="0.3">
      <c r="E2560" s="6"/>
      <c r="F2560" s="1"/>
      <c r="K2560" s="1"/>
    </row>
    <row r="2561" spans="5:11" x14ac:dyDescent="0.3">
      <c r="E2561" s="6"/>
      <c r="F2561" s="1"/>
      <c r="K2561" s="1"/>
    </row>
    <row r="2562" spans="5:11" x14ac:dyDescent="0.3">
      <c r="E2562" s="6"/>
      <c r="F2562" s="1"/>
      <c r="K2562" s="1"/>
    </row>
    <row r="2563" spans="5:11" x14ac:dyDescent="0.3">
      <c r="E2563" s="6"/>
      <c r="F2563" s="1"/>
      <c r="K2563" s="1"/>
    </row>
    <row r="2564" spans="5:11" x14ac:dyDescent="0.3">
      <c r="E2564" s="6"/>
      <c r="F2564" s="1"/>
      <c r="K2564" s="1"/>
    </row>
    <row r="2565" spans="5:11" x14ac:dyDescent="0.3">
      <c r="E2565" s="6"/>
      <c r="F2565" s="1"/>
      <c r="K2565" s="1"/>
    </row>
    <row r="2566" spans="5:11" x14ac:dyDescent="0.3">
      <c r="E2566" s="6"/>
      <c r="F2566" s="1"/>
      <c r="K2566" s="1"/>
    </row>
    <row r="2567" spans="5:11" x14ac:dyDescent="0.3">
      <c r="E2567" s="6"/>
      <c r="F2567" s="1"/>
      <c r="K2567" s="1"/>
    </row>
    <row r="2568" spans="5:11" x14ac:dyDescent="0.3">
      <c r="E2568" s="6"/>
      <c r="F2568" s="1"/>
      <c r="K2568" s="1"/>
    </row>
    <row r="2569" spans="5:11" x14ac:dyDescent="0.3">
      <c r="E2569" s="6"/>
      <c r="F2569" s="1"/>
      <c r="K2569" s="1"/>
    </row>
    <row r="2570" spans="5:11" x14ac:dyDescent="0.3">
      <c r="E2570" s="6"/>
      <c r="F2570" s="1"/>
      <c r="K2570" s="1"/>
    </row>
    <row r="2571" spans="5:11" x14ac:dyDescent="0.3">
      <c r="E2571" s="6"/>
      <c r="F2571" s="1"/>
      <c r="K2571" s="1"/>
    </row>
    <row r="2572" spans="5:11" x14ac:dyDescent="0.3">
      <c r="E2572" s="6"/>
      <c r="F2572" s="1"/>
      <c r="K2572" s="1"/>
    </row>
    <row r="2573" spans="5:11" x14ac:dyDescent="0.3">
      <c r="E2573" s="6"/>
      <c r="F2573" s="1"/>
      <c r="K2573" s="1"/>
    </row>
    <row r="2574" spans="5:11" x14ac:dyDescent="0.3">
      <c r="E2574" s="6"/>
      <c r="F2574" s="1"/>
      <c r="K2574" s="1"/>
    </row>
    <row r="2575" spans="5:11" x14ac:dyDescent="0.3">
      <c r="E2575" s="6"/>
      <c r="F2575" s="1"/>
      <c r="K2575" s="1"/>
    </row>
    <row r="2576" spans="5:11" x14ac:dyDescent="0.3">
      <c r="E2576" s="6"/>
      <c r="F2576" s="1"/>
      <c r="K2576" s="1"/>
    </row>
    <row r="2577" spans="5:11" x14ac:dyDescent="0.3">
      <c r="E2577" s="6"/>
      <c r="F2577" s="1"/>
      <c r="K2577" s="1"/>
    </row>
    <row r="2578" spans="5:11" x14ac:dyDescent="0.3">
      <c r="E2578" s="6"/>
      <c r="F2578" s="1"/>
      <c r="K2578" s="1"/>
    </row>
    <row r="2579" spans="5:11" x14ac:dyDescent="0.3">
      <c r="E2579" s="6"/>
      <c r="F2579" s="1"/>
      <c r="K2579" s="1"/>
    </row>
    <row r="2580" spans="5:11" x14ac:dyDescent="0.3">
      <c r="E2580" s="6"/>
      <c r="F2580" s="1"/>
      <c r="K2580" s="1"/>
    </row>
    <row r="2581" spans="5:11" x14ac:dyDescent="0.3">
      <c r="E2581" s="6"/>
      <c r="F2581" s="1"/>
      <c r="K2581" s="1"/>
    </row>
    <row r="2582" spans="5:11" x14ac:dyDescent="0.3">
      <c r="E2582" s="6"/>
      <c r="F2582" s="1"/>
      <c r="K2582" s="1"/>
    </row>
    <row r="2583" spans="5:11" x14ac:dyDescent="0.3">
      <c r="E2583" s="6"/>
      <c r="F2583" s="1"/>
      <c r="K2583" s="1"/>
    </row>
    <row r="2584" spans="5:11" x14ac:dyDescent="0.3">
      <c r="E2584" s="6"/>
      <c r="F2584" s="1"/>
      <c r="K2584" s="1"/>
    </row>
    <row r="2585" spans="5:11" x14ac:dyDescent="0.3">
      <c r="E2585" s="6"/>
      <c r="F2585" s="1"/>
      <c r="K2585" s="1"/>
    </row>
    <row r="2586" spans="5:11" x14ac:dyDescent="0.3">
      <c r="E2586" s="6"/>
      <c r="F2586" s="1"/>
      <c r="K2586" s="1"/>
    </row>
    <row r="2587" spans="5:11" x14ac:dyDescent="0.3">
      <c r="E2587" s="6"/>
      <c r="F2587" s="1"/>
      <c r="K2587" s="1"/>
    </row>
    <row r="2588" spans="5:11" x14ac:dyDescent="0.3">
      <c r="E2588" s="6"/>
      <c r="F2588" s="1"/>
      <c r="K2588" s="1"/>
    </row>
    <row r="2589" spans="5:11" x14ac:dyDescent="0.3">
      <c r="E2589" s="6"/>
      <c r="F2589" s="1"/>
      <c r="K2589" s="1"/>
    </row>
    <row r="2590" spans="5:11" x14ac:dyDescent="0.3">
      <c r="E2590" s="6"/>
      <c r="F2590" s="1"/>
      <c r="K2590" s="1"/>
    </row>
    <row r="2591" spans="5:11" x14ac:dyDescent="0.3">
      <c r="E2591" s="6"/>
      <c r="F2591" s="1"/>
      <c r="K2591" s="1"/>
    </row>
    <row r="2592" spans="5:11" x14ac:dyDescent="0.3">
      <c r="E2592" s="6"/>
      <c r="F2592" s="1"/>
      <c r="K2592" s="1"/>
    </row>
    <row r="2593" spans="5:11" x14ac:dyDescent="0.3">
      <c r="E2593" s="6"/>
      <c r="F2593" s="1"/>
      <c r="K2593" s="1"/>
    </row>
    <row r="2594" spans="5:11" x14ac:dyDescent="0.3">
      <c r="E2594" s="6"/>
      <c r="F2594" s="1"/>
      <c r="K2594" s="1"/>
    </row>
    <row r="2595" spans="5:11" x14ac:dyDescent="0.3">
      <c r="E2595" s="6"/>
      <c r="F2595" s="1"/>
      <c r="K2595" s="1"/>
    </row>
    <row r="2596" spans="5:11" x14ac:dyDescent="0.3">
      <c r="E2596" s="6"/>
      <c r="F2596" s="1"/>
      <c r="K2596" s="1"/>
    </row>
    <row r="2597" spans="5:11" x14ac:dyDescent="0.3">
      <c r="E2597" s="5"/>
      <c r="F2597" s="1"/>
      <c r="K2597" s="1"/>
    </row>
    <row r="2598" spans="5:11" x14ac:dyDescent="0.3">
      <c r="E2598" s="5"/>
      <c r="F2598" s="1"/>
      <c r="K2598" s="1"/>
    </row>
    <row r="2599" spans="5:11" x14ac:dyDescent="0.3">
      <c r="E2599" s="6"/>
      <c r="F2599" s="1"/>
      <c r="K2599" s="1"/>
    </row>
    <row r="2600" spans="5:11" x14ac:dyDescent="0.3">
      <c r="E2600" s="6"/>
      <c r="F2600" s="1"/>
      <c r="K2600" s="1"/>
    </row>
    <row r="2601" spans="5:11" x14ac:dyDescent="0.3">
      <c r="E2601" s="6"/>
      <c r="F2601" s="1"/>
      <c r="K2601" s="1"/>
    </row>
    <row r="2602" spans="5:11" x14ac:dyDescent="0.3">
      <c r="E2602" s="6"/>
      <c r="F2602" s="1"/>
      <c r="K2602" s="1"/>
    </row>
    <row r="2603" spans="5:11" x14ac:dyDescent="0.3">
      <c r="E2603" s="6"/>
      <c r="F2603" s="1"/>
      <c r="K2603" s="1"/>
    </row>
    <row r="2604" spans="5:11" x14ac:dyDescent="0.3">
      <c r="E2604" s="6"/>
      <c r="F2604" s="1"/>
      <c r="K2604" s="1"/>
    </row>
    <row r="2605" spans="5:11" x14ac:dyDescent="0.3">
      <c r="E2605" s="6"/>
      <c r="F2605" s="1"/>
      <c r="K2605" s="1"/>
    </row>
    <row r="2606" spans="5:11" x14ac:dyDescent="0.3">
      <c r="E2606" s="6"/>
      <c r="F2606" s="1"/>
      <c r="K2606" s="1"/>
    </row>
    <row r="2607" spans="5:11" x14ac:dyDescent="0.3">
      <c r="E2607" s="6"/>
      <c r="F2607" s="1"/>
      <c r="K2607" s="1"/>
    </row>
    <row r="2608" spans="5:11" x14ac:dyDescent="0.3">
      <c r="E2608" s="6"/>
      <c r="F2608" s="1"/>
      <c r="K2608" s="1"/>
    </row>
    <row r="2609" spans="5:11" x14ac:dyDescent="0.3">
      <c r="E2609" s="6"/>
      <c r="F2609" s="1"/>
      <c r="K2609" s="1"/>
    </row>
    <row r="2610" spans="5:11" x14ac:dyDescent="0.3">
      <c r="E2610" s="6"/>
      <c r="F2610" s="1"/>
      <c r="K2610" s="1"/>
    </row>
    <row r="2611" spans="5:11" x14ac:dyDescent="0.3">
      <c r="E2611" s="6"/>
      <c r="F2611" s="1"/>
      <c r="K2611" s="1"/>
    </row>
    <row r="2612" spans="5:11" x14ac:dyDescent="0.3">
      <c r="E2612" s="6"/>
      <c r="F2612" s="1"/>
      <c r="K2612" s="1"/>
    </row>
    <row r="2613" spans="5:11" x14ac:dyDescent="0.3">
      <c r="E2613" s="6"/>
      <c r="F2613" s="1"/>
      <c r="K2613" s="1"/>
    </row>
    <row r="2614" spans="5:11" x14ac:dyDescent="0.3">
      <c r="E2614" s="6"/>
      <c r="F2614" s="1"/>
      <c r="K2614" s="1"/>
    </row>
    <row r="2615" spans="5:11" x14ac:dyDescent="0.3">
      <c r="E2615" s="6"/>
      <c r="F2615" s="1"/>
      <c r="K2615" s="1"/>
    </row>
    <row r="2616" spans="5:11" x14ac:dyDescent="0.3">
      <c r="E2616" s="6"/>
      <c r="F2616" s="1"/>
      <c r="K2616" s="1"/>
    </row>
    <row r="2617" spans="5:11" x14ac:dyDescent="0.3">
      <c r="E2617" s="6"/>
      <c r="F2617" s="1"/>
      <c r="K2617" s="1"/>
    </row>
    <row r="2618" spans="5:11" x14ac:dyDescent="0.3">
      <c r="E2618" s="6"/>
      <c r="F2618" s="1"/>
      <c r="K2618" s="1"/>
    </row>
    <row r="2619" spans="5:11" x14ac:dyDescent="0.3">
      <c r="E2619" s="6"/>
      <c r="F2619" s="1"/>
      <c r="K2619" s="1"/>
    </row>
    <row r="2620" spans="5:11" x14ac:dyDescent="0.3">
      <c r="E2620" s="6"/>
      <c r="F2620" s="1"/>
      <c r="K2620" s="1"/>
    </row>
    <row r="2621" spans="5:11" x14ac:dyDescent="0.3">
      <c r="E2621" s="6"/>
      <c r="F2621" s="1"/>
      <c r="K2621" s="1"/>
    </row>
    <row r="2622" spans="5:11" x14ac:dyDescent="0.3">
      <c r="E2622" s="6"/>
      <c r="F2622" s="1"/>
      <c r="K2622" s="1"/>
    </row>
    <row r="2623" spans="5:11" x14ac:dyDescent="0.3">
      <c r="E2623" s="6"/>
      <c r="F2623" s="1"/>
      <c r="K2623" s="1"/>
    </row>
    <row r="2624" spans="5:11" x14ac:dyDescent="0.3">
      <c r="E2624" s="6"/>
      <c r="F2624" s="1"/>
      <c r="K2624" s="1"/>
    </row>
    <row r="2625" spans="5:11" x14ac:dyDescent="0.3">
      <c r="E2625" s="6"/>
      <c r="F2625" s="1"/>
      <c r="K2625" s="1"/>
    </row>
    <row r="2626" spans="5:11" x14ac:dyDescent="0.3">
      <c r="E2626" s="6"/>
      <c r="F2626" s="1"/>
      <c r="K2626" s="1"/>
    </row>
    <row r="2627" spans="5:11" x14ac:dyDescent="0.3">
      <c r="E2627" s="6"/>
      <c r="F2627" s="1"/>
      <c r="K2627" s="1"/>
    </row>
    <row r="2628" spans="5:11" x14ac:dyDescent="0.3">
      <c r="E2628" s="6"/>
      <c r="F2628" s="1"/>
      <c r="K2628" s="1"/>
    </row>
    <row r="2629" spans="5:11" x14ac:dyDescent="0.3">
      <c r="E2629" s="5"/>
      <c r="F2629" s="1"/>
      <c r="K2629" s="1"/>
    </row>
    <row r="2630" spans="5:11" x14ac:dyDescent="0.3">
      <c r="E2630" s="5"/>
      <c r="F2630" s="1"/>
      <c r="K2630" s="1"/>
    </row>
    <row r="2631" spans="5:11" x14ac:dyDescent="0.3">
      <c r="E2631" s="5"/>
      <c r="F2631" s="1"/>
      <c r="K2631" s="1"/>
    </row>
    <row r="2632" spans="5:11" x14ac:dyDescent="0.3">
      <c r="E2632" s="5"/>
      <c r="F2632" s="1"/>
      <c r="K2632" s="1"/>
    </row>
    <row r="2633" spans="5:11" x14ac:dyDescent="0.3">
      <c r="E2633" s="6"/>
      <c r="F2633" s="1"/>
      <c r="K2633" s="1"/>
    </row>
    <row r="2634" spans="5:11" x14ac:dyDescent="0.3">
      <c r="E2634" s="6"/>
      <c r="F2634" s="1"/>
      <c r="K2634" s="1"/>
    </row>
    <row r="2635" spans="5:11" x14ac:dyDescent="0.3">
      <c r="E2635" s="6"/>
      <c r="F2635" s="1"/>
      <c r="K2635" s="1"/>
    </row>
    <row r="2636" spans="5:11" x14ac:dyDescent="0.3">
      <c r="E2636" s="6"/>
      <c r="F2636" s="1"/>
      <c r="K2636" s="1"/>
    </row>
    <row r="2637" spans="5:11" x14ac:dyDescent="0.3">
      <c r="E2637" s="6"/>
      <c r="F2637" s="1"/>
      <c r="K2637" s="1"/>
    </row>
    <row r="2638" spans="5:11" x14ac:dyDescent="0.3">
      <c r="E2638" s="6"/>
      <c r="F2638" s="1"/>
      <c r="K2638" s="1"/>
    </row>
    <row r="2639" spans="5:11" x14ac:dyDescent="0.3">
      <c r="E2639" s="6"/>
      <c r="F2639" s="1"/>
      <c r="K2639" s="1"/>
    </row>
    <row r="2640" spans="5:11" x14ac:dyDescent="0.3">
      <c r="E2640" s="6"/>
      <c r="F2640" s="1"/>
      <c r="K2640" s="1"/>
    </row>
    <row r="2641" spans="5:11" x14ac:dyDescent="0.3">
      <c r="E2641" s="6"/>
      <c r="F2641" s="1"/>
      <c r="K2641" s="1"/>
    </row>
    <row r="2642" spans="5:11" x14ac:dyDescent="0.3">
      <c r="E2642" s="6"/>
      <c r="F2642" s="1"/>
      <c r="K2642" s="1"/>
    </row>
    <row r="2643" spans="5:11" x14ac:dyDescent="0.3">
      <c r="E2643" s="6"/>
      <c r="F2643" s="1"/>
      <c r="K2643" s="1"/>
    </row>
    <row r="2644" spans="5:11" x14ac:dyDescent="0.3">
      <c r="E2644" s="6"/>
      <c r="F2644" s="1"/>
      <c r="K2644" s="1"/>
    </row>
    <row r="2645" spans="5:11" x14ac:dyDescent="0.3">
      <c r="E2645" s="6"/>
      <c r="F2645" s="1"/>
      <c r="K2645" s="1"/>
    </row>
    <row r="2646" spans="5:11" x14ac:dyDescent="0.3">
      <c r="E2646" s="6"/>
      <c r="F2646" s="1"/>
      <c r="K2646" s="1"/>
    </row>
    <row r="2647" spans="5:11" x14ac:dyDescent="0.3">
      <c r="E2647" s="6"/>
      <c r="F2647" s="1"/>
      <c r="K2647" s="1"/>
    </row>
    <row r="2648" spans="5:11" x14ac:dyDescent="0.3">
      <c r="E2648" s="6"/>
      <c r="F2648" s="1"/>
      <c r="K2648" s="1"/>
    </row>
    <row r="2649" spans="5:11" x14ac:dyDescent="0.3">
      <c r="E2649" s="6"/>
      <c r="F2649" s="1"/>
      <c r="K2649" s="1"/>
    </row>
    <row r="2650" spans="5:11" x14ac:dyDescent="0.3">
      <c r="E2650" s="6"/>
      <c r="F2650" s="1"/>
      <c r="K2650" s="1"/>
    </row>
    <row r="2651" spans="5:11" x14ac:dyDescent="0.3">
      <c r="E2651" s="6"/>
      <c r="F2651" s="1"/>
      <c r="K2651" s="1"/>
    </row>
    <row r="2652" spans="5:11" x14ac:dyDescent="0.3">
      <c r="E2652" s="6"/>
      <c r="F2652" s="1"/>
      <c r="K2652" s="1"/>
    </row>
    <row r="2653" spans="5:11" x14ac:dyDescent="0.3">
      <c r="E2653" s="6"/>
      <c r="F2653" s="1"/>
      <c r="K2653" s="1"/>
    </row>
    <row r="2654" spans="5:11" x14ac:dyDescent="0.3">
      <c r="E2654" s="6"/>
      <c r="F2654" s="1"/>
      <c r="K2654" s="1"/>
    </row>
    <row r="2655" spans="5:11" x14ac:dyDescent="0.3">
      <c r="E2655" s="6"/>
      <c r="F2655" s="1"/>
      <c r="K2655" s="1"/>
    </row>
    <row r="2656" spans="5:11" x14ac:dyDescent="0.3">
      <c r="E2656" s="6"/>
      <c r="F2656" s="1"/>
      <c r="K2656" s="1"/>
    </row>
    <row r="2657" spans="5:11" x14ac:dyDescent="0.3">
      <c r="E2657" s="6"/>
      <c r="F2657" s="1"/>
      <c r="K2657" s="1"/>
    </row>
    <row r="2658" spans="5:11" x14ac:dyDescent="0.3">
      <c r="E2658" s="6"/>
      <c r="F2658" s="1"/>
      <c r="K2658" s="1"/>
    </row>
    <row r="2659" spans="5:11" x14ac:dyDescent="0.3">
      <c r="E2659" s="6"/>
      <c r="F2659" s="1"/>
      <c r="K2659" s="1"/>
    </row>
    <row r="2660" spans="5:11" x14ac:dyDescent="0.3">
      <c r="E2660" s="6"/>
      <c r="F2660" s="1"/>
      <c r="K2660" s="1"/>
    </row>
    <row r="2661" spans="5:11" x14ac:dyDescent="0.3">
      <c r="E2661" s="6"/>
      <c r="F2661" s="1"/>
      <c r="K2661" s="1"/>
    </row>
    <row r="2662" spans="5:11" x14ac:dyDescent="0.3">
      <c r="E2662" s="6"/>
      <c r="F2662" s="1"/>
      <c r="K2662" s="1"/>
    </row>
    <row r="2663" spans="5:11" x14ac:dyDescent="0.3">
      <c r="E2663" s="6"/>
      <c r="F2663" s="1"/>
      <c r="K2663" s="1"/>
    </row>
    <row r="2664" spans="5:11" x14ac:dyDescent="0.3">
      <c r="E2664" s="6"/>
      <c r="F2664" s="1"/>
      <c r="K2664" s="1"/>
    </row>
    <row r="2665" spans="5:11" x14ac:dyDescent="0.3">
      <c r="E2665" s="6"/>
      <c r="F2665" s="1"/>
      <c r="K2665" s="1"/>
    </row>
    <row r="2666" spans="5:11" x14ac:dyDescent="0.3">
      <c r="E2666" s="6"/>
      <c r="F2666" s="1"/>
      <c r="K2666" s="1"/>
    </row>
    <row r="2667" spans="5:11" x14ac:dyDescent="0.3">
      <c r="E2667" s="6"/>
      <c r="F2667" s="1"/>
      <c r="K2667" s="1"/>
    </row>
    <row r="2668" spans="5:11" x14ac:dyDescent="0.3">
      <c r="E2668" s="6"/>
      <c r="F2668" s="1"/>
      <c r="K2668" s="1"/>
    </row>
    <row r="2669" spans="5:11" x14ac:dyDescent="0.3">
      <c r="E2669" s="6"/>
      <c r="F2669" s="1"/>
      <c r="K2669" s="1"/>
    </row>
    <row r="2670" spans="5:11" x14ac:dyDescent="0.3">
      <c r="E2670" s="6"/>
      <c r="F2670" s="1"/>
      <c r="K2670" s="1"/>
    </row>
    <row r="2671" spans="5:11" x14ac:dyDescent="0.3">
      <c r="E2671" s="6"/>
      <c r="F2671" s="1"/>
      <c r="K2671" s="1"/>
    </row>
    <row r="2672" spans="5:11" x14ac:dyDescent="0.3">
      <c r="E2672" s="5"/>
      <c r="F2672" s="1"/>
      <c r="K2672" s="1"/>
    </row>
    <row r="2673" spans="5:11" x14ac:dyDescent="0.3">
      <c r="E2673" s="5"/>
      <c r="F2673" s="1"/>
      <c r="K2673" s="1"/>
    </row>
    <row r="2674" spans="5:11" x14ac:dyDescent="0.3">
      <c r="E2674" s="6"/>
      <c r="F2674" s="1"/>
      <c r="K2674" s="1"/>
    </row>
    <row r="2675" spans="5:11" x14ac:dyDescent="0.3">
      <c r="E2675" s="6"/>
      <c r="F2675" s="1"/>
      <c r="K2675" s="1"/>
    </row>
    <row r="2676" spans="5:11" x14ac:dyDescent="0.3">
      <c r="E2676" s="6"/>
      <c r="F2676" s="1"/>
      <c r="K2676" s="1"/>
    </row>
    <row r="2677" spans="5:11" x14ac:dyDescent="0.3">
      <c r="E2677" s="6"/>
      <c r="F2677" s="1"/>
      <c r="K2677" s="1"/>
    </row>
    <row r="2678" spans="5:11" x14ac:dyDescent="0.3">
      <c r="E2678" s="6"/>
      <c r="F2678" s="1"/>
      <c r="K2678" s="1"/>
    </row>
    <row r="2679" spans="5:11" x14ac:dyDescent="0.3">
      <c r="E2679" s="6"/>
      <c r="F2679" s="1"/>
      <c r="K2679" s="1"/>
    </row>
    <row r="2680" spans="5:11" x14ac:dyDescent="0.3">
      <c r="E2680" s="6"/>
      <c r="F2680" s="1"/>
      <c r="K2680" s="1"/>
    </row>
    <row r="2681" spans="5:11" x14ac:dyDescent="0.3">
      <c r="E2681" s="6"/>
      <c r="F2681" s="1"/>
      <c r="K2681" s="1"/>
    </row>
    <row r="2682" spans="5:11" x14ac:dyDescent="0.3">
      <c r="E2682" s="6"/>
      <c r="F2682" s="1"/>
      <c r="K2682" s="1"/>
    </row>
    <row r="2683" spans="5:11" x14ac:dyDescent="0.3">
      <c r="E2683" s="6"/>
      <c r="F2683" s="1"/>
      <c r="K2683" s="1"/>
    </row>
    <row r="2684" spans="5:11" x14ac:dyDescent="0.3">
      <c r="E2684" s="6"/>
      <c r="F2684" s="1"/>
      <c r="K2684" s="1"/>
    </row>
    <row r="2685" spans="5:11" x14ac:dyDescent="0.3">
      <c r="E2685" s="6"/>
      <c r="F2685" s="1"/>
      <c r="K2685" s="1"/>
    </row>
    <row r="2686" spans="5:11" x14ac:dyDescent="0.3">
      <c r="E2686" s="6"/>
      <c r="F2686" s="1"/>
      <c r="K2686" s="1"/>
    </row>
    <row r="2687" spans="5:11" x14ac:dyDescent="0.3">
      <c r="E2687" s="6"/>
      <c r="F2687" s="1"/>
      <c r="K2687" s="1"/>
    </row>
    <row r="2688" spans="5:11" x14ac:dyDescent="0.3">
      <c r="E2688" s="6"/>
      <c r="F2688" s="1"/>
      <c r="K2688" s="1"/>
    </row>
    <row r="2689" spans="5:11" x14ac:dyDescent="0.3">
      <c r="E2689" s="6"/>
      <c r="F2689" s="1"/>
      <c r="K2689" s="1"/>
    </row>
    <row r="2690" spans="5:11" x14ac:dyDescent="0.3">
      <c r="E2690" s="6"/>
      <c r="F2690" s="1"/>
      <c r="K2690" s="1"/>
    </row>
    <row r="2691" spans="5:11" x14ac:dyDescent="0.3">
      <c r="E2691" s="6"/>
      <c r="F2691" s="1"/>
      <c r="K2691" s="1"/>
    </row>
    <row r="2692" spans="5:11" x14ac:dyDescent="0.3">
      <c r="E2692" s="6"/>
      <c r="F2692" s="1"/>
      <c r="K2692" s="1"/>
    </row>
    <row r="2693" spans="5:11" x14ac:dyDescent="0.3">
      <c r="E2693" s="6"/>
      <c r="F2693" s="1"/>
      <c r="K2693" s="1"/>
    </row>
    <row r="2694" spans="5:11" x14ac:dyDescent="0.3">
      <c r="E2694" s="6"/>
      <c r="F2694" s="1"/>
      <c r="K2694" s="1"/>
    </row>
    <row r="2695" spans="5:11" x14ac:dyDescent="0.3">
      <c r="E2695" s="6"/>
      <c r="F2695" s="1"/>
      <c r="K2695" s="1"/>
    </row>
    <row r="2696" spans="5:11" x14ac:dyDescent="0.3">
      <c r="E2696" s="6"/>
      <c r="F2696" s="1"/>
      <c r="K2696" s="1"/>
    </row>
    <row r="2697" spans="5:11" x14ac:dyDescent="0.3">
      <c r="E2697" s="6"/>
      <c r="F2697" s="1"/>
      <c r="K2697" s="1"/>
    </row>
    <row r="2698" spans="5:11" x14ac:dyDescent="0.3">
      <c r="E2698" s="6"/>
      <c r="F2698" s="1"/>
      <c r="K2698" s="1"/>
    </row>
    <row r="2699" spans="5:11" x14ac:dyDescent="0.3">
      <c r="E2699" s="6"/>
      <c r="F2699" s="1"/>
      <c r="K2699" s="1"/>
    </row>
    <row r="2700" spans="5:11" x14ac:dyDescent="0.3">
      <c r="E2700" s="6"/>
      <c r="F2700" s="1"/>
      <c r="K2700" s="1"/>
    </row>
    <row r="2701" spans="5:11" x14ac:dyDescent="0.3">
      <c r="E2701" s="6"/>
      <c r="F2701" s="1"/>
      <c r="K2701" s="1"/>
    </row>
    <row r="2702" spans="5:11" x14ac:dyDescent="0.3">
      <c r="E2702" s="6"/>
      <c r="F2702" s="1"/>
      <c r="K2702" s="1"/>
    </row>
    <row r="2703" spans="5:11" x14ac:dyDescent="0.3">
      <c r="E2703" s="6"/>
      <c r="F2703" s="1"/>
      <c r="K2703" s="1"/>
    </row>
    <row r="2704" spans="5:11" x14ac:dyDescent="0.3">
      <c r="E2704" s="6"/>
      <c r="F2704" s="1"/>
      <c r="K2704" s="1"/>
    </row>
    <row r="2705" spans="5:11" x14ac:dyDescent="0.3">
      <c r="E2705" s="6"/>
      <c r="F2705" s="1"/>
      <c r="K2705" s="1"/>
    </row>
    <row r="2706" spans="5:11" x14ac:dyDescent="0.3">
      <c r="E2706" s="6"/>
      <c r="F2706" s="1"/>
      <c r="K2706" s="1"/>
    </row>
    <row r="2707" spans="5:11" x14ac:dyDescent="0.3">
      <c r="E2707" s="6"/>
      <c r="F2707" s="1"/>
      <c r="K2707" s="1"/>
    </row>
    <row r="2708" spans="5:11" x14ac:dyDescent="0.3">
      <c r="E2708" s="6"/>
      <c r="F2708" s="1"/>
      <c r="K2708" s="1"/>
    </row>
    <row r="2709" spans="5:11" x14ac:dyDescent="0.3">
      <c r="E2709" s="6"/>
      <c r="F2709" s="1"/>
      <c r="K2709" s="1"/>
    </row>
    <row r="2710" spans="5:11" x14ac:dyDescent="0.3">
      <c r="E2710" s="6"/>
      <c r="F2710" s="1"/>
      <c r="K2710" s="1"/>
    </row>
    <row r="2711" spans="5:11" x14ac:dyDescent="0.3">
      <c r="E2711" s="6"/>
      <c r="F2711" s="1"/>
      <c r="K2711" s="1"/>
    </row>
    <row r="2712" spans="5:11" x14ac:dyDescent="0.3">
      <c r="E2712" s="6"/>
      <c r="F2712" s="1"/>
      <c r="K2712" s="1"/>
    </row>
    <row r="2713" spans="5:11" x14ac:dyDescent="0.3">
      <c r="E2713" s="6"/>
      <c r="F2713" s="1"/>
      <c r="K2713" s="1"/>
    </row>
    <row r="2714" spans="5:11" x14ac:dyDescent="0.3">
      <c r="E2714" s="5"/>
      <c r="F2714" s="1"/>
      <c r="K2714" s="1"/>
    </row>
    <row r="2715" spans="5:11" x14ac:dyDescent="0.3">
      <c r="E2715" s="6"/>
      <c r="F2715" s="1"/>
      <c r="K2715" s="1"/>
    </row>
    <row r="2716" spans="5:11" x14ac:dyDescent="0.3">
      <c r="E2716" s="6"/>
      <c r="F2716" s="1"/>
      <c r="K2716" s="1"/>
    </row>
    <row r="2717" spans="5:11" x14ac:dyDescent="0.3">
      <c r="E2717" s="6"/>
      <c r="F2717" s="1"/>
      <c r="K2717" s="1"/>
    </row>
    <row r="2718" spans="5:11" x14ac:dyDescent="0.3">
      <c r="E2718" s="6"/>
      <c r="F2718" s="1"/>
      <c r="K2718" s="1"/>
    </row>
    <row r="2719" spans="5:11" x14ac:dyDescent="0.3">
      <c r="E2719" s="6"/>
      <c r="F2719" s="1"/>
      <c r="K2719" s="1"/>
    </row>
    <row r="2720" spans="5:11" x14ac:dyDescent="0.3">
      <c r="E2720" s="6"/>
      <c r="F2720" s="1"/>
      <c r="K2720" s="1"/>
    </row>
    <row r="2721" spans="5:11" x14ac:dyDescent="0.3">
      <c r="E2721" s="6"/>
      <c r="F2721" s="1"/>
      <c r="K2721" s="1"/>
    </row>
    <row r="2722" spans="5:11" x14ac:dyDescent="0.3">
      <c r="E2722" s="6"/>
      <c r="F2722" s="1"/>
      <c r="K2722" s="1"/>
    </row>
    <row r="2723" spans="5:11" x14ac:dyDescent="0.3">
      <c r="E2723" s="6"/>
      <c r="F2723" s="1"/>
      <c r="K2723" s="1"/>
    </row>
    <row r="2724" spans="5:11" x14ac:dyDescent="0.3">
      <c r="E2724" s="6"/>
      <c r="F2724" s="1"/>
      <c r="K2724" s="1"/>
    </row>
    <row r="2725" spans="5:11" x14ac:dyDescent="0.3">
      <c r="E2725" s="6"/>
      <c r="F2725" s="1"/>
      <c r="K2725" s="1"/>
    </row>
    <row r="2726" spans="5:11" x14ac:dyDescent="0.3">
      <c r="E2726" s="6"/>
      <c r="F2726" s="1"/>
      <c r="K2726" s="1"/>
    </row>
    <row r="2727" spans="5:11" x14ac:dyDescent="0.3">
      <c r="E2727" s="6"/>
      <c r="F2727" s="1"/>
      <c r="K2727" s="1"/>
    </row>
    <row r="2728" spans="5:11" x14ac:dyDescent="0.3">
      <c r="E2728" s="6"/>
      <c r="F2728" s="1"/>
      <c r="K2728" s="1"/>
    </row>
    <row r="2729" spans="5:11" x14ac:dyDescent="0.3">
      <c r="E2729" s="6"/>
      <c r="F2729" s="1"/>
      <c r="K2729" s="1"/>
    </row>
    <row r="2730" spans="5:11" x14ac:dyDescent="0.3">
      <c r="E2730" s="6"/>
      <c r="F2730" s="1"/>
      <c r="K2730" s="1"/>
    </row>
    <row r="2731" spans="5:11" x14ac:dyDescent="0.3">
      <c r="E2731" s="6"/>
      <c r="F2731" s="1"/>
      <c r="K2731" s="1"/>
    </row>
    <row r="2732" spans="5:11" x14ac:dyDescent="0.3">
      <c r="E2732" s="6"/>
      <c r="F2732" s="1"/>
      <c r="K2732" s="1"/>
    </row>
    <row r="2733" spans="5:11" x14ac:dyDescent="0.3">
      <c r="E2733" s="6"/>
      <c r="F2733" s="1"/>
      <c r="K2733" s="1"/>
    </row>
    <row r="2734" spans="5:11" x14ac:dyDescent="0.3">
      <c r="E2734" s="6"/>
      <c r="F2734" s="1"/>
      <c r="K2734" s="1"/>
    </row>
    <row r="2735" spans="5:11" x14ac:dyDescent="0.3">
      <c r="E2735" s="6"/>
      <c r="F2735" s="1"/>
      <c r="K2735" s="1"/>
    </row>
    <row r="2736" spans="5:11" x14ac:dyDescent="0.3">
      <c r="E2736" s="6"/>
      <c r="F2736" s="1"/>
      <c r="K2736" s="1"/>
    </row>
    <row r="2737" spans="5:11" x14ac:dyDescent="0.3">
      <c r="E2737" s="6"/>
      <c r="F2737" s="1"/>
      <c r="K2737" s="1"/>
    </row>
    <row r="2738" spans="5:11" x14ac:dyDescent="0.3">
      <c r="E2738" s="6"/>
      <c r="F2738" s="1"/>
      <c r="K2738" s="1"/>
    </row>
    <row r="2739" spans="5:11" x14ac:dyDescent="0.3">
      <c r="E2739" s="6"/>
      <c r="F2739" s="1"/>
      <c r="K2739" s="1"/>
    </row>
    <row r="2740" spans="5:11" x14ac:dyDescent="0.3">
      <c r="E2740" s="6"/>
      <c r="F2740" s="1"/>
      <c r="K2740" s="1"/>
    </row>
    <row r="2741" spans="5:11" x14ac:dyDescent="0.3">
      <c r="E2741" s="6"/>
      <c r="F2741" s="1"/>
      <c r="K2741" s="1"/>
    </row>
    <row r="2742" spans="5:11" x14ac:dyDescent="0.3">
      <c r="E2742" s="6"/>
      <c r="F2742" s="1"/>
      <c r="K2742" s="1"/>
    </row>
    <row r="2743" spans="5:11" x14ac:dyDescent="0.3">
      <c r="E2743" s="5"/>
      <c r="F2743" s="1"/>
      <c r="K2743" s="1"/>
    </row>
    <row r="2744" spans="5:11" x14ac:dyDescent="0.3">
      <c r="E2744" s="6"/>
      <c r="F2744" s="1"/>
      <c r="K2744" s="1"/>
    </row>
    <row r="2745" spans="5:11" x14ac:dyDescent="0.3">
      <c r="E2745" s="6"/>
      <c r="F2745" s="1"/>
      <c r="K2745" s="1"/>
    </row>
    <row r="2746" spans="5:11" x14ac:dyDescent="0.3">
      <c r="E2746" s="6"/>
      <c r="F2746" s="1"/>
      <c r="K2746" s="1"/>
    </row>
    <row r="2747" spans="5:11" x14ac:dyDescent="0.3">
      <c r="E2747" s="6"/>
      <c r="F2747" s="1"/>
      <c r="K2747" s="1"/>
    </row>
    <row r="2748" spans="5:11" x14ac:dyDescent="0.3">
      <c r="E2748" s="6"/>
      <c r="F2748" s="1"/>
      <c r="K2748" s="1"/>
    </row>
    <row r="2749" spans="5:11" x14ac:dyDescent="0.3">
      <c r="E2749" s="6"/>
      <c r="F2749" s="1"/>
      <c r="K2749" s="1"/>
    </row>
    <row r="2750" spans="5:11" x14ac:dyDescent="0.3">
      <c r="E2750" s="6"/>
      <c r="F2750" s="1"/>
      <c r="K2750" s="1"/>
    </row>
    <row r="2751" spans="5:11" x14ac:dyDescent="0.3">
      <c r="E2751" s="6"/>
      <c r="F2751" s="1"/>
      <c r="K2751" s="1"/>
    </row>
    <row r="2752" spans="5:11" x14ac:dyDescent="0.3">
      <c r="E2752" s="6"/>
      <c r="F2752" s="1"/>
      <c r="K2752" s="1"/>
    </row>
    <row r="2753" spans="5:11" x14ac:dyDescent="0.3">
      <c r="E2753" s="6"/>
      <c r="F2753" s="1"/>
      <c r="K2753" s="1"/>
    </row>
    <row r="2754" spans="5:11" x14ac:dyDescent="0.3">
      <c r="E2754" s="6"/>
      <c r="F2754" s="1"/>
      <c r="K2754" s="1"/>
    </row>
    <row r="2755" spans="5:11" x14ac:dyDescent="0.3">
      <c r="E2755" s="6"/>
      <c r="F2755" s="1"/>
      <c r="K2755" s="1"/>
    </row>
    <row r="2756" spans="5:11" x14ac:dyDescent="0.3">
      <c r="E2756" s="6"/>
      <c r="F2756" s="1"/>
      <c r="K2756" s="1"/>
    </row>
    <row r="2757" spans="5:11" x14ac:dyDescent="0.3">
      <c r="E2757" s="6"/>
      <c r="F2757" s="1"/>
      <c r="K2757" s="1"/>
    </row>
    <row r="2758" spans="5:11" x14ac:dyDescent="0.3">
      <c r="E2758" s="5"/>
      <c r="F2758" s="1"/>
      <c r="K2758" s="1"/>
    </row>
    <row r="2759" spans="5:11" x14ac:dyDescent="0.3">
      <c r="E2759" s="6"/>
      <c r="F2759" s="1"/>
      <c r="K2759" s="1"/>
    </row>
    <row r="2760" spans="5:11" x14ac:dyDescent="0.3">
      <c r="E2760" s="6"/>
      <c r="F2760" s="1"/>
      <c r="K2760" s="1"/>
    </row>
    <row r="2761" spans="5:11" x14ac:dyDescent="0.3">
      <c r="E2761" s="6"/>
      <c r="F2761" s="1"/>
      <c r="K2761" s="1"/>
    </row>
    <row r="2762" spans="5:11" x14ac:dyDescent="0.3">
      <c r="E2762" s="6"/>
      <c r="F2762" s="1"/>
      <c r="K2762" s="1"/>
    </row>
    <row r="2763" spans="5:11" x14ac:dyDescent="0.3">
      <c r="E2763" s="6"/>
      <c r="F2763" s="1"/>
      <c r="K2763" s="1"/>
    </row>
    <row r="2764" spans="5:11" x14ac:dyDescent="0.3">
      <c r="E2764" s="6"/>
      <c r="F2764" s="1"/>
      <c r="K2764" s="1"/>
    </row>
    <row r="2765" spans="5:11" x14ac:dyDescent="0.3">
      <c r="E2765" s="6"/>
      <c r="F2765" s="1"/>
      <c r="K2765" s="1"/>
    </row>
    <row r="2766" spans="5:11" x14ac:dyDescent="0.3">
      <c r="E2766" s="6"/>
      <c r="F2766" s="1"/>
      <c r="K2766" s="1"/>
    </row>
    <row r="2767" spans="5:11" x14ac:dyDescent="0.3">
      <c r="E2767" s="6"/>
      <c r="F2767" s="1"/>
      <c r="K2767" s="1"/>
    </row>
    <row r="2768" spans="5:11" x14ac:dyDescent="0.3">
      <c r="E2768" s="6"/>
      <c r="F2768" s="1"/>
      <c r="K2768" s="1"/>
    </row>
    <row r="2769" spans="5:11" x14ac:dyDescent="0.3">
      <c r="E2769" s="6"/>
      <c r="F2769" s="1"/>
      <c r="K2769" s="1"/>
    </row>
    <row r="2770" spans="5:11" x14ac:dyDescent="0.3">
      <c r="E2770" s="6"/>
      <c r="F2770" s="1"/>
      <c r="K2770" s="1"/>
    </row>
    <row r="2771" spans="5:11" x14ac:dyDescent="0.3">
      <c r="E2771" s="6"/>
      <c r="F2771" s="1"/>
      <c r="K2771" s="1"/>
    </row>
    <row r="2772" spans="5:11" x14ac:dyDescent="0.3">
      <c r="E2772" s="6"/>
      <c r="F2772" s="1"/>
      <c r="K2772" s="1"/>
    </row>
    <row r="2773" spans="5:11" x14ac:dyDescent="0.3">
      <c r="E2773" s="6"/>
      <c r="F2773" s="1"/>
      <c r="K2773" s="1"/>
    </row>
    <row r="2774" spans="5:11" x14ac:dyDescent="0.3">
      <c r="E2774" s="6"/>
      <c r="F2774" s="1"/>
      <c r="K2774" s="1"/>
    </row>
    <row r="2775" spans="5:11" x14ac:dyDescent="0.3">
      <c r="E2775" s="6"/>
      <c r="F2775" s="1"/>
      <c r="K2775" s="1"/>
    </row>
    <row r="2776" spans="5:11" x14ac:dyDescent="0.3">
      <c r="E2776" s="6"/>
      <c r="F2776" s="1"/>
      <c r="K2776" s="1"/>
    </row>
    <row r="2777" spans="5:11" x14ac:dyDescent="0.3">
      <c r="E2777" s="6"/>
      <c r="F2777" s="1"/>
      <c r="K2777" s="1"/>
    </row>
    <row r="2778" spans="5:11" x14ac:dyDescent="0.3">
      <c r="E2778" s="6"/>
      <c r="F2778" s="1"/>
      <c r="K2778" s="1"/>
    </row>
    <row r="2779" spans="5:11" x14ac:dyDescent="0.3">
      <c r="E2779" s="6"/>
      <c r="F2779" s="1"/>
      <c r="K2779" s="1"/>
    </row>
    <row r="2780" spans="5:11" x14ac:dyDescent="0.3">
      <c r="E2780" s="6"/>
      <c r="F2780" s="1"/>
      <c r="K2780" s="1"/>
    </row>
    <row r="2781" spans="5:11" x14ac:dyDescent="0.3">
      <c r="E2781" s="6"/>
      <c r="F2781" s="1"/>
      <c r="K2781" s="1"/>
    </row>
    <row r="2782" spans="5:11" x14ac:dyDescent="0.3">
      <c r="E2782" s="6"/>
      <c r="F2782" s="1"/>
      <c r="K2782" s="1"/>
    </row>
    <row r="2783" spans="5:11" x14ac:dyDescent="0.3">
      <c r="E2783" s="6"/>
      <c r="F2783" s="1"/>
      <c r="K2783" s="1"/>
    </row>
    <row r="2784" spans="5:11" x14ac:dyDescent="0.3">
      <c r="E2784" s="6"/>
      <c r="F2784" s="1"/>
      <c r="K2784" s="1"/>
    </row>
    <row r="2785" spans="5:11" x14ac:dyDescent="0.3">
      <c r="E2785" s="6"/>
      <c r="F2785" s="1"/>
      <c r="K2785" s="1"/>
    </row>
    <row r="2786" spans="5:11" x14ac:dyDescent="0.3">
      <c r="E2786" s="6"/>
      <c r="F2786" s="1"/>
      <c r="K2786" s="1"/>
    </row>
    <row r="2787" spans="5:11" x14ac:dyDescent="0.3">
      <c r="E2787" s="6"/>
      <c r="F2787" s="1"/>
      <c r="K2787" s="1"/>
    </row>
    <row r="2788" spans="5:11" x14ac:dyDescent="0.3">
      <c r="E2788" s="6"/>
      <c r="F2788" s="1"/>
      <c r="K2788" s="1"/>
    </row>
    <row r="2789" spans="5:11" x14ac:dyDescent="0.3">
      <c r="E2789" s="6"/>
      <c r="F2789" s="1"/>
      <c r="K2789" s="1"/>
    </row>
    <row r="2790" spans="5:11" x14ac:dyDescent="0.3">
      <c r="E2790" s="6"/>
      <c r="F2790" s="1"/>
      <c r="K2790" s="1"/>
    </row>
    <row r="2791" spans="5:11" x14ac:dyDescent="0.3">
      <c r="E2791" s="6"/>
      <c r="F2791" s="1"/>
      <c r="K2791" s="1"/>
    </row>
    <row r="2792" spans="5:11" x14ac:dyDescent="0.3">
      <c r="E2792" s="6"/>
      <c r="F2792" s="1"/>
      <c r="K2792" s="1"/>
    </row>
    <row r="2793" spans="5:11" x14ac:dyDescent="0.3">
      <c r="E2793" s="6"/>
      <c r="F2793" s="1"/>
      <c r="K2793" s="1"/>
    </row>
    <row r="2794" spans="5:11" x14ac:dyDescent="0.3">
      <c r="E2794" s="6"/>
      <c r="F2794" s="1"/>
      <c r="K2794" s="1"/>
    </row>
    <row r="2795" spans="5:11" x14ac:dyDescent="0.3">
      <c r="E2795" s="6"/>
      <c r="F2795" s="1"/>
      <c r="K2795" s="1"/>
    </row>
    <row r="2796" spans="5:11" x14ac:dyDescent="0.3">
      <c r="E2796" s="6"/>
      <c r="F2796" s="1"/>
      <c r="K2796" s="1"/>
    </row>
    <row r="2797" spans="5:11" x14ac:dyDescent="0.3">
      <c r="E2797" s="6"/>
      <c r="F2797" s="1"/>
      <c r="K2797" s="1"/>
    </row>
    <row r="2798" spans="5:11" x14ac:dyDescent="0.3">
      <c r="E2798" s="6"/>
      <c r="F2798" s="1"/>
      <c r="K2798" s="1"/>
    </row>
    <row r="2799" spans="5:11" x14ac:dyDescent="0.3">
      <c r="E2799" s="6"/>
      <c r="F2799" s="1"/>
      <c r="K2799" s="1"/>
    </row>
    <row r="2800" spans="5:11" x14ac:dyDescent="0.3">
      <c r="E2800" s="6"/>
      <c r="F2800" s="1"/>
      <c r="K2800" s="1"/>
    </row>
    <row r="2801" spans="5:11" x14ac:dyDescent="0.3">
      <c r="E2801" s="6"/>
      <c r="F2801" s="1"/>
      <c r="K2801" s="1"/>
    </row>
    <row r="2802" spans="5:11" x14ac:dyDescent="0.3">
      <c r="E2802" s="6"/>
      <c r="F2802" s="1"/>
      <c r="K2802" s="1"/>
    </row>
    <row r="2803" spans="5:11" x14ac:dyDescent="0.3">
      <c r="E2803" s="6"/>
      <c r="F2803" s="1"/>
      <c r="K2803" s="1"/>
    </row>
    <row r="2804" spans="5:11" x14ac:dyDescent="0.3">
      <c r="E2804" s="6"/>
      <c r="F2804" s="1"/>
      <c r="K2804" s="1"/>
    </row>
    <row r="2805" spans="5:11" x14ac:dyDescent="0.3">
      <c r="E2805" s="6"/>
      <c r="F2805" s="1"/>
      <c r="K2805" s="1"/>
    </row>
    <row r="2806" spans="5:11" x14ac:dyDescent="0.3">
      <c r="E2806" s="6"/>
      <c r="F2806" s="1"/>
      <c r="K2806" s="1"/>
    </row>
    <row r="2807" spans="5:11" x14ac:dyDescent="0.3">
      <c r="E2807" s="6"/>
      <c r="F2807" s="1"/>
      <c r="K2807" s="1"/>
    </row>
    <row r="2808" spans="5:11" x14ac:dyDescent="0.3">
      <c r="E2808" s="6"/>
      <c r="F2808" s="1"/>
      <c r="K2808" s="1"/>
    </row>
    <row r="2809" spans="5:11" x14ac:dyDescent="0.3">
      <c r="E2809" s="5"/>
      <c r="F2809" s="1"/>
      <c r="K2809" s="1"/>
    </row>
    <row r="2810" spans="5:11" x14ac:dyDescent="0.3">
      <c r="E2810" s="6"/>
      <c r="F2810" s="1"/>
      <c r="K2810" s="1"/>
    </row>
    <row r="2811" spans="5:11" x14ac:dyDescent="0.3">
      <c r="E2811" s="6"/>
      <c r="F2811" s="1"/>
      <c r="K2811" s="1"/>
    </row>
    <row r="2812" spans="5:11" x14ac:dyDescent="0.3">
      <c r="E2812" s="6"/>
      <c r="F2812" s="1"/>
      <c r="K2812" s="1"/>
    </row>
    <row r="2813" spans="5:11" x14ac:dyDescent="0.3">
      <c r="E2813" s="6"/>
      <c r="F2813" s="1"/>
      <c r="K2813" s="1"/>
    </row>
    <row r="2814" spans="5:11" x14ac:dyDescent="0.3">
      <c r="E2814" s="6"/>
      <c r="F2814" s="1"/>
      <c r="K2814" s="1"/>
    </row>
    <row r="2815" spans="5:11" x14ac:dyDescent="0.3">
      <c r="E2815" s="6"/>
      <c r="F2815" s="1"/>
      <c r="K2815" s="1"/>
    </row>
    <row r="2816" spans="5:11" x14ac:dyDescent="0.3">
      <c r="E2816" s="6"/>
      <c r="F2816" s="1"/>
      <c r="K2816" s="1"/>
    </row>
    <row r="2817" spans="5:11" x14ac:dyDescent="0.3">
      <c r="E2817" s="6"/>
      <c r="F2817" s="1"/>
      <c r="K2817" s="1"/>
    </row>
    <row r="2818" spans="5:11" x14ac:dyDescent="0.3">
      <c r="E2818" s="6"/>
      <c r="F2818" s="1"/>
      <c r="K2818" s="1"/>
    </row>
    <row r="2819" spans="5:11" x14ac:dyDescent="0.3">
      <c r="E2819" s="6"/>
      <c r="F2819" s="1"/>
      <c r="K2819" s="1"/>
    </row>
    <row r="2820" spans="5:11" x14ac:dyDescent="0.3">
      <c r="E2820" s="6"/>
      <c r="F2820" s="1"/>
      <c r="K2820" s="1"/>
    </row>
    <row r="2821" spans="5:11" x14ac:dyDescent="0.3">
      <c r="E2821" s="6"/>
      <c r="F2821" s="1"/>
      <c r="K2821" s="1"/>
    </row>
    <row r="2822" spans="5:11" x14ac:dyDescent="0.3">
      <c r="E2822" s="6"/>
      <c r="F2822" s="1"/>
      <c r="K2822" s="1"/>
    </row>
    <row r="2823" spans="5:11" x14ac:dyDescent="0.3">
      <c r="E2823" s="6"/>
      <c r="F2823" s="1"/>
      <c r="K2823" s="1"/>
    </row>
    <row r="2824" spans="5:11" x14ac:dyDescent="0.3">
      <c r="E2824" s="5"/>
      <c r="F2824" s="1"/>
      <c r="K2824" s="1"/>
    </row>
    <row r="2825" spans="5:11" x14ac:dyDescent="0.3">
      <c r="E2825" s="5"/>
      <c r="F2825" s="1"/>
      <c r="K2825" s="1"/>
    </row>
    <row r="2826" spans="5:11" x14ac:dyDescent="0.3">
      <c r="E2826" s="6"/>
      <c r="F2826" s="1"/>
      <c r="K2826" s="1"/>
    </row>
    <row r="2827" spans="5:11" x14ac:dyDescent="0.3">
      <c r="E2827" s="6"/>
      <c r="F2827" s="1"/>
      <c r="K2827" s="1"/>
    </row>
    <row r="2828" spans="5:11" x14ac:dyDescent="0.3">
      <c r="E2828" s="6"/>
      <c r="F2828" s="1"/>
      <c r="K2828" s="1"/>
    </row>
    <row r="2829" spans="5:11" x14ac:dyDescent="0.3">
      <c r="E2829" s="6"/>
      <c r="F2829" s="1"/>
      <c r="K2829" s="1"/>
    </row>
    <row r="2830" spans="5:11" x14ac:dyDescent="0.3">
      <c r="E2830" s="6"/>
      <c r="F2830" s="1"/>
      <c r="K2830" s="1"/>
    </row>
    <row r="2831" spans="5:11" x14ac:dyDescent="0.3">
      <c r="E2831" s="6"/>
      <c r="F2831" s="1"/>
      <c r="K2831" s="1"/>
    </row>
    <row r="2832" spans="5:11" x14ac:dyDescent="0.3">
      <c r="E2832" s="6"/>
      <c r="F2832" s="1"/>
      <c r="K2832" s="1"/>
    </row>
    <row r="2833" spans="5:11" x14ac:dyDescent="0.3">
      <c r="E2833" s="6"/>
      <c r="F2833" s="1"/>
      <c r="K2833" s="1"/>
    </row>
    <row r="2834" spans="5:11" x14ac:dyDescent="0.3">
      <c r="E2834" s="6"/>
      <c r="F2834" s="1"/>
      <c r="K2834" s="1"/>
    </row>
    <row r="2835" spans="5:11" x14ac:dyDescent="0.3">
      <c r="E2835" s="6"/>
      <c r="F2835" s="1"/>
      <c r="K2835" s="1"/>
    </row>
    <row r="2836" spans="5:11" x14ac:dyDescent="0.3">
      <c r="E2836" s="6"/>
      <c r="F2836" s="1"/>
      <c r="K2836" s="1"/>
    </row>
    <row r="2837" spans="5:11" x14ac:dyDescent="0.3">
      <c r="E2837" s="6"/>
      <c r="F2837" s="1"/>
      <c r="K2837" s="1"/>
    </row>
    <row r="2838" spans="5:11" x14ac:dyDescent="0.3">
      <c r="E2838" s="6"/>
      <c r="F2838" s="1"/>
      <c r="K2838" s="1"/>
    </row>
    <row r="2839" spans="5:11" x14ac:dyDescent="0.3">
      <c r="E2839" s="5"/>
      <c r="F2839" s="1"/>
      <c r="K2839" s="1"/>
    </row>
    <row r="2840" spans="5:11" x14ac:dyDescent="0.3">
      <c r="E2840" s="6"/>
      <c r="F2840" s="1"/>
      <c r="K2840" s="1"/>
    </row>
    <row r="2841" spans="5:11" x14ac:dyDescent="0.3">
      <c r="E2841" s="6"/>
      <c r="F2841" s="1"/>
      <c r="K2841" s="1"/>
    </row>
    <row r="2842" spans="5:11" x14ac:dyDescent="0.3">
      <c r="E2842" s="6"/>
      <c r="F2842" s="1"/>
      <c r="K2842" s="1"/>
    </row>
    <row r="2843" spans="5:11" x14ac:dyDescent="0.3">
      <c r="E2843" s="6"/>
      <c r="F2843" s="1"/>
      <c r="K2843" s="1"/>
    </row>
    <row r="2844" spans="5:11" x14ac:dyDescent="0.3">
      <c r="E2844" s="6"/>
      <c r="F2844" s="1"/>
      <c r="K2844" s="1"/>
    </row>
    <row r="2845" spans="5:11" x14ac:dyDescent="0.3">
      <c r="E2845" s="6"/>
      <c r="F2845" s="1"/>
      <c r="K2845" s="1"/>
    </row>
    <row r="2846" spans="5:11" x14ac:dyDescent="0.3">
      <c r="E2846" s="6"/>
      <c r="F2846" s="1"/>
      <c r="K2846" s="1"/>
    </row>
    <row r="2847" spans="5:11" x14ac:dyDescent="0.3">
      <c r="E2847" s="6"/>
      <c r="F2847" s="1"/>
      <c r="K2847" s="1"/>
    </row>
    <row r="2848" spans="5:11" x14ac:dyDescent="0.3">
      <c r="E2848" s="6"/>
      <c r="F2848" s="1"/>
      <c r="K2848" s="1"/>
    </row>
    <row r="2849" spans="5:11" x14ac:dyDescent="0.3">
      <c r="E2849" s="6"/>
      <c r="F2849" s="1"/>
      <c r="K2849" s="1"/>
    </row>
    <row r="2850" spans="5:11" x14ac:dyDescent="0.3">
      <c r="E2850" s="6"/>
      <c r="F2850" s="1"/>
      <c r="K2850" s="1"/>
    </row>
    <row r="2851" spans="5:11" x14ac:dyDescent="0.3">
      <c r="E2851" s="5"/>
      <c r="F2851" s="1"/>
      <c r="K2851" s="1"/>
    </row>
    <row r="2852" spans="5:11" x14ac:dyDescent="0.3">
      <c r="E2852" s="5"/>
      <c r="F2852" s="1"/>
      <c r="K2852" s="1"/>
    </row>
    <row r="2853" spans="5:11" x14ac:dyDescent="0.3">
      <c r="E2853" s="6"/>
      <c r="F2853" s="1"/>
      <c r="K2853" s="1"/>
    </row>
    <row r="2854" spans="5:11" x14ac:dyDescent="0.3">
      <c r="E2854" s="6"/>
      <c r="F2854" s="1"/>
      <c r="K2854" s="1"/>
    </row>
    <row r="2855" spans="5:11" x14ac:dyDescent="0.3">
      <c r="E2855" s="6"/>
      <c r="F2855" s="1"/>
      <c r="K2855" s="1"/>
    </row>
    <row r="2856" spans="5:11" x14ac:dyDescent="0.3">
      <c r="E2856" s="6"/>
      <c r="F2856" s="1"/>
      <c r="K2856" s="1"/>
    </row>
    <row r="2857" spans="5:11" x14ac:dyDescent="0.3">
      <c r="E2857" s="6"/>
      <c r="F2857" s="1"/>
      <c r="K2857" s="1"/>
    </row>
    <row r="2858" spans="5:11" x14ac:dyDescent="0.3">
      <c r="E2858" s="6"/>
      <c r="F2858" s="1"/>
      <c r="K2858" s="1"/>
    </row>
    <row r="2859" spans="5:11" x14ac:dyDescent="0.3">
      <c r="E2859" s="6"/>
      <c r="F2859" s="1"/>
      <c r="K2859" s="1"/>
    </row>
    <row r="2860" spans="5:11" x14ac:dyDescent="0.3">
      <c r="E2860" s="6"/>
      <c r="F2860" s="1"/>
      <c r="K2860" s="1"/>
    </row>
    <row r="2861" spans="5:11" x14ac:dyDescent="0.3">
      <c r="E2861" s="6"/>
      <c r="F2861" s="1"/>
      <c r="K2861" s="1"/>
    </row>
    <row r="2862" spans="5:11" x14ac:dyDescent="0.3">
      <c r="E2862" s="6"/>
      <c r="F2862" s="1"/>
      <c r="K2862" s="1"/>
    </row>
    <row r="2863" spans="5:11" x14ac:dyDescent="0.3">
      <c r="E2863" s="6"/>
      <c r="F2863" s="1"/>
      <c r="K2863" s="1"/>
    </row>
    <row r="2864" spans="5:11" x14ac:dyDescent="0.3">
      <c r="E2864" s="6"/>
      <c r="F2864" s="1"/>
      <c r="K2864" s="1"/>
    </row>
    <row r="2865" spans="5:11" x14ac:dyDescent="0.3">
      <c r="E2865" s="6"/>
      <c r="F2865" s="1"/>
      <c r="K2865" s="1"/>
    </row>
    <row r="2866" spans="5:11" x14ac:dyDescent="0.3">
      <c r="E2866" s="6"/>
      <c r="F2866" s="1"/>
      <c r="K2866" s="1"/>
    </row>
    <row r="2867" spans="5:11" x14ac:dyDescent="0.3">
      <c r="E2867" s="6"/>
      <c r="F2867" s="1"/>
      <c r="K2867" s="1"/>
    </row>
    <row r="2868" spans="5:11" x14ac:dyDescent="0.3">
      <c r="E2868" s="6"/>
      <c r="F2868" s="1"/>
      <c r="K2868" s="1"/>
    </row>
    <row r="2869" spans="5:11" x14ac:dyDescent="0.3">
      <c r="E2869" s="6"/>
      <c r="F2869" s="1"/>
      <c r="K2869" s="1"/>
    </row>
    <row r="2870" spans="5:11" x14ac:dyDescent="0.3">
      <c r="E2870" s="6"/>
      <c r="F2870" s="1"/>
      <c r="K2870" s="1"/>
    </row>
    <row r="2871" spans="5:11" x14ac:dyDescent="0.3">
      <c r="E2871" s="6"/>
      <c r="F2871" s="1"/>
      <c r="K2871" s="1"/>
    </row>
    <row r="2872" spans="5:11" x14ac:dyDescent="0.3">
      <c r="E2872" s="6"/>
      <c r="F2872" s="1"/>
      <c r="K2872" s="1"/>
    </row>
    <row r="2873" spans="5:11" x14ac:dyDescent="0.3">
      <c r="E2873" s="6"/>
      <c r="F2873" s="1"/>
      <c r="K2873" s="1"/>
    </row>
    <row r="2874" spans="5:11" x14ac:dyDescent="0.3">
      <c r="E2874" s="6"/>
      <c r="F2874" s="1"/>
      <c r="K2874" s="1"/>
    </row>
    <row r="2875" spans="5:11" x14ac:dyDescent="0.3">
      <c r="E2875" s="5"/>
      <c r="F2875" s="1"/>
      <c r="K2875" s="1"/>
    </row>
    <row r="2876" spans="5:11" x14ac:dyDescent="0.3">
      <c r="E2876" s="5"/>
      <c r="F2876" s="1"/>
      <c r="K2876" s="1"/>
    </row>
    <row r="2877" spans="5:11" x14ac:dyDescent="0.3">
      <c r="E2877" s="5"/>
      <c r="F2877" s="1"/>
      <c r="K2877" s="1"/>
    </row>
    <row r="2878" spans="5:11" x14ac:dyDescent="0.3">
      <c r="E2878" s="6"/>
      <c r="F2878" s="1"/>
      <c r="K2878" s="1"/>
    </row>
    <row r="2879" spans="5:11" x14ac:dyDescent="0.3">
      <c r="E2879" s="6"/>
      <c r="F2879" s="1"/>
      <c r="K2879" s="1"/>
    </row>
    <row r="2880" spans="5:11" x14ac:dyDescent="0.3">
      <c r="E2880" s="6"/>
      <c r="F2880" s="1"/>
      <c r="K2880" s="1"/>
    </row>
    <row r="2881" spans="5:11" x14ac:dyDescent="0.3">
      <c r="E2881" s="6"/>
      <c r="F2881" s="1"/>
      <c r="K2881" s="1"/>
    </row>
    <row r="2882" spans="5:11" x14ac:dyDescent="0.3">
      <c r="E2882" s="6"/>
      <c r="F2882" s="1"/>
      <c r="K2882" s="1"/>
    </row>
    <row r="2883" spans="5:11" x14ac:dyDescent="0.3">
      <c r="E2883" s="6"/>
      <c r="F2883" s="1"/>
      <c r="K2883" s="1"/>
    </row>
    <row r="2884" spans="5:11" x14ac:dyDescent="0.3">
      <c r="E2884" s="6"/>
      <c r="F2884" s="1"/>
      <c r="K2884" s="1"/>
    </row>
    <row r="2885" spans="5:11" x14ac:dyDescent="0.3">
      <c r="E2885" s="6"/>
      <c r="F2885" s="1"/>
      <c r="K2885" s="1"/>
    </row>
    <row r="2886" spans="5:11" x14ac:dyDescent="0.3">
      <c r="E2886" s="6"/>
      <c r="F2886" s="1"/>
      <c r="K2886" s="1"/>
    </row>
    <row r="2887" spans="5:11" x14ac:dyDescent="0.3">
      <c r="E2887" s="6"/>
      <c r="F2887" s="1"/>
      <c r="K2887" s="1"/>
    </row>
    <row r="2888" spans="5:11" x14ac:dyDescent="0.3">
      <c r="E2888" s="6"/>
      <c r="F2888" s="1"/>
      <c r="K2888" s="1"/>
    </row>
    <row r="2889" spans="5:11" x14ac:dyDescent="0.3">
      <c r="E2889" s="6"/>
      <c r="F2889" s="1"/>
      <c r="K2889" s="1"/>
    </row>
    <row r="2890" spans="5:11" x14ac:dyDescent="0.3">
      <c r="E2890" s="6"/>
      <c r="F2890" s="1"/>
      <c r="K2890" s="1"/>
    </row>
    <row r="2891" spans="5:11" x14ac:dyDescent="0.3">
      <c r="E2891" s="6"/>
      <c r="F2891" s="1"/>
      <c r="K2891" s="1"/>
    </row>
    <row r="2892" spans="5:11" x14ac:dyDescent="0.3">
      <c r="E2892" s="6"/>
      <c r="F2892" s="1"/>
      <c r="K2892" s="1"/>
    </row>
    <row r="2893" spans="5:11" x14ac:dyDescent="0.3">
      <c r="E2893" s="6"/>
      <c r="F2893" s="1"/>
      <c r="K2893" s="1"/>
    </row>
    <row r="2894" spans="5:11" x14ac:dyDescent="0.3">
      <c r="E2894" s="6"/>
      <c r="F2894" s="1"/>
      <c r="K2894" s="1"/>
    </row>
    <row r="2895" spans="5:11" x14ac:dyDescent="0.3">
      <c r="E2895" s="6"/>
      <c r="F2895" s="1"/>
      <c r="K2895" s="1"/>
    </row>
    <row r="2896" spans="5:11" x14ac:dyDescent="0.3">
      <c r="E2896" s="5"/>
      <c r="F2896" s="1"/>
      <c r="K2896" s="1"/>
    </row>
    <row r="2897" spans="5:11" x14ac:dyDescent="0.3">
      <c r="E2897" s="6"/>
      <c r="F2897" s="1"/>
      <c r="K2897" s="1"/>
    </row>
    <row r="2898" spans="5:11" x14ac:dyDescent="0.3">
      <c r="E2898" s="6"/>
      <c r="F2898" s="1"/>
      <c r="K2898" s="1"/>
    </row>
    <row r="2899" spans="5:11" x14ac:dyDescent="0.3">
      <c r="E2899" s="6"/>
      <c r="F2899" s="1"/>
      <c r="K2899" s="1"/>
    </row>
    <row r="2900" spans="5:11" x14ac:dyDescent="0.3">
      <c r="E2900" s="6"/>
      <c r="F2900" s="1"/>
      <c r="K2900" s="1"/>
    </row>
    <row r="2901" spans="5:11" x14ac:dyDescent="0.3">
      <c r="E2901" s="6"/>
      <c r="F2901" s="1"/>
      <c r="K2901" s="1"/>
    </row>
    <row r="2902" spans="5:11" x14ac:dyDescent="0.3">
      <c r="E2902" s="6"/>
      <c r="F2902" s="1"/>
      <c r="K2902" s="1"/>
    </row>
    <row r="2903" spans="5:11" x14ac:dyDescent="0.3">
      <c r="E2903" s="6"/>
      <c r="F2903" s="1"/>
      <c r="K2903" s="1"/>
    </row>
    <row r="2904" spans="5:11" x14ac:dyDescent="0.3">
      <c r="E2904" s="6"/>
      <c r="F2904" s="1"/>
      <c r="K2904" s="1"/>
    </row>
    <row r="2905" spans="5:11" x14ac:dyDescent="0.3">
      <c r="E2905" s="6"/>
      <c r="F2905" s="1"/>
      <c r="K2905" s="1"/>
    </row>
    <row r="2906" spans="5:11" x14ac:dyDescent="0.3">
      <c r="E2906" s="6"/>
      <c r="F2906" s="1"/>
      <c r="K2906" s="1"/>
    </row>
    <row r="2907" spans="5:11" x14ac:dyDescent="0.3">
      <c r="E2907" s="6"/>
      <c r="F2907" s="1"/>
      <c r="K2907" s="1"/>
    </row>
    <row r="2908" spans="5:11" x14ac:dyDescent="0.3">
      <c r="E2908" s="6"/>
      <c r="F2908" s="1"/>
      <c r="K2908" s="1"/>
    </row>
    <row r="2909" spans="5:11" x14ac:dyDescent="0.3">
      <c r="E2909" s="6"/>
      <c r="F2909" s="1"/>
      <c r="K2909" s="1"/>
    </row>
    <row r="2910" spans="5:11" x14ac:dyDescent="0.3">
      <c r="E2910" s="6"/>
      <c r="F2910" s="1"/>
      <c r="K2910" s="1"/>
    </row>
    <row r="2911" spans="5:11" x14ac:dyDescent="0.3">
      <c r="E2911" s="6"/>
      <c r="F2911" s="1"/>
      <c r="K2911" s="1"/>
    </row>
    <row r="2912" spans="5:11" x14ac:dyDescent="0.3">
      <c r="E2912" s="6"/>
      <c r="F2912" s="1"/>
      <c r="K2912" s="1"/>
    </row>
    <row r="2913" spans="5:11" x14ac:dyDescent="0.3">
      <c r="E2913" s="6"/>
      <c r="F2913" s="1"/>
      <c r="K2913" s="1"/>
    </row>
    <row r="2914" spans="5:11" x14ac:dyDescent="0.3">
      <c r="E2914" s="6"/>
      <c r="F2914" s="1"/>
      <c r="K2914" s="1"/>
    </row>
    <row r="2915" spans="5:11" x14ac:dyDescent="0.3">
      <c r="E2915" s="6"/>
      <c r="F2915" s="1"/>
      <c r="K2915" s="1"/>
    </row>
    <row r="2916" spans="5:11" x14ac:dyDescent="0.3">
      <c r="E2916" s="6"/>
      <c r="F2916" s="1"/>
      <c r="K2916" s="1"/>
    </row>
    <row r="2917" spans="5:11" x14ac:dyDescent="0.3">
      <c r="E2917" s="6"/>
      <c r="F2917" s="1"/>
      <c r="K2917" s="1"/>
    </row>
    <row r="2918" spans="5:11" x14ac:dyDescent="0.3">
      <c r="E2918" s="6"/>
      <c r="F2918" s="1"/>
      <c r="K2918" s="1"/>
    </row>
    <row r="2919" spans="5:11" x14ac:dyDescent="0.3">
      <c r="E2919" s="6"/>
      <c r="F2919" s="1"/>
      <c r="K2919" s="1"/>
    </row>
    <row r="2920" spans="5:11" x14ac:dyDescent="0.3">
      <c r="E2920" s="6"/>
      <c r="F2920" s="1"/>
      <c r="K2920" s="1"/>
    </row>
    <row r="2921" spans="5:11" x14ac:dyDescent="0.3">
      <c r="E2921" s="6"/>
      <c r="F2921" s="1"/>
      <c r="K2921" s="1"/>
    </row>
    <row r="2922" spans="5:11" x14ac:dyDescent="0.3">
      <c r="E2922" s="5"/>
      <c r="F2922" s="1"/>
      <c r="K2922" s="1"/>
    </row>
    <row r="2923" spans="5:11" x14ac:dyDescent="0.3">
      <c r="E2923" s="5"/>
      <c r="F2923" s="1"/>
      <c r="K2923" s="1"/>
    </row>
    <row r="2924" spans="5:11" x14ac:dyDescent="0.3">
      <c r="E2924" s="5"/>
      <c r="F2924" s="1"/>
      <c r="K2924" s="1"/>
    </row>
    <row r="2925" spans="5:11" x14ac:dyDescent="0.3">
      <c r="E2925" s="5"/>
      <c r="F2925" s="1"/>
      <c r="K2925" s="1"/>
    </row>
    <row r="2926" spans="5:11" x14ac:dyDescent="0.3">
      <c r="E2926" s="6"/>
      <c r="F2926" s="1"/>
      <c r="K2926" s="1"/>
    </row>
    <row r="2927" spans="5:11" x14ac:dyDescent="0.3">
      <c r="E2927" s="6"/>
      <c r="F2927" s="1"/>
      <c r="K2927" s="1"/>
    </row>
    <row r="2928" spans="5:11" x14ac:dyDescent="0.3">
      <c r="E2928" s="6"/>
      <c r="F2928" s="1"/>
      <c r="K2928" s="1"/>
    </row>
    <row r="2929" spans="5:11" x14ac:dyDescent="0.3">
      <c r="E2929" s="6"/>
      <c r="F2929" s="1"/>
      <c r="K2929" s="1"/>
    </row>
    <row r="2930" spans="5:11" x14ac:dyDescent="0.3">
      <c r="E2930" s="6"/>
      <c r="F2930" s="1"/>
      <c r="K2930" s="1"/>
    </row>
    <row r="2931" spans="5:11" x14ac:dyDescent="0.3">
      <c r="E2931" s="6"/>
      <c r="F2931" s="1"/>
      <c r="K2931" s="1"/>
    </row>
    <row r="2932" spans="5:11" x14ac:dyDescent="0.3">
      <c r="E2932" s="6"/>
      <c r="F2932" s="1"/>
      <c r="K2932" s="1"/>
    </row>
    <row r="2933" spans="5:11" x14ac:dyDescent="0.3">
      <c r="E2933" s="6"/>
      <c r="F2933" s="1"/>
      <c r="K2933" s="1"/>
    </row>
    <row r="2934" spans="5:11" x14ac:dyDescent="0.3">
      <c r="E2934" s="6"/>
      <c r="F2934" s="1"/>
      <c r="K2934" s="1"/>
    </row>
    <row r="2935" spans="5:11" x14ac:dyDescent="0.3">
      <c r="E2935" s="6"/>
      <c r="F2935" s="1"/>
      <c r="K2935" s="1"/>
    </row>
    <row r="2936" spans="5:11" x14ac:dyDescent="0.3">
      <c r="E2936" s="6"/>
      <c r="F2936" s="1"/>
      <c r="K2936" s="1"/>
    </row>
    <row r="2937" spans="5:11" x14ac:dyDescent="0.3">
      <c r="E2937" s="6"/>
      <c r="F2937" s="1"/>
      <c r="K2937" s="1"/>
    </row>
    <row r="2938" spans="5:11" x14ac:dyDescent="0.3">
      <c r="E2938" s="6"/>
      <c r="F2938" s="1"/>
      <c r="K2938" s="1"/>
    </row>
    <row r="2939" spans="5:11" x14ac:dyDescent="0.3">
      <c r="E2939" s="6"/>
      <c r="F2939" s="1"/>
      <c r="K2939" s="1"/>
    </row>
    <row r="2940" spans="5:11" x14ac:dyDescent="0.3">
      <c r="E2940" s="6"/>
      <c r="F2940" s="1"/>
      <c r="K2940" s="1"/>
    </row>
    <row r="2941" spans="5:11" x14ac:dyDescent="0.3">
      <c r="E2941" s="6"/>
      <c r="F2941" s="1"/>
      <c r="K2941" s="1"/>
    </row>
    <row r="2942" spans="5:11" x14ac:dyDescent="0.3">
      <c r="E2942" s="6"/>
      <c r="F2942" s="1"/>
      <c r="K2942" s="1"/>
    </row>
    <row r="2943" spans="5:11" x14ac:dyDescent="0.3">
      <c r="E2943" s="6"/>
      <c r="F2943" s="1"/>
      <c r="K2943" s="1"/>
    </row>
    <row r="2944" spans="5:11" x14ac:dyDescent="0.3">
      <c r="E2944" s="6"/>
      <c r="F2944" s="1"/>
      <c r="K2944" s="1"/>
    </row>
    <row r="2945" spans="5:11" x14ac:dyDescent="0.3">
      <c r="E2945" s="6"/>
      <c r="F2945" s="1"/>
      <c r="K2945" s="1"/>
    </row>
    <row r="2946" spans="5:11" x14ac:dyDescent="0.3">
      <c r="E2946" s="6"/>
      <c r="F2946" s="1"/>
      <c r="K2946" s="1"/>
    </row>
    <row r="2947" spans="5:11" x14ac:dyDescent="0.3">
      <c r="E2947" s="6"/>
      <c r="F2947" s="1"/>
      <c r="K2947" s="1"/>
    </row>
    <row r="2948" spans="5:11" x14ac:dyDescent="0.3">
      <c r="E2948" s="6"/>
      <c r="F2948" s="1"/>
      <c r="K2948" s="1"/>
    </row>
    <row r="2949" spans="5:11" x14ac:dyDescent="0.3">
      <c r="E2949" s="6"/>
      <c r="F2949" s="1"/>
      <c r="K2949" s="1"/>
    </row>
    <row r="2950" spans="5:11" x14ac:dyDescent="0.3">
      <c r="E2950" s="6"/>
      <c r="F2950" s="1"/>
      <c r="K2950" s="1"/>
    </row>
    <row r="2951" spans="5:11" x14ac:dyDescent="0.3">
      <c r="E2951" s="6"/>
      <c r="F2951" s="1"/>
      <c r="K2951" s="1"/>
    </row>
    <row r="2952" spans="5:11" x14ac:dyDescent="0.3">
      <c r="E2952" s="6"/>
      <c r="F2952" s="1"/>
      <c r="K2952" s="1"/>
    </row>
    <row r="2953" spans="5:11" x14ac:dyDescent="0.3">
      <c r="E2953" s="6"/>
      <c r="F2953" s="1"/>
      <c r="K2953" s="1"/>
    </row>
    <row r="2954" spans="5:11" x14ac:dyDescent="0.3">
      <c r="E2954" s="6"/>
      <c r="F2954" s="1"/>
      <c r="K2954" s="1"/>
    </row>
    <row r="2955" spans="5:11" x14ac:dyDescent="0.3">
      <c r="E2955" s="6"/>
      <c r="F2955" s="1"/>
      <c r="K2955" s="1"/>
    </row>
    <row r="2956" spans="5:11" x14ac:dyDescent="0.3">
      <c r="E2956" s="5"/>
      <c r="F2956" s="1"/>
      <c r="K2956" s="1"/>
    </row>
    <row r="2957" spans="5:11" x14ac:dyDescent="0.3">
      <c r="E2957" s="5"/>
      <c r="F2957" s="1"/>
      <c r="K2957" s="1"/>
    </row>
    <row r="2958" spans="5:11" x14ac:dyDescent="0.3">
      <c r="E2958" s="6"/>
      <c r="F2958" s="1"/>
      <c r="K2958" s="1"/>
    </row>
    <row r="2959" spans="5:11" x14ac:dyDescent="0.3">
      <c r="E2959" s="6"/>
      <c r="F2959" s="1"/>
      <c r="K2959" s="1"/>
    </row>
    <row r="2960" spans="5:11" x14ac:dyDescent="0.3">
      <c r="E2960" s="6"/>
      <c r="F2960" s="1"/>
      <c r="K2960" s="1"/>
    </row>
    <row r="2961" spans="5:11" x14ac:dyDescent="0.3">
      <c r="E2961" s="6"/>
      <c r="F2961" s="1"/>
      <c r="K2961" s="1"/>
    </row>
    <row r="2962" spans="5:11" x14ac:dyDescent="0.3">
      <c r="E2962" s="6"/>
      <c r="F2962" s="1"/>
      <c r="K2962" s="1"/>
    </row>
    <row r="2963" spans="5:11" x14ac:dyDescent="0.3">
      <c r="E2963" s="6"/>
      <c r="F2963" s="1"/>
      <c r="K2963" s="1"/>
    </row>
    <row r="2964" spans="5:11" x14ac:dyDescent="0.3">
      <c r="E2964" s="6"/>
      <c r="F2964" s="1"/>
      <c r="K2964" s="1"/>
    </row>
    <row r="2965" spans="5:11" x14ac:dyDescent="0.3">
      <c r="E2965" s="6"/>
      <c r="F2965" s="1"/>
      <c r="K2965" s="1"/>
    </row>
    <row r="2966" spans="5:11" x14ac:dyDescent="0.3">
      <c r="E2966" s="6"/>
      <c r="F2966" s="1"/>
      <c r="K2966" s="1"/>
    </row>
    <row r="2967" spans="5:11" x14ac:dyDescent="0.3">
      <c r="E2967" s="6"/>
      <c r="F2967" s="1"/>
      <c r="K2967" s="1"/>
    </row>
    <row r="2968" spans="5:11" x14ac:dyDescent="0.3">
      <c r="E2968" s="6"/>
      <c r="F2968" s="1"/>
      <c r="K2968" s="1"/>
    </row>
    <row r="2969" spans="5:11" x14ac:dyDescent="0.3">
      <c r="E2969" s="6"/>
      <c r="F2969" s="1"/>
      <c r="K2969" s="1"/>
    </row>
    <row r="2970" spans="5:11" x14ac:dyDescent="0.3">
      <c r="E2970" s="6"/>
      <c r="F2970" s="1"/>
      <c r="K2970" s="1"/>
    </row>
    <row r="2971" spans="5:11" x14ac:dyDescent="0.3">
      <c r="E2971" s="6"/>
      <c r="F2971" s="1"/>
      <c r="K2971" s="1"/>
    </row>
    <row r="2972" spans="5:11" x14ac:dyDescent="0.3">
      <c r="E2972" s="6"/>
      <c r="F2972" s="1"/>
      <c r="K2972" s="1"/>
    </row>
    <row r="2973" spans="5:11" x14ac:dyDescent="0.3">
      <c r="E2973" s="6"/>
      <c r="F2973" s="1"/>
      <c r="K2973" s="1"/>
    </row>
    <row r="2974" spans="5:11" x14ac:dyDescent="0.3">
      <c r="E2974" s="6"/>
      <c r="F2974" s="1"/>
      <c r="K2974" s="1"/>
    </row>
    <row r="2975" spans="5:11" x14ac:dyDescent="0.3">
      <c r="E2975" s="6"/>
      <c r="F2975" s="1"/>
      <c r="K2975" s="1"/>
    </row>
    <row r="2976" spans="5:11" x14ac:dyDescent="0.3">
      <c r="E2976" s="6"/>
      <c r="F2976" s="1"/>
      <c r="K2976" s="1"/>
    </row>
    <row r="2977" spans="5:11" x14ac:dyDescent="0.3">
      <c r="E2977" s="6"/>
      <c r="F2977" s="1"/>
      <c r="K2977" s="1"/>
    </row>
    <row r="2978" spans="5:11" x14ac:dyDescent="0.3">
      <c r="E2978" s="6"/>
      <c r="F2978" s="1"/>
      <c r="K2978" s="1"/>
    </row>
    <row r="2979" spans="5:11" x14ac:dyDescent="0.3">
      <c r="E2979" s="6"/>
      <c r="F2979" s="1"/>
      <c r="K2979" s="1"/>
    </row>
    <row r="2980" spans="5:11" x14ac:dyDescent="0.3">
      <c r="E2980" s="6"/>
      <c r="F2980" s="1"/>
      <c r="K2980" s="1"/>
    </row>
    <row r="2981" spans="5:11" x14ac:dyDescent="0.3">
      <c r="E2981" s="6"/>
      <c r="F2981" s="1"/>
      <c r="K2981" s="1"/>
    </row>
    <row r="2982" spans="5:11" x14ac:dyDescent="0.3">
      <c r="E2982" s="6"/>
      <c r="F2982" s="1"/>
      <c r="K2982" s="1"/>
    </row>
    <row r="2983" spans="5:11" x14ac:dyDescent="0.3">
      <c r="E2983" s="6"/>
      <c r="F2983" s="1"/>
      <c r="K2983" s="1"/>
    </row>
    <row r="2984" spans="5:11" x14ac:dyDescent="0.3">
      <c r="E2984" s="6"/>
      <c r="F2984" s="1"/>
      <c r="K2984" s="1"/>
    </row>
    <row r="2985" spans="5:11" x14ac:dyDescent="0.3">
      <c r="E2985" s="6"/>
      <c r="F2985" s="1"/>
      <c r="K2985" s="1"/>
    </row>
    <row r="2986" spans="5:11" x14ac:dyDescent="0.3">
      <c r="E2986" s="6"/>
      <c r="F2986" s="1"/>
      <c r="K2986" s="1"/>
    </row>
    <row r="2987" spans="5:11" x14ac:dyDescent="0.3">
      <c r="E2987" s="6"/>
      <c r="F2987" s="1"/>
      <c r="K2987" s="1"/>
    </row>
    <row r="2988" spans="5:11" x14ac:dyDescent="0.3">
      <c r="E2988" s="6"/>
      <c r="F2988" s="1"/>
      <c r="K2988" s="1"/>
    </row>
    <row r="2989" spans="5:11" x14ac:dyDescent="0.3">
      <c r="E2989" s="6"/>
      <c r="F2989" s="1"/>
      <c r="K2989" s="1"/>
    </row>
    <row r="2990" spans="5:11" x14ac:dyDescent="0.3">
      <c r="E2990" s="6"/>
      <c r="F2990" s="1"/>
      <c r="K2990" s="1"/>
    </row>
    <row r="2991" spans="5:11" x14ac:dyDescent="0.3">
      <c r="E2991" s="6"/>
      <c r="F2991" s="1"/>
      <c r="K2991" s="1"/>
    </row>
    <row r="2992" spans="5:11" x14ac:dyDescent="0.3">
      <c r="E2992" s="6"/>
      <c r="F2992" s="1"/>
      <c r="K2992" s="1"/>
    </row>
    <row r="2993" spans="5:11" x14ac:dyDescent="0.3">
      <c r="E2993" s="6"/>
      <c r="F2993" s="1"/>
      <c r="K2993" s="1"/>
    </row>
    <row r="2994" spans="5:11" x14ac:dyDescent="0.3">
      <c r="E2994" s="6"/>
      <c r="F2994" s="1"/>
      <c r="K2994" s="1"/>
    </row>
    <row r="2995" spans="5:11" x14ac:dyDescent="0.3">
      <c r="E2995" s="5"/>
      <c r="F2995" s="1"/>
      <c r="K2995" s="1"/>
    </row>
    <row r="2996" spans="5:11" x14ac:dyDescent="0.3">
      <c r="E2996" s="6"/>
      <c r="F2996" s="1"/>
      <c r="K2996" s="1"/>
    </row>
    <row r="2997" spans="5:11" x14ac:dyDescent="0.3">
      <c r="E2997" s="6"/>
      <c r="F2997" s="1"/>
      <c r="K2997" s="1"/>
    </row>
    <row r="2998" spans="5:11" x14ac:dyDescent="0.3">
      <c r="E2998" s="6"/>
      <c r="F2998" s="1"/>
      <c r="K2998" s="1"/>
    </row>
    <row r="2999" spans="5:11" x14ac:dyDescent="0.3">
      <c r="E2999" s="6"/>
      <c r="F2999" s="1"/>
      <c r="K2999" s="1"/>
    </row>
    <row r="3000" spans="5:11" x14ac:dyDescent="0.3">
      <c r="E3000" s="6"/>
      <c r="F3000" s="1"/>
      <c r="K3000" s="1"/>
    </row>
    <row r="3001" spans="5:11" x14ac:dyDescent="0.3">
      <c r="E3001" s="6"/>
      <c r="F3001" s="1"/>
      <c r="K3001" s="1"/>
    </row>
    <row r="3002" spans="5:11" x14ac:dyDescent="0.3">
      <c r="E3002" s="6"/>
      <c r="F3002" s="1"/>
      <c r="K3002" s="1"/>
    </row>
    <row r="3003" spans="5:11" x14ac:dyDescent="0.3">
      <c r="E3003" s="6"/>
      <c r="F3003" s="1"/>
      <c r="K3003" s="1"/>
    </row>
    <row r="3004" spans="5:11" x14ac:dyDescent="0.3">
      <c r="E3004" s="6"/>
      <c r="F3004" s="1"/>
      <c r="K3004" s="1"/>
    </row>
    <row r="3005" spans="5:11" x14ac:dyDescent="0.3">
      <c r="E3005" s="6"/>
      <c r="F3005" s="1"/>
      <c r="K3005" s="1"/>
    </row>
    <row r="3006" spans="5:11" x14ac:dyDescent="0.3">
      <c r="E3006" s="6"/>
      <c r="F3006" s="1"/>
      <c r="K3006" s="1"/>
    </row>
    <row r="3007" spans="5:11" x14ac:dyDescent="0.3">
      <c r="E3007" s="6"/>
      <c r="F3007" s="1"/>
      <c r="K3007" s="1"/>
    </row>
    <row r="3008" spans="5:11" x14ac:dyDescent="0.3">
      <c r="E3008" s="6"/>
      <c r="F3008" s="1"/>
      <c r="K3008" s="1"/>
    </row>
    <row r="3009" spans="5:11" x14ac:dyDescent="0.3">
      <c r="E3009" s="6"/>
      <c r="F3009" s="1"/>
      <c r="K3009" s="1"/>
    </row>
    <row r="3010" spans="5:11" x14ac:dyDescent="0.3">
      <c r="E3010" s="6"/>
      <c r="F3010" s="1"/>
      <c r="K3010" s="1"/>
    </row>
    <row r="3011" spans="5:11" x14ac:dyDescent="0.3">
      <c r="E3011" s="6"/>
      <c r="F3011" s="1"/>
      <c r="K3011" s="1"/>
    </row>
    <row r="3012" spans="5:11" x14ac:dyDescent="0.3">
      <c r="E3012" s="6"/>
      <c r="F3012" s="1"/>
      <c r="K3012" s="1"/>
    </row>
    <row r="3013" spans="5:11" x14ac:dyDescent="0.3">
      <c r="E3013" s="6"/>
      <c r="F3013" s="1"/>
      <c r="K3013" s="1"/>
    </row>
    <row r="3014" spans="5:11" x14ac:dyDescent="0.3">
      <c r="E3014" s="6"/>
      <c r="F3014" s="1"/>
      <c r="K3014" s="1"/>
    </row>
    <row r="3015" spans="5:11" x14ac:dyDescent="0.3">
      <c r="E3015" s="6"/>
      <c r="F3015" s="1"/>
      <c r="K3015" s="1"/>
    </row>
    <row r="3016" spans="5:11" x14ac:dyDescent="0.3">
      <c r="E3016" s="6"/>
      <c r="F3016" s="1"/>
      <c r="K3016" s="1"/>
    </row>
    <row r="3017" spans="5:11" x14ac:dyDescent="0.3">
      <c r="E3017" s="6"/>
      <c r="F3017" s="1"/>
      <c r="K3017" s="1"/>
    </row>
    <row r="3018" spans="5:11" x14ac:dyDescent="0.3">
      <c r="E3018" s="6"/>
      <c r="F3018" s="1"/>
      <c r="K3018" s="1"/>
    </row>
    <row r="3019" spans="5:11" x14ac:dyDescent="0.3">
      <c r="E3019" s="6"/>
      <c r="F3019" s="1"/>
      <c r="K3019" s="1"/>
    </row>
    <row r="3020" spans="5:11" x14ac:dyDescent="0.3">
      <c r="E3020" s="6"/>
      <c r="F3020" s="1"/>
      <c r="K3020" s="1"/>
    </row>
    <row r="3021" spans="5:11" x14ac:dyDescent="0.3">
      <c r="E3021" s="6"/>
      <c r="F3021" s="1"/>
      <c r="K3021" s="1"/>
    </row>
    <row r="3022" spans="5:11" x14ac:dyDescent="0.3">
      <c r="E3022" s="6"/>
      <c r="F3022" s="1"/>
      <c r="K3022" s="1"/>
    </row>
    <row r="3023" spans="5:11" x14ac:dyDescent="0.3">
      <c r="E3023" s="6"/>
      <c r="F3023" s="1"/>
      <c r="K3023" s="1"/>
    </row>
    <row r="3024" spans="5:11" x14ac:dyDescent="0.3">
      <c r="E3024" s="6"/>
      <c r="F3024" s="1"/>
      <c r="K3024" s="1"/>
    </row>
    <row r="3025" spans="5:11" x14ac:dyDescent="0.3">
      <c r="E3025" s="6"/>
      <c r="F3025" s="1"/>
      <c r="K3025" s="1"/>
    </row>
    <row r="3026" spans="5:11" x14ac:dyDescent="0.3">
      <c r="E3026" s="6"/>
      <c r="F3026" s="1"/>
      <c r="K3026" s="1"/>
    </row>
    <row r="3027" spans="5:11" x14ac:dyDescent="0.3">
      <c r="E3027" s="6"/>
      <c r="F3027" s="1"/>
      <c r="K3027" s="1"/>
    </row>
    <row r="3028" spans="5:11" x14ac:dyDescent="0.3">
      <c r="E3028" s="6"/>
      <c r="F3028" s="1"/>
      <c r="K3028" s="1"/>
    </row>
    <row r="3029" spans="5:11" x14ac:dyDescent="0.3">
      <c r="E3029" s="6"/>
      <c r="F3029" s="1"/>
      <c r="K3029" s="1"/>
    </row>
    <row r="3030" spans="5:11" x14ac:dyDescent="0.3">
      <c r="E3030" s="6"/>
      <c r="F3030" s="1"/>
      <c r="K3030" s="1"/>
    </row>
    <row r="3031" spans="5:11" x14ac:dyDescent="0.3">
      <c r="E3031" s="6"/>
      <c r="F3031" s="1"/>
      <c r="K3031" s="1"/>
    </row>
    <row r="3032" spans="5:11" x14ac:dyDescent="0.3">
      <c r="E3032" s="6"/>
      <c r="F3032" s="1"/>
      <c r="K3032" s="1"/>
    </row>
    <row r="3033" spans="5:11" x14ac:dyDescent="0.3">
      <c r="E3033" s="6"/>
      <c r="F3033" s="1"/>
      <c r="K3033" s="1"/>
    </row>
    <row r="3034" spans="5:11" x14ac:dyDescent="0.3">
      <c r="E3034" s="6"/>
      <c r="F3034" s="1"/>
      <c r="K3034" s="1"/>
    </row>
    <row r="3035" spans="5:11" x14ac:dyDescent="0.3">
      <c r="E3035" s="6"/>
      <c r="F3035" s="1"/>
      <c r="K3035" s="1"/>
    </row>
    <row r="3036" spans="5:11" x14ac:dyDescent="0.3">
      <c r="E3036" s="5"/>
      <c r="F3036" s="1"/>
      <c r="K3036" s="1"/>
    </row>
    <row r="3037" spans="5:11" x14ac:dyDescent="0.3">
      <c r="E3037" s="5"/>
      <c r="F3037" s="1"/>
      <c r="K3037" s="1"/>
    </row>
    <row r="3038" spans="5:11" x14ac:dyDescent="0.3">
      <c r="E3038" s="5"/>
      <c r="F3038" s="1"/>
      <c r="K3038" s="1"/>
    </row>
    <row r="3039" spans="5:11" x14ac:dyDescent="0.3">
      <c r="E3039" s="5"/>
      <c r="F3039" s="1"/>
      <c r="K3039" s="1"/>
    </row>
    <row r="3040" spans="5:11" x14ac:dyDescent="0.3">
      <c r="E3040" s="5"/>
      <c r="F3040" s="1"/>
      <c r="K3040" s="1"/>
    </row>
    <row r="3041" spans="5:11" x14ac:dyDescent="0.3">
      <c r="E3041" s="5"/>
      <c r="F3041" s="1"/>
      <c r="K3041" s="1"/>
    </row>
    <row r="3042" spans="5:11" x14ac:dyDescent="0.3">
      <c r="E3042" s="6"/>
      <c r="F3042" s="1"/>
      <c r="K3042" s="1"/>
    </row>
    <row r="3043" spans="5:11" x14ac:dyDescent="0.3">
      <c r="E3043" s="6"/>
      <c r="F3043" s="1"/>
      <c r="K3043" s="1"/>
    </row>
    <row r="3044" spans="5:11" x14ac:dyDescent="0.3">
      <c r="E3044" s="6"/>
      <c r="F3044" s="1"/>
      <c r="K3044" s="1"/>
    </row>
    <row r="3045" spans="5:11" x14ac:dyDescent="0.3">
      <c r="E3045" s="6"/>
      <c r="F3045" s="1"/>
      <c r="K3045" s="1"/>
    </row>
    <row r="3046" spans="5:11" x14ac:dyDescent="0.3">
      <c r="E3046" s="6"/>
      <c r="F3046" s="1"/>
      <c r="K3046" s="1"/>
    </row>
    <row r="3047" spans="5:11" x14ac:dyDescent="0.3">
      <c r="E3047" s="6"/>
      <c r="F3047" s="1"/>
      <c r="K3047" s="1"/>
    </row>
    <row r="3048" spans="5:11" x14ac:dyDescent="0.3">
      <c r="E3048" s="6"/>
      <c r="F3048" s="1"/>
      <c r="K3048" s="1"/>
    </row>
    <row r="3049" spans="5:11" x14ac:dyDescent="0.3">
      <c r="E3049" s="6"/>
      <c r="F3049" s="1"/>
      <c r="K3049" s="1"/>
    </row>
    <row r="3050" spans="5:11" x14ac:dyDescent="0.3">
      <c r="E3050" s="6"/>
      <c r="F3050" s="1"/>
      <c r="K3050" s="1"/>
    </row>
    <row r="3051" spans="5:11" x14ac:dyDescent="0.3">
      <c r="E3051" s="6"/>
      <c r="F3051" s="1"/>
      <c r="K3051" s="1"/>
    </row>
    <row r="3052" spans="5:11" x14ac:dyDescent="0.3">
      <c r="E3052" s="6"/>
      <c r="F3052" s="1"/>
      <c r="K3052" s="1"/>
    </row>
    <row r="3053" spans="5:11" x14ac:dyDescent="0.3">
      <c r="E3053" s="6"/>
      <c r="F3053" s="1"/>
      <c r="K3053" s="1"/>
    </row>
    <row r="3054" spans="5:11" x14ac:dyDescent="0.3">
      <c r="E3054" s="6"/>
      <c r="F3054" s="1"/>
      <c r="K3054" s="1"/>
    </row>
    <row r="3055" spans="5:11" x14ac:dyDescent="0.3">
      <c r="E3055" s="6"/>
      <c r="F3055" s="1"/>
      <c r="K3055" s="1"/>
    </row>
    <row r="3056" spans="5:11" x14ac:dyDescent="0.3">
      <c r="E3056" s="6"/>
      <c r="F3056" s="1"/>
      <c r="K3056" s="1"/>
    </row>
    <row r="3057" spans="5:11" x14ac:dyDescent="0.3">
      <c r="E3057" s="6"/>
      <c r="F3057" s="1"/>
      <c r="K3057" s="1"/>
    </row>
    <row r="3058" spans="5:11" x14ac:dyDescent="0.3">
      <c r="E3058" s="6"/>
      <c r="F3058" s="1"/>
      <c r="K3058" s="1"/>
    </row>
    <row r="3059" spans="5:11" x14ac:dyDescent="0.3">
      <c r="E3059" s="6"/>
      <c r="F3059" s="1"/>
      <c r="K3059" s="1"/>
    </row>
    <row r="3060" spans="5:11" x14ac:dyDescent="0.3">
      <c r="E3060" s="6"/>
      <c r="F3060" s="1"/>
      <c r="K3060" s="1"/>
    </row>
    <row r="3061" spans="5:11" x14ac:dyDescent="0.3">
      <c r="E3061" s="6"/>
      <c r="F3061" s="1"/>
      <c r="K3061" s="1"/>
    </row>
    <row r="3062" spans="5:11" x14ac:dyDescent="0.3">
      <c r="E3062" s="6"/>
      <c r="F3062" s="1"/>
      <c r="K3062" s="1"/>
    </row>
    <row r="3063" spans="5:11" x14ac:dyDescent="0.3">
      <c r="E3063" s="6"/>
      <c r="F3063" s="1"/>
      <c r="K3063" s="1"/>
    </row>
    <row r="3064" spans="5:11" x14ac:dyDescent="0.3">
      <c r="E3064" s="6"/>
      <c r="F3064" s="1"/>
      <c r="K3064" s="1"/>
    </row>
    <row r="3065" spans="5:11" x14ac:dyDescent="0.3">
      <c r="E3065" s="6"/>
      <c r="F3065" s="1"/>
      <c r="K3065" s="1"/>
    </row>
    <row r="3066" spans="5:11" x14ac:dyDescent="0.3">
      <c r="E3066" s="6"/>
      <c r="F3066" s="1"/>
      <c r="K3066" s="1"/>
    </row>
    <row r="3067" spans="5:11" x14ac:dyDescent="0.3">
      <c r="E3067" s="6"/>
      <c r="F3067" s="1"/>
      <c r="K3067" s="1"/>
    </row>
    <row r="3068" spans="5:11" x14ac:dyDescent="0.3">
      <c r="E3068" s="6"/>
      <c r="F3068" s="1"/>
      <c r="K3068" s="1"/>
    </row>
    <row r="3069" spans="5:11" x14ac:dyDescent="0.3">
      <c r="E3069" s="6"/>
      <c r="F3069" s="1"/>
      <c r="K3069" s="1"/>
    </row>
    <row r="3070" spans="5:11" x14ac:dyDescent="0.3">
      <c r="E3070" s="6"/>
      <c r="F3070" s="1"/>
      <c r="K3070" s="1"/>
    </row>
    <row r="3071" spans="5:11" x14ac:dyDescent="0.3">
      <c r="E3071" s="6"/>
      <c r="F3071" s="1"/>
      <c r="K3071" s="1"/>
    </row>
    <row r="3072" spans="5:11" x14ac:dyDescent="0.3">
      <c r="E3072" s="6"/>
      <c r="F3072" s="1"/>
      <c r="K3072" s="1"/>
    </row>
    <row r="3073" spans="5:11" x14ac:dyDescent="0.3">
      <c r="E3073" s="6"/>
      <c r="F3073" s="1"/>
      <c r="K3073" s="1"/>
    </row>
    <row r="3074" spans="5:11" x14ac:dyDescent="0.3">
      <c r="E3074" s="6"/>
      <c r="F3074" s="1"/>
      <c r="K3074" s="1"/>
    </row>
    <row r="3075" spans="5:11" x14ac:dyDescent="0.3">
      <c r="E3075" s="6"/>
      <c r="F3075" s="1"/>
      <c r="K3075" s="1"/>
    </row>
    <row r="3076" spans="5:11" x14ac:dyDescent="0.3">
      <c r="E3076" s="6"/>
      <c r="F3076" s="1"/>
      <c r="K3076" s="1"/>
    </row>
    <row r="3077" spans="5:11" x14ac:dyDescent="0.3">
      <c r="E3077" s="6"/>
      <c r="F3077" s="1"/>
      <c r="K3077" s="1"/>
    </row>
    <row r="3078" spans="5:11" x14ac:dyDescent="0.3">
      <c r="E3078" s="6"/>
      <c r="F3078" s="1"/>
      <c r="K3078" s="1"/>
    </row>
    <row r="3079" spans="5:11" x14ac:dyDescent="0.3">
      <c r="E3079" s="6"/>
      <c r="F3079" s="1"/>
      <c r="K3079" s="1"/>
    </row>
    <row r="3080" spans="5:11" x14ac:dyDescent="0.3">
      <c r="E3080" s="6"/>
      <c r="F3080" s="1"/>
      <c r="K3080" s="1"/>
    </row>
    <row r="3081" spans="5:11" x14ac:dyDescent="0.3">
      <c r="E3081" s="6"/>
      <c r="F3081" s="1"/>
      <c r="K3081" s="1"/>
    </row>
    <row r="3082" spans="5:11" x14ac:dyDescent="0.3">
      <c r="E3082" s="6"/>
      <c r="F3082" s="1"/>
      <c r="K3082" s="1"/>
    </row>
    <row r="3083" spans="5:11" x14ac:dyDescent="0.3">
      <c r="E3083" s="6"/>
      <c r="F3083" s="1"/>
      <c r="K3083" s="1"/>
    </row>
    <row r="3084" spans="5:11" x14ac:dyDescent="0.3">
      <c r="E3084" s="6"/>
      <c r="F3084" s="1"/>
      <c r="K3084" s="1"/>
    </row>
    <row r="3085" spans="5:11" x14ac:dyDescent="0.3">
      <c r="E3085" s="6"/>
      <c r="F3085" s="1"/>
      <c r="K3085" s="1"/>
    </row>
    <row r="3086" spans="5:11" x14ac:dyDescent="0.3">
      <c r="E3086" s="5"/>
      <c r="F3086" s="1"/>
      <c r="K3086" s="1"/>
    </row>
    <row r="3087" spans="5:11" x14ac:dyDescent="0.3">
      <c r="E3087" s="5"/>
      <c r="F3087" s="1"/>
      <c r="K3087" s="1"/>
    </row>
    <row r="3088" spans="5:11" x14ac:dyDescent="0.3">
      <c r="E3088" s="5"/>
      <c r="F3088" s="1"/>
      <c r="K3088" s="1"/>
    </row>
    <row r="3089" spans="5:11" x14ac:dyDescent="0.3">
      <c r="E3089" s="6"/>
      <c r="F3089" s="1"/>
      <c r="K3089" s="1"/>
    </row>
    <row r="3090" spans="5:11" x14ac:dyDescent="0.3">
      <c r="E3090" s="6"/>
      <c r="F3090" s="1"/>
      <c r="K3090" s="1"/>
    </row>
    <row r="3091" spans="5:11" x14ac:dyDescent="0.3">
      <c r="E3091" s="6"/>
      <c r="F3091" s="1"/>
      <c r="K3091" s="1"/>
    </row>
    <row r="3092" spans="5:11" x14ac:dyDescent="0.3">
      <c r="E3092" s="6"/>
      <c r="F3092" s="1"/>
      <c r="K3092" s="1"/>
    </row>
    <row r="3093" spans="5:11" x14ac:dyDescent="0.3">
      <c r="E3093" s="6"/>
      <c r="F3093" s="1"/>
      <c r="K3093" s="1"/>
    </row>
    <row r="3094" spans="5:11" x14ac:dyDescent="0.3">
      <c r="E3094" s="6"/>
      <c r="F3094" s="1"/>
      <c r="K3094" s="1"/>
    </row>
    <row r="3095" spans="5:11" x14ac:dyDescent="0.3">
      <c r="E3095" s="6"/>
      <c r="F3095" s="1"/>
      <c r="K3095" s="1"/>
    </row>
    <row r="3096" spans="5:11" x14ac:dyDescent="0.3">
      <c r="E3096" s="6"/>
      <c r="F3096" s="1"/>
      <c r="K3096" s="1"/>
    </row>
    <row r="3097" spans="5:11" x14ac:dyDescent="0.3">
      <c r="E3097" s="6"/>
      <c r="F3097" s="1"/>
      <c r="K3097" s="1"/>
    </row>
    <row r="3098" spans="5:11" x14ac:dyDescent="0.3">
      <c r="E3098" s="6"/>
      <c r="F3098" s="1"/>
      <c r="K3098" s="1"/>
    </row>
    <row r="3099" spans="5:11" x14ac:dyDescent="0.3">
      <c r="E3099" s="6"/>
      <c r="F3099" s="1"/>
      <c r="K3099" s="1"/>
    </row>
    <row r="3100" spans="5:11" x14ac:dyDescent="0.3">
      <c r="E3100" s="6"/>
      <c r="F3100" s="1"/>
      <c r="K3100" s="1"/>
    </row>
    <row r="3101" spans="5:11" x14ac:dyDescent="0.3">
      <c r="E3101" s="6"/>
      <c r="F3101" s="1"/>
      <c r="K3101" s="1"/>
    </row>
    <row r="3102" spans="5:11" x14ac:dyDescent="0.3">
      <c r="E3102" s="6"/>
      <c r="F3102" s="1"/>
      <c r="K3102" s="1"/>
    </row>
    <row r="3103" spans="5:11" x14ac:dyDescent="0.3">
      <c r="E3103" s="6"/>
      <c r="F3103" s="1"/>
      <c r="K3103" s="1"/>
    </row>
    <row r="3104" spans="5:11" x14ac:dyDescent="0.3">
      <c r="E3104" s="6"/>
      <c r="F3104" s="1"/>
      <c r="K3104" s="1"/>
    </row>
    <row r="3105" spans="5:11" x14ac:dyDescent="0.3">
      <c r="E3105" s="6"/>
      <c r="F3105" s="1"/>
      <c r="K3105" s="1"/>
    </row>
    <row r="3106" spans="5:11" x14ac:dyDescent="0.3">
      <c r="E3106" s="6"/>
      <c r="F3106" s="1"/>
      <c r="K3106" s="1"/>
    </row>
    <row r="3107" spans="5:11" x14ac:dyDescent="0.3">
      <c r="E3107" s="6"/>
      <c r="F3107" s="1"/>
      <c r="K3107" s="1"/>
    </row>
    <row r="3108" spans="5:11" x14ac:dyDescent="0.3">
      <c r="E3108" s="6"/>
      <c r="F3108" s="1"/>
      <c r="K3108" s="1"/>
    </row>
    <row r="3109" spans="5:11" x14ac:dyDescent="0.3">
      <c r="E3109" s="6"/>
      <c r="F3109" s="1"/>
      <c r="K3109" s="1"/>
    </row>
    <row r="3110" spans="5:11" x14ac:dyDescent="0.3">
      <c r="E3110" s="6"/>
      <c r="F3110" s="1"/>
      <c r="K3110" s="1"/>
    </row>
    <row r="3111" spans="5:11" x14ac:dyDescent="0.3">
      <c r="E3111" s="6"/>
      <c r="F3111" s="1"/>
      <c r="K3111" s="1"/>
    </row>
    <row r="3112" spans="5:11" x14ac:dyDescent="0.3">
      <c r="E3112" s="6"/>
      <c r="F3112" s="1"/>
      <c r="K3112" s="1"/>
    </row>
    <row r="3113" spans="5:11" x14ac:dyDescent="0.3">
      <c r="E3113" s="6"/>
      <c r="F3113" s="1"/>
      <c r="K3113" s="1"/>
    </row>
    <row r="3114" spans="5:11" x14ac:dyDescent="0.3">
      <c r="E3114" s="5"/>
      <c r="F3114" s="1"/>
      <c r="K3114" s="1"/>
    </row>
    <row r="3115" spans="5:11" x14ac:dyDescent="0.3">
      <c r="E3115" s="5"/>
      <c r="F3115" s="1"/>
      <c r="K3115" s="1"/>
    </row>
    <row r="3116" spans="5:11" x14ac:dyDescent="0.3">
      <c r="E3116" s="5"/>
      <c r="F3116" s="1"/>
      <c r="K3116" s="1"/>
    </row>
    <row r="3117" spans="5:11" x14ac:dyDescent="0.3">
      <c r="E3117" s="6"/>
      <c r="F3117" s="1"/>
      <c r="K3117" s="1"/>
    </row>
    <row r="3118" spans="5:11" x14ac:dyDescent="0.3">
      <c r="E3118" s="6"/>
      <c r="F3118" s="1"/>
      <c r="K3118" s="1"/>
    </row>
    <row r="3119" spans="5:11" x14ac:dyDescent="0.3">
      <c r="E3119" s="6"/>
      <c r="F3119" s="1"/>
      <c r="K3119" s="1"/>
    </row>
    <row r="3120" spans="5:11" x14ac:dyDescent="0.3">
      <c r="E3120" s="6"/>
      <c r="F3120" s="1"/>
      <c r="K3120" s="1"/>
    </row>
    <row r="3121" spans="5:11" x14ac:dyDescent="0.3">
      <c r="E3121" s="6"/>
      <c r="F3121" s="1"/>
      <c r="K3121" s="1"/>
    </row>
    <row r="3122" spans="5:11" x14ac:dyDescent="0.3">
      <c r="E3122" s="6"/>
      <c r="F3122" s="1"/>
      <c r="K3122" s="1"/>
    </row>
    <row r="3123" spans="5:11" x14ac:dyDescent="0.3">
      <c r="E3123" s="6"/>
      <c r="F3123" s="1"/>
      <c r="K3123" s="1"/>
    </row>
    <row r="3124" spans="5:11" x14ac:dyDescent="0.3">
      <c r="E3124" s="6"/>
      <c r="F3124" s="1"/>
      <c r="K3124" s="1"/>
    </row>
    <row r="3125" spans="5:11" x14ac:dyDescent="0.3">
      <c r="E3125" s="6"/>
      <c r="F3125" s="1"/>
      <c r="K3125" s="1"/>
    </row>
    <row r="3126" spans="5:11" x14ac:dyDescent="0.3">
      <c r="E3126" s="6"/>
      <c r="F3126" s="1"/>
      <c r="K3126" s="1"/>
    </row>
    <row r="3127" spans="5:11" x14ac:dyDescent="0.3">
      <c r="E3127" s="6"/>
      <c r="F3127" s="1"/>
      <c r="K3127" s="1"/>
    </row>
    <row r="3128" spans="5:11" x14ac:dyDescent="0.3">
      <c r="E3128" s="6"/>
      <c r="F3128" s="1"/>
      <c r="K3128" s="1"/>
    </row>
    <row r="3129" spans="5:11" x14ac:dyDescent="0.3">
      <c r="E3129" s="6"/>
      <c r="F3129" s="1"/>
      <c r="K3129" s="1"/>
    </row>
    <row r="3130" spans="5:11" x14ac:dyDescent="0.3">
      <c r="E3130" s="6"/>
      <c r="F3130" s="1"/>
      <c r="K3130" s="1"/>
    </row>
    <row r="3131" spans="5:11" x14ac:dyDescent="0.3">
      <c r="E3131" s="5"/>
      <c r="F3131" s="1"/>
      <c r="K3131" s="1"/>
    </row>
    <row r="3132" spans="5:11" x14ac:dyDescent="0.3">
      <c r="E3132" s="6"/>
      <c r="F3132" s="1"/>
      <c r="K3132" s="1"/>
    </row>
    <row r="3133" spans="5:11" x14ac:dyDescent="0.3">
      <c r="E3133" s="6"/>
      <c r="F3133" s="1"/>
      <c r="K3133" s="1"/>
    </row>
    <row r="3134" spans="5:11" x14ac:dyDescent="0.3">
      <c r="E3134" s="6"/>
      <c r="F3134" s="1"/>
      <c r="K3134" s="1"/>
    </row>
    <row r="3135" spans="5:11" x14ac:dyDescent="0.3">
      <c r="E3135" s="6"/>
      <c r="F3135" s="1"/>
      <c r="K3135" s="1"/>
    </row>
    <row r="3136" spans="5:11" x14ac:dyDescent="0.3">
      <c r="E3136" s="6"/>
      <c r="F3136" s="1"/>
      <c r="K3136" s="1"/>
    </row>
    <row r="3137" spans="5:11" x14ac:dyDescent="0.3">
      <c r="E3137" s="6"/>
      <c r="F3137" s="1"/>
      <c r="K3137" s="1"/>
    </row>
    <row r="3138" spans="5:11" x14ac:dyDescent="0.3">
      <c r="E3138" s="6"/>
      <c r="F3138" s="1"/>
      <c r="K3138" s="1"/>
    </row>
    <row r="3139" spans="5:11" x14ac:dyDescent="0.3">
      <c r="E3139" s="6"/>
      <c r="F3139" s="1"/>
      <c r="K3139" s="1"/>
    </row>
    <row r="3140" spans="5:11" x14ac:dyDescent="0.3">
      <c r="E3140" s="6"/>
      <c r="F3140" s="1"/>
      <c r="K3140" s="1"/>
    </row>
    <row r="3141" spans="5:11" x14ac:dyDescent="0.3">
      <c r="E3141" s="6"/>
      <c r="F3141" s="1"/>
      <c r="K3141" s="1"/>
    </row>
    <row r="3142" spans="5:11" x14ac:dyDescent="0.3">
      <c r="E3142" s="6"/>
      <c r="F3142" s="1"/>
      <c r="K3142" s="1"/>
    </row>
    <row r="3143" spans="5:11" x14ac:dyDescent="0.3">
      <c r="E3143" s="6"/>
      <c r="F3143" s="1"/>
      <c r="K3143" s="1"/>
    </row>
    <row r="3144" spans="5:11" x14ac:dyDescent="0.3">
      <c r="E3144" s="6"/>
      <c r="F3144" s="1"/>
      <c r="K3144" s="1"/>
    </row>
    <row r="3145" spans="5:11" x14ac:dyDescent="0.3">
      <c r="E3145" s="6"/>
      <c r="F3145" s="1"/>
      <c r="K3145" s="1"/>
    </row>
    <row r="3146" spans="5:11" x14ac:dyDescent="0.3">
      <c r="E3146" s="6"/>
      <c r="F3146" s="1"/>
      <c r="K3146" s="1"/>
    </row>
    <row r="3147" spans="5:11" x14ac:dyDescent="0.3">
      <c r="E3147" s="6"/>
      <c r="F3147" s="1"/>
      <c r="K3147" s="1"/>
    </row>
    <row r="3148" spans="5:11" x14ac:dyDescent="0.3">
      <c r="E3148" s="6"/>
      <c r="F3148" s="1"/>
      <c r="K3148" s="1"/>
    </row>
    <row r="3149" spans="5:11" x14ac:dyDescent="0.3">
      <c r="E3149" s="6"/>
      <c r="F3149" s="1"/>
      <c r="K3149" s="1"/>
    </row>
    <row r="3150" spans="5:11" x14ac:dyDescent="0.3">
      <c r="E3150" s="6"/>
      <c r="F3150" s="1"/>
      <c r="K3150" s="1"/>
    </row>
    <row r="3151" spans="5:11" x14ac:dyDescent="0.3">
      <c r="E3151" s="6"/>
      <c r="F3151" s="1"/>
      <c r="K3151" s="1"/>
    </row>
    <row r="3152" spans="5:11" x14ac:dyDescent="0.3">
      <c r="E3152" s="6"/>
      <c r="F3152" s="1"/>
      <c r="K3152" s="1"/>
    </row>
    <row r="3153" spans="5:11" x14ac:dyDescent="0.3">
      <c r="E3153" s="6"/>
      <c r="F3153" s="1"/>
      <c r="K3153" s="1"/>
    </row>
    <row r="3154" spans="5:11" x14ac:dyDescent="0.3">
      <c r="E3154" s="6"/>
      <c r="F3154" s="1"/>
      <c r="K3154" s="1"/>
    </row>
    <row r="3155" spans="5:11" x14ac:dyDescent="0.3">
      <c r="E3155" s="6"/>
      <c r="F3155" s="1"/>
      <c r="K3155" s="1"/>
    </row>
    <row r="3156" spans="5:11" x14ac:dyDescent="0.3">
      <c r="E3156" s="6"/>
      <c r="F3156" s="1"/>
      <c r="K3156" s="1"/>
    </row>
    <row r="3157" spans="5:11" x14ac:dyDescent="0.3">
      <c r="E3157" s="6"/>
      <c r="F3157" s="1"/>
      <c r="K3157" s="1"/>
    </row>
    <row r="3158" spans="5:11" x14ac:dyDescent="0.3">
      <c r="E3158" s="6"/>
      <c r="F3158" s="1"/>
      <c r="K3158" s="1"/>
    </row>
    <row r="3159" spans="5:11" x14ac:dyDescent="0.3">
      <c r="E3159" s="6"/>
      <c r="F3159" s="1"/>
      <c r="K3159" s="1"/>
    </row>
    <row r="3160" spans="5:11" x14ac:dyDescent="0.3">
      <c r="E3160" s="6"/>
      <c r="F3160" s="1"/>
      <c r="K3160" s="1"/>
    </row>
    <row r="3161" spans="5:11" x14ac:dyDescent="0.3">
      <c r="E3161" s="6"/>
      <c r="F3161" s="1"/>
      <c r="K3161" s="1"/>
    </row>
    <row r="3162" spans="5:11" x14ac:dyDescent="0.3">
      <c r="E3162" s="5"/>
      <c r="F3162" s="1"/>
      <c r="K3162" s="1"/>
    </row>
    <row r="3163" spans="5:11" x14ac:dyDescent="0.3">
      <c r="E3163" s="6"/>
      <c r="F3163" s="1"/>
      <c r="K3163" s="1"/>
    </row>
    <row r="3164" spans="5:11" x14ac:dyDescent="0.3">
      <c r="E3164" s="6"/>
      <c r="F3164" s="1"/>
      <c r="K3164" s="1"/>
    </row>
    <row r="3165" spans="5:11" x14ac:dyDescent="0.3">
      <c r="E3165" s="6"/>
      <c r="F3165" s="1"/>
      <c r="K3165" s="1"/>
    </row>
    <row r="3166" spans="5:11" x14ac:dyDescent="0.3">
      <c r="E3166" s="6"/>
      <c r="F3166" s="1"/>
      <c r="K3166" s="1"/>
    </row>
    <row r="3167" spans="5:11" x14ac:dyDescent="0.3">
      <c r="E3167" s="6"/>
      <c r="F3167" s="1"/>
      <c r="K3167" s="1"/>
    </row>
    <row r="3168" spans="5:11" x14ac:dyDescent="0.3">
      <c r="E3168" s="6"/>
      <c r="F3168" s="1"/>
      <c r="K3168" s="1"/>
    </row>
    <row r="3169" spans="5:11" x14ac:dyDescent="0.3">
      <c r="E3169" s="6"/>
      <c r="F3169" s="1"/>
      <c r="K3169" s="1"/>
    </row>
    <row r="3170" spans="5:11" x14ac:dyDescent="0.3">
      <c r="E3170" s="6"/>
      <c r="F3170" s="1"/>
      <c r="K3170" s="1"/>
    </row>
    <row r="3171" spans="5:11" x14ac:dyDescent="0.3">
      <c r="E3171" s="6"/>
      <c r="F3171" s="1"/>
      <c r="K3171" s="1"/>
    </row>
    <row r="3172" spans="5:11" x14ac:dyDescent="0.3">
      <c r="E3172" s="6"/>
      <c r="F3172" s="1"/>
      <c r="K3172" s="1"/>
    </row>
    <row r="3173" spans="5:11" x14ac:dyDescent="0.3">
      <c r="E3173" s="6"/>
      <c r="F3173" s="1"/>
      <c r="K3173" s="1"/>
    </row>
    <row r="3174" spans="5:11" x14ac:dyDescent="0.3">
      <c r="E3174" s="6"/>
      <c r="F3174" s="1"/>
      <c r="K3174" s="1"/>
    </row>
    <row r="3175" spans="5:11" x14ac:dyDescent="0.3">
      <c r="E3175" s="6"/>
      <c r="F3175" s="1"/>
      <c r="K3175" s="1"/>
    </row>
    <row r="3176" spans="5:11" x14ac:dyDescent="0.3">
      <c r="E3176" s="6"/>
      <c r="F3176" s="1"/>
      <c r="K3176" s="1"/>
    </row>
    <row r="3177" spans="5:11" x14ac:dyDescent="0.3">
      <c r="E3177" s="6"/>
      <c r="F3177" s="1"/>
      <c r="K3177" s="1"/>
    </row>
    <row r="3178" spans="5:11" x14ac:dyDescent="0.3">
      <c r="E3178" s="6"/>
      <c r="F3178" s="1"/>
      <c r="K3178" s="1"/>
    </row>
    <row r="3179" spans="5:11" x14ac:dyDescent="0.3">
      <c r="E3179" s="6"/>
      <c r="F3179" s="1"/>
      <c r="K3179" s="1"/>
    </row>
    <row r="3180" spans="5:11" x14ac:dyDescent="0.3">
      <c r="E3180" s="6"/>
      <c r="F3180" s="1"/>
      <c r="K3180" s="1"/>
    </row>
    <row r="3181" spans="5:11" x14ac:dyDescent="0.3">
      <c r="E3181" s="6"/>
      <c r="F3181" s="1"/>
      <c r="K3181" s="1"/>
    </row>
    <row r="3182" spans="5:11" x14ac:dyDescent="0.3">
      <c r="E3182" s="6"/>
      <c r="F3182" s="1"/>
      <c r="K3182" s="1"/>
    </row>
    <row r="3183" spans="5:11" x14ac:dyDescent="0.3">
      <c r="E3183" s="6"/>
      <c r="F3183" s="1"/>
      <c r="K3183" s="1"/>
    </row>
    <row r="3184" spans="5:11" x14ac:dyDescent="0.3">
      <c r="E3184" s="6"/>
      <c r="F3184" s="1"/>
      <c r="K3184" s="1"/>
    </row>
    <row r="3185" spans="5:11" x14ac:dyDescent="0.3">
      <c r="E3185" s="6"/>
      <c r="F3185" s="1"/>
      <c r="K3185" s="1"/>
    </row>
    <row r="3186" spans="5:11" x14ac:dyDescent="0.3">
      <c r="E3186" s="6"/>
      <c r="F3186" s="1"/>
      <c r="K3186" s="1"/>
    </row>
    <row r="3187" spans="5:11" x14ac:dyDescent="0.3">
      <c r="E3187" s="6"/>
      <c r="F3187" s="1"/>
      <c r="K3187" s="1"/>
    </row>
    <row r="3188" spans="5:11" x14ac:dyDescent="0.3">
      <c r="E3188" s="6"/>
      <c r="F3188" s="1"/>
      <c r="K3188" s="1"/>
    </row>
    <row r="3189" spans="5:11" x14ac:dyDescent="0.3">
      <c r="E3189" s="6"/>
      <c r="F3189" s="1"/>
      <c r="K3189" s="1"/>
    </row>
    <row r="3190" spans="5:11" x14ac:dyDescent="0.3">
      <c r="E3190" s="6"/>
      <c r="F3190" s="1"/>
      <c r="K3190" s="1"/>
    </row>
    <row r="3191" spans="5:11" x14ac:dyDescent="0.3">
      <c r="E3191" s="6"/>
      <c r="F3191" s="1"/>
      <c r="K3191" s="1"/>
    </row>
    <row r="3192" spans="5:11" x14ac:dyDescent="0.3">
      <c r="E3192" s="6"/>
      <c r="F3192" s="1"/>
      <c r="K3192" s="1"/>
    </row>
    <row r="3193" spans="5:11" x14ac:dyDescent="0.3">
      <c r="E3193" s="6"/>
      <c r="F3193" s="1"/>
      <c r="K3193" s="1"/>
    </row>
    <row r="3194" spans="5:11" x14ac:dyDescent="0.3">
      <c r="E3194" s="6"/>
      <c r="F3194" s="1"/>
      <c r="K3194" s="1"/>
    </row>
    <row r="3195" spans="5:11" x14ac:dyDescent="0.3">
      <c r="E3195" s="6"/>
      <c r="F3195" s="1"/>
      <c r="K3195" s="1"/>
    </row>
    <row r="3196" spans="5:11" x14ac:dyDescent="0.3">
      <c r="E3196" s="6"/>
      <c r="F3196" s="1"/>
      <c r="K3196" s="1"/>
    </row>
    <row r="3197" spans="5:11" x14ac:dyDescent="0.3">
      <c r="E3197" s="6"/>
      <c r="F3197" s="1"/>
      <c r="K3197" s="1"/>
    </row>
    <row r="3198" spans="5:11" x14ac:dyDescent="0.3">
      <c r="E3198" s="6"/>
      <c r="F3198" s="1"/>
      <c r="K3198" s="1"/>
    </row>
    <row r="3199" spans="5:11" x14ac:dyDescent="0.3">
      <c r="E3199" s="6"/>
      <c r="F3199" s="1"/>
      <c r="K3199" s="1"/>
    </row>
    <row r="3200" spans="5:11" x14ac:dyDescent="0.3">
      <c r="E3200" s="6"/>
      <c r="F3200" s="1"/>
      <c r="K3200" s="1"/>
    </row>
    <row r="3201" spans="5:11" x14ac:dyDescent="0.3">
      <c r="E3201" s="6"/>
      <c r="F3201" s="1"/>
      <c r="K3201" s="1"/>
    </row>
    <row r="3202" spans="5:11" x14ac:dyDescent="0.3">
      <c r="E3202" s="5"/>
      <c r="F3202" s="1"/>
      <c r="K3202" s="1"/>
    </row>
    <row r="3203" spans="5:11" x14ac:dyDescent="0.3">
      <c r="E3203" s="6"/>
      <c r="F3203" s="1"/>
      <c r="K3203" s="1"/>
    </row>
    <row r="3204" spans="5:11" x14ac:dyDescent="0.3">
      <c r="E3204" s="6"/>
      <c r="F3204" s="1"/>
      <c r="K3204" s="1"/>
    </row>
    <row r="3205" spans="5:11" x14ac:dyDescent="0.3">
      <c r="E3205" s="6"/>
      <c r="F3205" s="1"/>
      <c r="K3205" s="1"/>
    </row>
    <row r="3206" spans="5:11" x14ac:dyDescent="0.3">
      <c r="E3206" s="6"/>
      <c r="F3206" s="1"/>
      <c r="K3206" s="1"/>
    </row>
    <row r="3207" spans="5:11" x14ac:dyDescent="0.3">
      <c r="E3207" s="6"/>
      <c r="F3207" s="1"/>
      <c r="K3207" s="1"/>
    </row>
    <row r="3208" spans="5:11" x14ac:dyDescent="0.3">
      <c r="E3208" s="6"/>
      <c r="F3208" s="1"/>
      <c r="K3208" s="1"/>
    </row>
    <row r="3209" spans="5:11" x14ac:dyDescent="0.3">
      <c r="E3209" s="6"/>
      <c r="F3209" s="1"/>
      <c r="K3209" s="1"/>
    </row>
    <row r="3210" spans="5:11" x14ac:dyDescent="0.3">
      <c r="E3210" s="6"/>
      <c r="F3210" s="1"/>
      <c r="K3210" s="1"/>
    </row>
    <row r="3211" spans="5:11" x14ac:dyDescent="0.3">
      <c r="E3211" s="6"/>
      <c r="F3211" s="1"/>
      <c r="K3211" s="1"/>
    </row>
    <row r="3212" spans="5:11" x14ac:dyDescent="0.3">
      <c r="E3212" s="6"/>
      <c r="F3212" s="1"/>
      <c r="K3212" s="1"/>
    </row>
    <row r="3213" spans="5:11" x14ac:dyDescent="0.3">
      <c r="E3213" s="6"/>
      <c r="F3213" s="1"/>
      <c r="K3213" s="1"/>
    </row>
    <row r="3214" spans="5:11" x14ac:dyDescent="0.3">
      <c r="E3214" s="6"/>
      <c r="F3214" s="1"/>
      <c r="K3214" s="1"/>
    </row>
    <row r="3215" spans="5:11" x14ac:dyDescent="0.3">
      <c r="E3215" s="6"/>
      <c r="F3215" s="1"/>
      <c r="K3215" s="1"/>
    </row>
    <row r="3216" spans="5:11" x14ac:dyDescent="0.3">
      <c r="E3216" s="5"/>
      <c r="F3216" s="1"/>
      <c r="K3216" s="1"/>
    </row>
    <row r="3217" spans="5:11" x14ac:dyDescent="0.3">
      <c r="E3217" s="6"/>
      <c r="F3217" s="1"/>
      <c r="K3217" s="1"/>
    </row>
    <row r="3218" spans="5:11" x14ac:dyDescent="0.3">
      <c r="E3218" s="6"/>
      <c r="F3218" s="1"/>
      <c r="K3218" s="1"/>
    </row>
    <row r="3219" spans="5:11" x14ac:dyDescent="0.3">
      <c r="E3219" s="6"/>
      <c r="F3219" s="1"/>
      <c r="K3219" s="1"/>
    </row>
    <row r="3220" spans="5:11" x14ac:dyDescent="0.3">
      <c r="E3220" s="6"/>
      <c r="F3220" s="1"/>
      <c r="K3220" s="1"/>
    </row>
    <row r="3221" spans="5:11" x14ac:dyDescent="0.3">
      <c r="E3221" s="6"/>
      <c r="F3221" s="1"/>
      <c r="K3221" s="1"/>
    </row>
    <row r="3222" spans="5:11" x14ac:dyDescent="0.3">
      <c r="E3222" s="6"/>
      <c r="F3222" s="1"/>
      <c r="K3222" s="1"/>
    </row>
    <row r="3223" spans="5:11" x14ac:dyDescent="0.3">
      <c r="E3223" s="5"/>
      <c r="F3223" s="1"/>
      <c r="K3223" s="1"/>
    </row>
    <row r="3224" spans="5:11" x14ac:dyDescent="0.3">
      <c r="E3224" s="6"/>
      <c r="F3224" s="1"/>
      <c r="K3224" s="1"/>
    </row>
    <row r="3225" spans="5:11" x14ac:dyDescent="0.3">
      <c r="E3225" s="6"/>
      <c r="F3225" s="1"/>
      <c r="K3225" s="1"/>
    </row>
    <row r="3226" spans="5:11" x14ac:dyDescent="0.3">
      <c r="E3226" s="6"/>
      <c r="F3226" s="1"/>
      <c r="K3226" s="1"/>
    </row>
    <row r="3227" spans="5:11" x14ac:dyDescent="0.3">
      <c r="E3227" s="6"/>
      <c r="F3227" s="1"/>
      <c r="K3227" s="1"/>
    </row>
    <row r="3228" spans="5:11" x14ac:dyDescent="0.3">
      <c r="E3228" s="6"/>
      <c r="F3228" s="1"/>
      <c r="K3228" s="1"/>
    </row>
    <row r="3229" spans="5:11" x14ac:dyDescent="0.3">
      <c r="E3229" s="6"/>
      <c r="F3229" s="1"/>
      <c r="K3229" s="1"/>
    </row>
    <row r="3230" spans="5:11" x14ac:dyDescent="0.3">
      <c r="E3230" s="6"/>
      <c r="F3230" s="1"/>
      <c r="K3230" s="1"/>
    </row>
    <row r="3231" spans="5:11" x14ac:dyDescent="0.3">
      <c r="E3231" s="6"/>
      <c r="F3231" s="1"/>
      <c r="K3231" s="1"/>
    </row>
    <row r="3232" spans="5:11" x14ac:dyDescent="0.3">
      <c r="E3232" s="6"/>
      <c r="F3232" s="1"/>
      <c r="K3232" s="1"/>
    </row>
    <row r="3233" spans="5:11" x14ac:dyDescent="0.3">
      <c r="E3233" s="6"/>
      <c r="F3233" s="1"/>
      <c r="K3233" s="1"/>
    </row>
    <row r="3234" spans="5:11" x14ac:dyDescent="0.3">
      <c r="E3234" s="5"/>
      <c r="F3234" s="1"/>
      <c r="K3234" s="1"/>
    </row>
    <row r="3235" spans="5:11" x14ac:dyDescent="0.3">
      <c r="E3235" s="5"/>
      <c r="F3235" s="1"/>
      <c r="K3235" s="1"/>
    </row>
    <row r="3236" spans="5:11" x14ac:dyDescent="0.3">
      <c r="E3236" s="6"/>
      <c r="F3236" s="1"/>
      <c r="K3236" s="1"/>
    </row>
    <row r="3237" spans="5:11" x14ac:dyDescent="0.3">
      <c r="E3237" s="6"/>
      <c r="F3237" s="1"/>
      <c r="K3237" s="1"/>
    </row>
    <row r="3238" spans="5:11" x14ac:dyDescent="0.3">
      <c r="E3238" s="6"/>
      <c r="F3238" s="1"/>
      <c r="K3238" s="1"/>
    </row>
    <row r="3239" spans="5:11" x14ac:dyDescent="0.3">
      <c r="E3239" s="6"/>
      <c r="F3239" s="1"/>
      <c r="K3239" s="1"/>
    </row>
    <row r="3240" spans="5:11" x14ac:dyDescent="0.3">
      <c r="E3240" s="6"/>
      <c r="F3240" s="1"/>
      <c r="K3240" s="1"/>
    </row>
    <row r="3241" spans="5:11" x14ac:dyDescent="0.3">
      <c r="E3241" s="6"/>
      <c r="F3241" s="1"/>
      <c r="K3241" s="1"/>
    </row>
    <row r="3242" spans="5:11" x14ac:dyDescent="0.3">
      <c r="E3242" s="6"/>
      <c r="F3242" s="1"/>
      <c r="K3242" s="1"/>
    </row>
    <row r="3243" spans="5:11" x14ac:dyDescent="0.3">
      <c r="E3243" s="6"/>
      <c r="F3243" s="1"/>
      <c r="K3243" s="1"/>
    </row>
    <row r="3244" spans="5:11" x14ac:dyDescent="0.3">
      <c r="E3244" s="6"/>
      <c r="F3244" s="1"/>
      <c r="K3244" s="1"/>
    </row>
    <row r="3245" spans="5:11" x14ac:dyDescent="0.3">
      <c r="E3245" s="6"/>
      <c r="F3245" s="1"/>
      <c r="K3245" s="1"/>
    </row>
    <row r="3246" spans="5:11" x14ac:dyDescent="0.3">
      <c r="E3246" s="6"/>
      <c r="F3246" s="1"/>
      <c r="K3246" s="1"/>
    </row>
    <row r="3247" spans="5:11" x14ac:dyDescent="0.3">
      <c r="E3247" s="6"/>
      <c r="F3247" s="1"/>
      <c r="K3247" s="1"/>
    </row>
    <row r="3248" spans="5:11" x14ac:dyDescent="0.3">
      <c r="E3248" s="6"/>
      <c r="F3248" s="1"/>
      <c r="K3248" s="1"/>
    </row>
    <row r="3249" spans="5:11" x14ac:dyDescent="0.3">
      <c r="E3249" s="5"/>
      <c r="F3249" s="1"/>
      <c r="K3249" s="1"/>
    </row>
    <row r="3250" spans="5:11" x14ac:dyDescent="0.3">
      <c r="E3250" s="6"/>
      <c r="F3250" s="1"/>
      <c r="K3250" s="1"/>
    </row>
    <row r="3251" spans="5:11" x14ac:dyDescent="0.3">
      <c r="E3251" s="6"/>
      <c r="F3251" s="1"/>
      <c r="K3251" s="1"/>
    </row>
    <row r="3252" spans="5:11" x14ac:dyDescent="0.3">
      <c r="E3252" s="6"/>
      <c r="F3252" s="1"/>
      <c r="K3252" s="1"/>
    </row>
    <row r="3253" spans="5:11" x14ac:dyDescent="0.3">
      <c r="E3253" s="6"/>
      <c r="F3253" s="1"/>
      <c r="K3253" s="1"/>
    </row>
    <row r="3254" spans="5:11" x14ac:dyDescent="0.3">
      <c r="E3254" s="6"/>
      <c r="F3254" s="1"/>
      <c r="K3254" s="1"/>
    </row>
    <row r="3255" spans="5:11" x14ac:dyDescent="0.3">
      <c r="E3255" s="6"/>
      <c r="F3255" s="1"/>
      <c r="K3255" s="1"/>
    </row>
    <row r="3256" spans="5:11" x14ac:dyDescent="0.3">
      <c r="E3256" s="6"/>
      <c r="F3256" s="1"/>
      <c r="K3256" s="1"/>
    </row>
    <row r="3257" spans="5:11" x14ac:dyDescent="0.3">
      <c r="E3257" s="6"/>
      <c r="F3257" s="1"/>
      <c r="K3257" s="1"/>
    </row>
    <row r="3258" spans="5:11" x14ac:dyDescent="0.3">
      <c r="E3258" s="6"/>
      <c r="F3258" s="1"/>
      <c r="K3258" s="1"/>
    </row>
    <row r="3259" spans="5:11" x14ac:dyDescent="0.3">
      <c r="E3259" s="6"/>
      <c r="F3259" s="1"/>
      <c r="K3259" s="1"/>
    </row>
    <row r="3260" spans="5:11" x14ac:dyDescent="0.3">
      <c r="E3260" s="6"/>
      <c r="F3260" s="1"/>
      <c r="K3260" s="1"/>
    </row>
    <row r="3261" spans="5:11" x14ac:dyDescent="0.3">
      <c r="E3261" s="6"/>
      <c r="F3261" s="1"/>
      <c r="K3261" s="1"/>
    </row>
    <row r="3262" spans="5:11" x14ac:dyDescent="0.3">
      <c r="E3262" s="6"/>
      <c r="F3262" s="1"/>
      <c r="K3262" s="1"/>
    </row>
    <row r="3263" spans="5:11" x14ac:dyDescent="0.3">
      <c r="E3263" s="6"/>
      <c r="F3263" s="1"/>
      <c r="K3263" s="1"/>
    </row>
    <row r="3264" spans="5:11" x14ac:dyDescent="0.3">
      <c r="E3264" s="6"/>
      <c r="F3264" s="1"/>
      <c r="K3264" s="1"/>
    </row>
    <row r="3265" spans="5:11" x14ac:dyDescent="0.3">
      <c r="E3265" s="6"/>
      <c r="F3265" s="1"/>
      <c r="K3265" s="1"/>
    </row>
    <row r="3266" spans="5:11" x14ac:dyDescent="0.3">
      <c r="E3266" s="6"/>
      <c r="F3266" s="1"/>
      <c r="K3266" s="1"/>
    </row>
    <row r="3267" spans="5:11" x14ac:dyDescent="0.3">
      <c r="E3267" s="6"/>
      <c r="F3267" s="1"/>
      <c r="K3267" s="1"/>
    </row>
    <row r="3268" spans="5:11" x14ac:dyDescent="0.3">
      <c r="E3268" s="5"/>
      <c r="F3268" s="1"/>
      <c r="K3268" s="1"/>
    </row>
    <row r="3269" spans="5:11" x14ac:dyDescent="0.3">
      <c r="E3269" s="5"/>
      <c r="F3269" s="1"/>
      <c r="K3269" s="1"/>
    </row>
    <row r="3270" spans="5:11" x14ac:dyDescent="0.3">
      <c r="E3270" s="5"/>
      <c r="F3270" s="1"/>
      <c r="K3270" s="1"/>
    </row>
    <row r="3271" spans="5:11" x14ac:dyDescent="0.3">
      <c r="E3271" s="5"/>
      <c r="F3271" s="1"/>
      <c r="K3271" s="1"/>
    </row>
    <row r="3272" spans="5:11" x14ac:dyDescent="0.3">
      <c r="E3272" s="6"/>
      <c r="F3272" s="1"/>
      <c r="K3272" s="1"/>
    </row>
    <row r="3273" spans="5:11" x14ac:dyDescent="0.3">
      <c r="E3273" s="6"/>
      <c r="F3273" s="1"/>
      <c r="K3273" s="1"/>
    </row>
    <row r="3274" spans="5:11" x14ac:dyDescent="0.3">
      <c r="E3274" s="6"/>
      <c r="F3274" s="1"/>
      <c r="K3274" s="1"/>
    </row>
    <row r="3275" spans="5:11" x14ac:dyDescent="0.3">
      <c r="E3275" s="6"/>
      <c r="F3275" s="1"/>
      <c r="K3275" s="1"/>
    </row>
    <row r="3276" spans="5:11" x14ac:dyDescent="0.3">
      <c r="E3276" s="6"/>
      <c r="F3276" s="1"/>
      <c r="K3276" s="1"/>
    </row>
    <row r="3277" spans="5:11" x14ac:dyDescent="0.3">
      <c r="E3277" s="6"/>
      <c r="F3277" s="1"/>
      <c r="K3277" s="1"/>
    </row>
    <row r="3278" spans="5:11" x14ac:dyDescent="0.3">
      <c r="E3278" s="6"/>
      <c r="F3278" s="1"/>
      <c r="K3278" s="1"/>
    </row>
    <row r="3279" spans="5:11" x14ac:dyDescent="0.3">
      <c r="E3279" s="6"/>
      <c r="F3279" s="1"/>
      <c r="K3279" s="1"/>
    </row>
    <row r="3280" spans="5:11" x14ac:dyDescent="0.3">
      <c r="E3280" s="6"/>
      <c r="F3280" s="1"/>
      <c r="K3280" s="1"/>
    </row>
    <row r="3281" spans="5:11" x14ac:dyDescent="0.3">
      <c r="E3281" s="6"/>
      <c r="F3281" s="1"/>
      <c r="K3281" s="1"/>
    </row>
    <row r="3282" spans="5:11" x14ac:dyDescent="0.3">
      <c r="E3282" s="6"/>
      <c r="F3282" s="1"/>
      <c r="K3282" s="1"/>
    </row>
    <row r="3283" spans="5:11" x14ac:dyDescent="0.3">
      <c r="E3283" s="6"/>
      <c r="F3283" s="1"/>
      <c r="K3283" s="1"/>
    </row>
    <row r="3284" spans="5:11" x14ac:dyDescent="0.3">
      <c r="E3284" s="6"/>
      <c r="F3284" s="1"/>
      <c r="K3284" s="1"/>
    </row>
    <row r="3285" spans="5:11" x14ac:dyDescent="0.3">
      <c r="E3285" s="6"/>
      <c r="F3285" s="1"/>
      <c r="K3285" s="1"/>
    </row>
    <row r="3286" spans="5:11" x14ac:dyDescent="0.3">
      <c r="E3286" s="6"/>
      <c r="F3286" s="1"/>
      <c r="K3286" s="1"/>
    </row>
    <row r="3287" spans="5:11" x14ac:dyDescent="0.3">
      <c r="E3287" s="5"/>
      <c r="F3287" s="1"/>
      <c r="K3287" s="1"/>
    </row>
    <row r="3288" spans="5:11" x14ac:dyDescent="0.3">
      <c r="E3288" s="6"/>
      <c r="F3288" s="1"/>
      <c r="K3288" s="1"/>
    </row>
    <row r="3289" spans="5:11" x14ac:dyDescent="0.3">
      <c r="E3289" s="6"/>
      <c r="F3289" s="1"/>
      <c r="K3289" s="1"/>
    </row>
    <row r="3290" spans="5:11" x14ac:dyDescent="0.3">
      <c r="E3290" s="6"/>
      <c r="F3290" s="1"/>
      <c r="K3290" s="1"/>
    </row>
    <row r="3291" spans="5:11" x14ac:dyDescent="0.3">
      <c r="E3291" s="6"/>
      <c r="F3291" s="1"/>
      <c r="K3291" s="1"/>
    </row>
    <row r="3292" spans="5:11" x14ac:dyDescent="0.3">
      <c r="E3292" s="6"/>
      <c r="F3292" s="1"/>
      <c r="K3292" s="1"/>
    </row>
    <row r="3293" spans="5:11" x14ac:dyDescent="0.3">
      <c r="E3293" s="6"/>
      <c r="F3293" s="1"/>
      <c r="K3293" s="1"/>
    </row>
    <row r="3294" spans="5:11" x14ac:dyDescent="0.3">
      <c r="E3294" s="6"/>
      <c r="F3294" s="1"/>
      <c r="K3294" s="1"/>
    </row>
    <row r="3295" spans="5:11" x14ac:dyDescent="0.3">
      <c r="E3295" s="6"/>
      <c r="F3295" s="1"/>
      <c r="K3295" s="1"/>
    </row>
    <row r="3296" spans="5:11" x14ac:dyDescent="0.3">
      <c r="E3296" s="6"/>
      <c r="F3296" s="1"/>
      <c r="K3296" s="1"/>
    </row>
    <row r="3297" spans="5:11" x14ac:dyDescent="0.3">
      <c r="E3297" s="6"/>
      <c r="F3297" s="1"/>
      <c r="K3297" s="1"/>
    </row>
    <row r="3298" spans="5:11" x14ac:dyDescent="0.3">
      <c r="E3298" s="6"/>
      <c r="F3298" s="1"/>
      <c r="K3298" s="1"/>
    </row>
    <row r="3299" spans="5:11" x14ac:dyDescent="0.3">
      <c r="E3299" s="6"/>
      <c r="F3299" s="1"/>
      <c r="K3299" s="1"/>
    </row>
    <row r="3300" spans="5:11" x14ac:dyDescent="0.3">
      <c r="E3300" s="6"/>
      <c r="F3300" s="1"/>
      <c r="K3300" s="1"/>
    </row>
    <row r="3301" spans="5:11" x14ac:dyDescent="0.3">
      <c r="E3301" s="6"/>
      <c r="F3301" s="1"/>
      <c r="K3301" s="1"/>
    </row>
    <row r="3302" spans="5:11" x14ac:dyDescent="0.3">
      <c r="E3302" s="6"/>
      <c r="F3302" s="1"/>
      <c r="K3302" s="1"/>
    </row>
    <row r="3303" spans="5:11" x14ac:dyDescent="0.3">
      <c r="E3303" s="6"/>
      <c r="F3303" s="1"/>
      <c r="K3303" s="1"/>
    </row>
    <row r="3304" spans="5:11" x14ac:dyDescent="0.3">
      <c r="E3304" s="6"/>
      <c r="F3304" s="1"/>
      <c r="K3304" s="1"/>
    </row>
    <row r="3305" spans="5:11" x14ac:dyDescent="0.3">
      <c r="E3305" s="6"/>
      <c r="F3305" s="1"/>
      <c r="K3305" s="1"/>
    </row>
    <row r="3306" spans="5:11" x14ac:dyDescent="0.3">
      <c r="E3306" s="6"/>
      <c r="F3306" s="1"/>
      <c r="K3306" s="1"/>
    </row>
    <row r="3307" spans="5:11" x14ac:dyDescent="0.3">
      <c r="E3307" s="6"/>
      <c r="F3307" s="1"/>
      <c r="K3307" s="1"/>
    </row>
    <row r="3308" spans="5:11" x14ac:dyDescent="0.3">
      <c r="E3308" s="6"/>
      <c r="F3308" s="1"/>
      <c r="K3308" s="1"/>
    </row>
    <row r="3309" spans="5:11" x14ac:dyDescent="0.3">
      <c r="E3309" s="6"/>
      <c r="F3309" s="1"/>
      <c r="K3309" s="1"/>
    </row>
    <row r="3310" spans="5:11" x14ac:dyDescent="0.3">
      <c r="E3310" s="6"/>
      <c r="F3310" s="1"/>
      <c r="K3310" s="1"/>
    </row>
    <row r="3311" spans="5:11" x14ac:dyDescent="0.3">
      <c r="E3311" s="6"/>
      <c r="F3311" s="1"/>
      <c r="K3311" s="1"/>
    </row>
    <row r="3312" spans="5:11" x14ac:dyDescent="0.3">
      <c r="E3312" s="6"/>
      <c r="F3312" s="1"/>
      <c r="K3312" s="1"/>
    </row>
    <row r="3313" spans="5:11" x14ac:dyDescent="0.3">
      <c r="E3313" s="6"/>
      <c r="F3313" s="1"/>
      <c r="K3313" s="1"/>
    </row>
    <row r="3314" spans="5:11" x14ac:dyDescent="0.3">
      <c r="E3314" s="6"/>
      <c r="F3314" s="1"/>
      <c r="K3314" s="1"/>
    </row>
    <row r="3315" spans="5:11" x14ac:dyDescent="0.3">
      <c r="E3315" s="6"/>
      <c r="F3315" s="1"/>
      <c r="K3315" s="1"/>
    </row>
    <row r="3316" spans="5:11" x14ac:dyDescent="0.3">
      <c r="E3316" s="6"/>
      <c r="F3316" s="1"/>
      <c r="K3316" s="1"/>
    </row>
    <row r="3317" spans="5:11" x14ac:dyDescent="0.3">
      <c r="E3317" s="6"/>
      <c r="F3317" s="1"/>
      <c r="K3317" s="1"/>
    </row>
    <row r="3318" spans="5:11" x14ac:dyDescent="0.3">
      <c r="E3318" s="6"/>
      <c r="F3318" s="1"/>
      <c r="K3318" s="1"/>
    </row>
    <row r="3319" spans="5:11" x14ac:dyDescent="0.3">
      <c r="E3319" s="6"/>
      <c r="F3319" s="1"/>
      <c r="K3319" s="1"/>
    </row>
    <row r="3320" spans="5:11" x14ac:dyDescent="0.3">
      <c r="E3320" s="6"/>
      <c r="F3320" s="1"/>
      <c r="K3320" s="1"/>
    </row>
    <row r="3321" spans="5:11" x14ac:dyDescent="0.3">
      <c r="E3321" s="6"/>
      <c r="F3321" s="1"/>
      <c r="K3321" s="1"/>
    </row>
    <row r="3322" spans="5:11" x14ac:dyDescent="0.3">
      <c r="E3322" s="6"/>
      <c r="F3322" s="1"/>
      <c r="K3322" s="1"/>
    </row>
    <row r="3323" spans="5:11" x14ac:dyDescent="0.3">
      <c r="E3323" s="6"/>
      <c r="F3323" s="1"/>
      <c r="K3323" s="1"/>
    </row>
    <row r="3324" spans="5:11" x14ac:dyDescent="0.3">
      <c r="E3324" s="6"/>
      <c r="F3324" s="1"/>
      <c r="K3324" s="1"/>
    </row>
    <row r="3325" spans="5:11" x14ac:dyDescent="0.3">
      <c r="E3325" s="6"/>
      <c r="F3325" s="1"/>
      <c r="K3325" s="1"/>
    </row>
    <row r="3326" spans="5:11" x14ac:dyDescent="0.3">
      <c r="E3326" s="6"/>
      <c r="F3326" s="1"/>
      <c r="K3326" s="1"/>
    </row>
    <row r="3327" spans="5:11" x14ac:dyDescent="0.3">
      <c r="E3327" s="6"/>
      <c r="F3327" s="1"/>
      <c r="K3327" s="1"/>
    </row>
    <row r="3328" spans="5:11" x14ac:dyDescent="0.3">
      <c r="E3328" s="6"/>
      <c r="F3328" s="1"/>
      <c r="K3328" s="1"/>
    </row>
    <row r="3329" spans="5:11" x14ac:dyDescent="0.3">
      <c r="E3329" s="6"/>
      <c r="F3329" s="1"/>
      <c r="K3329" s="1"/>
    </row>
    <row r="3330" spans="5:11" x14ac:dyDescent="0.3">
      <c r="E3330" s="6"/>
      <c r="F3330" s="1"/>
      <c r="K3330" s="1"/>
    </row>
    <row r="3331" spans="5:11" x14ac:dyDescent="0.3">
      <c r="E3331" s="6"/>
      <c r="F3331" s="1"/>
      <c r="K3331" s="1"/>
    </row>
    <row r="3332" spans="5:11" x14ac:dyDescent="0.3">
      <c r="E3332" s="6"/>
      <c r="F3332" s="1"/>
      <c r="K3332" s="1"/>
    </row>
    <row r="3333" spans="5:11" x14ac:dyDescent="0.3">
      <c r="E3333" s="6"/>
      <c r="F3333" s="1"/>
      <c r="K3333" s="1"/>
    </row>
    <row r="3334" spans="5:11" x14ac:dyDescent="0.3">
      <c r="E3334" s="6"/>
      <c r="F3334" s="1"/>
      <c r="K3334" s="1"/>
    </row>
    <row r="3335" spans="5:11" x14ac:dyDescent="0.3">
      <c r="E3335" s="6"/>
      <c r="F3335" s="1"/>
      <c r="K3335" s="1"/>
    </row>
    <row r="3336" spans="5:11" x14ac:dyDescent="0.3">
      <c r="E3336" s="6"/>
      <c r="F3336" s="1"/>
      <c r="K3336" s="1"/>
    </row>
    <row r="3337" spans="5:11" x14ac:dyDescent="0.3">
      <c r="E3337" s="6"/>
      <c r="F3337" s="1"/>
      <c r="K3337" s="1"/>
    </row>
    <row r="3338" spans="5:11" x14ac:dyDescent="0.3">
      <c r="E3338" s="6"/>
      <c r="F3338" s="1"/>
      <c r="K3338" s="1"/>
    </row>
    <row r="3339" spans="5:11" x14ac:dyDescent="0.3">
      <c r="E3339" s="5"/>
      <c r="F3339" s="1"/>
      <c r="K3339" s="1"/>
    </row>
    <row r="3340" spans="5:11" x14ac:dyDescent="0.3">
      <c r="E3340" s="5"/>
      <c r="F3340" s="1"/>
      <c r="K3340" s="1"/>
    </row>
    <row r="3341" spans="5:11" x14ac:dyDescent="0.3">
      <c r="E3341" s="5"/>
      <c r="F3341" s="1"/>
      <c r="K3341" s="1"/>
    </row>
    <row r="3342" spans="5:11" x14ac:dyDescent="0.3">
      <c r="E3342" s="5"/>
      <c r="F3342" s="1"/>
      <c r="K3342" s="1"/>
    </row>
    <row r="3343" spans="5:11" x14ac:dyDescent="0.3">
      <c r="E3343" s="6"/>
      <c r="F3343" s="1"/>
      <c r="K3343" s="1"/>
    </row>
    <row r="3344" spans="5:11" x14ac:dyDescent="0.3">
      <c r="E3344" s="6"/>
      <c r="F3344" s="1"/>
      <c r="K3344" s="1"/>
    </row>
    <row r="3345" spans="5:11" x14ac:dyDescent="0.3">
      <c r="E3345" s="6"/>
      <c r="F3345" s="1"/>
      <c r="K3345" s="1"/>
    </row>
    <row r="3346" spans="5:11" x14ac:dyDescent="0.3">
      <c r="E3346" s="6"/>
      <c r="F3346" s="1"/>
      <c r="K3346" s="1"/>
    </row>
    <row r="3347" spans="5:11" x14ac:dyDescent="0.3">
      <c r="E3347" s="6"/>
      <c r="F3347" s="1"/>
      <c r="K3347" s="1"/>
    </row>
    <row r="3348" spans="5:11" x14ac:dyDescent="0.3">
      <c r="E3348" s="6"/>
      <c r="F3348" s="1"/>
      <c r="K3348" s="1"/>
    </row>
    <row r="3349" spans="5:11" x14ac:dyDescent="0.3">
      <c r="E3349" s="6"/>
      <c r="F3349" s="1"/>
      <c r="K3349" s="1"/>
    </row>
    <row r="3350" spans="5:11" x14ac:dyDescent="0.3">
      <c r="E3350" s="6"/>
      <c r="F3350" s="1"/>
      <c r="K3350" s="1"/>
    </row>
    <row r="3351" spans="5:11" x14ac:dyDescent="0.3">
      <c r="E3351" s="6"/>
      <c r="F3351" s="1"/>
      <c r="K3351" s="1"/>
    </row>
    <row r="3352" spans="5:11" x14ac:dyDescent="0.3">
      <c r="E3352" s="6"/>
      <c r="F3352" s="1"/>
      <c r="K3352" s="1"/>
    </row>
    <row r="3353" spans="5:11" x14ac:dyDescent="0.3">
      <c r="E3353" s="6"/>
      <c r="F3353" s="1"/>
      <c r="K3353" s="1"/>
    </row>
    <row r="3354" spans="5:11" x14ac:dyDescent="0.3">
      <c r="E3354" s="6"/>
      <c r="F3354" s="1"/>
      <c r="K3354" s="1"/>
    </row>
    <row r="3355" spans="5:11" x14ac:dyDescent="0.3">
      <c r="E3355" s="6"/>
      <c r="F3355" s="1"/>
      <c r="K3355" s="1"/>
    </row>
    <row r="3356" spans="5:11" x14ac:dyDescent="0.3">
      <c r="E3356" s="6"/>
      <c r="F3356" s="1"/>
      <c r="K3356" s="1"/>
    </row>
    <row r="3357" spans="5:11" x14ac:dyDescent="0.3">
      <c r="E3357" s="6"/>
      <c r="F3357" s="1"/>
      <c r="K3357" s="1"/>
    </row>
    <row r="3358" spans="5:11" x14ac:dyDescent="0.3">
      <c r="E3358" s="6"/>
      <c r="F3358" s="1"/>
      <c r="K3358" s="1"/>
    </row>
    <row r="3359" spans="5:11" x14ac:dyDescent="0.3">
      <c r="E3359" s="6"/>
      <c r="F3359" s="1"/>
      <c r="K3359" s="1"/>
    </row>
    <row r="3360" spans="5:11" x14ac:dyDescent="0.3">
      <c r="E3360" s="6"/>
      <c r="F3360" s="1"/>
      <c r="K3360" s="1"/>
    </row>
    <row r="3361" spans="5:11" x14ac:dyDescent="0.3">
      <c r="E3361" s="6"/>
      <c r="F3361" s="1"/>
      <c r="K3361" s="1"/>
    </row>
    <row r="3362" spans="5:11" x14ac:dyDescent="0.3">
      <c r="E3362" s="6"/>
      <c r="F3362" s="1"/>
      <c r="K3362" s="1"/>
    </row>
    <row r="3363" spans="5:11" x14ac:dyDescent="0.3">
      <c r="E3363" s="6"/>
      <c r="F3363" s="1"/>
      <c r="K3363" s="1"/>
    </row>
    <row r="3364" spans="5:11" x14ac:dyDescent="0.3">
      <c r="E3364" s="6"/>
      <c r="F3364" s="1"/>
      <c r="K3364" s="1"/>
    </row>
    <row r="3365" spans="5:11" x14ac:dyDescent="0.3">
      <c r="E3365" s="6"/>
      <c r="F3365" s="1"/>
      <c r="K3365" s="1"/>
    </row>
    <row r="3366" spans="5:11" x14ac:dyDescent="0.3">
      <c r="E3366" s="6"/>
      <c r="F3366" s="1"/>
      <c r="K3366" s="1"/>
    </row>
    <row r="3367" spans="5:11" x14ac:dyDescent="0.3">
      <c r="E3367" s="6"/>
      <c r="F3367" s="1"/>
      <c r="K3367" s="1"/>
    </row>
    <row r="3368" spans="5:11" x14ac:dyDescent="0.3">
      <c r="E3368" s="6"/>
      <c r="F3368" s="1"/>
      <c r="K3368" s="1"/>
    </row>
    <row r="3369" spans="5:11" x14ac:dyDescent="0.3">
      <c r="E3369" s="6"/>
      <c r="F3369" s="1"/>
      <c r="K3369" s="1"/>
    </row>
    <row r="3370" spans="5:11" x14ac:dyDescent="0.3">
      <c r="E3370" s="6"/>
      <c r="F3370" s="1"/>
      <c r="K3370" s="1"/>
    </row>
    <row r="3371" spans="5:11" x14ac:dyDescent="0.3">
      <c r="E3371" s="6"/>
      <c r="F3371" s="1"/>
      <c r="K3371" s="1"/>
    </row>
    <row r="3372" spans="5:11" x14ac:dyDescent="0.3">
      <c r="E3372" s="6"/>
      <c r="F3372" s="1"/>
      <c r="K3372" s="1"/>
    </row>
    <row r="3373" spans="5:11" x14ac:dyDescent="0.3">
      <c r="E3373" s="6"/>
      <c r="F3373" s="1"/>
      <c r="K3373" s="1"/>
    </row>
    <row r="3374" spans="5:11" x14ac:dyDescent="0.3">
      <c r="E3374" s="6"/>
      <c r="F3374" s="1"/>
      <c r="K3374" s="1"/>
    </row>
    <row r="3375" spans="5:11" x14ac:dyDescent="0.3">
      <c r="E3375" s="5"/>
      <c r="F3375" s="1"/>
      <c r="K3375" s="1"/>
    </row>
    <row r="3376" spans="5:11" x14ac:dyDescent="0.3">
      <c r="E3376" s="5"/>
      <c r="F3376" s="1"/>
      <c r="K3376" s="1"/>
    </row>
    <row r="3377" spans="5:11" x14ac:dyDescent="0.3">
      <c r="E3377" s="5"/>
      <c r="F3377" s="1"/>
      <c r="K3377" s="1"/>
    </row>
    <row r="3378" spans="5:11" x14ac:dyDescent="0.3">
      <c r="E3378" s="6"/>
      <c r="F3378" s="1"/>
      <c r="K3378" s="1"/>
    </row>
    <row r="3379" spans="5:11" x14ac:dyDescent="0.3">
      <c r="E3379" s="6"/>
      <c r="F3379" s="1"/>
      <c r="K3379" s="1"/>
    </row>
    <row r="3380" spans="5:11" x14ac:dyDescent="0.3">
      <c r="E3380" s="6"/>
      <c r="F3380" s="1"/>
      <c r="K3380" s="1"/>
    </row>
    <row r="3381" spans="5:11" x14ac:dyDescent="0.3">
      <c r="E3381" s="6"/>
      <c r="F3381" s="1"/>
      <c r="K3381" s="1"/>
    </row>
    <row r="3382" spans="5:11" x14ac:dyDescent="0.3">
      <c r="E3382" s="6"/>
      <c r="F3382" s="1"/>
      <c r="K3382" s="1"/>
    </row>
    <row r="3383" spans="5:11" x14ac:dyDescent="0.3">
      <c r="E3383" s="6"/>
      <c r="F3383" s="1"/>
      <c r="K3383" s="1"/>
    </row>
    <row r="3384" spans="5:11" x14ac:dyDescent="0.3">
      <c r="E3384" s="6"/>
      <c r="F3384" s="1"/>
      <c r="K3384" s="1"/>
    </row>
    <row r="3385" spans="5:11" x14ac:dyDescent="0.3">
      <c r="E3385" s="6"/>
      <c r="F3385" s="1"/>
      <c r="K3385" s="1"/>
    </row>
    <row r="3386" spans="5:11" x14ac:dyDescent="0.3">
      <c r="E3386" s="6"/>
      <c r="F3386" s="1"/>
      <c r="K3386" s="1"/>
    </row>
    <row r="3387" spans="5:11" x14ac:dyDescent="0.3">
      <c r="E3387" s="6"/>
      <c r="F3387" s="1"/>
      <c r="K3387" s="1"/>
    </row>
    <row r="3388" spans="5:11" x14ac:dyDescent="0.3">
      <c r="E3388" s="6"/>
      <c r="F3388" s="1"/>
      <c r="K3388" s="1"/>
    </row>
    <row r="3389" spans="5:11" x14ac:dyDescent="0.3">
      <c r="E3389" s="6"/>
      <c r="F3389" s="1"/>
      <c r="K3389" s="1"/>
    </row>
    <row r="3390" spans="5:11" x14ac:dyDescent="0.3">
      <c r="E3390" s="6"/>
      <c r="F3390" s="1"/>
      <c r="K3390" s="1"/>
    </row>
    <row r="3391" spans="5:11" x14ac:dyDescent="0.3">
      <c r="E3391" s="6"/>
      <c r="F3391" s="1"/>
      <c r="K3391" s="1"/>
    </row>
    <row r="3392" spans="5:11" x14ac:dyDescent="0.3">
      <c r="E3392" s="6"/>
      <c r="F3392" s="1"/>
      <c r="K3392" s="1"/>
    </row>
    <row r="3393" spans="5:11" x14ac:dyDescent="0.3">
      <c r="E3393" s="6"/>
      <c r="F3393" s="1"/>
      <c r="K3393" s="1"/>
    </row>
    <row r="3394" spans="5:11" x14ac:dyDescent="0.3">
      <c r="E3394" s="6"/>
      <c r="F3394" s="1"/>
      <c r="K3394" s="1"/>
    </row>
    <row r="3395" spans="5:11" x14ac:dyDescent="0.3">
      <c r="E3395" s="6"/>
      <c r="F3395" s="1"/>
      <c r="K3395" s="1"/>
    </row>
    <row r="3396" spans="5:11" x14ac:dyDescent="0.3">
      <c r="E3396" s="6"/>
      <c r="F3396" s="1"/>
      <c r="K3396" s="1"/>
    </row>
    <row r="3397" spans="5:11" x14ac:dyDescent="0.3">
      <c r="E3397" s="6"/>
      <c r="F3397" s="1"/>
      <c r="K3397" s="1"/>
    </row>
    <row r="3398" spans="5:11" x14ac:dyDescent="0.3">
      <c r="E3398" s="6"/>
      <c r="F3398" s="1"/>
      <c r="K3398" s="1"/>
    </row>
    <row r="3399" spans="5:11" x14ac:dyDescent="0.3">
      <c r="E3399" s="6"/>
      <c r="F3399" s="1"/>
      <c r="K3399" s="1"/>
    </row>
    <row r="3400" spans="5:11" x14ac:dyDescent="0.3">
      <c r="E3400" s="6"/>
      <c r="F3400" s="1"/>
      <c r="K3400" s="1"/>
    </row>
    <row r="3401" spans="5:11" x14ac:dyDescent="0.3">
      <c r="E3401" s="6"/>
      <c r="F3401" s="1"/>
      <c r="K3401" s="1"/>
    </row>
    <row r="3402" spans="5:11" x14ac:dyDescent="0.3">
      <c r="E3402" s="6"/>
      <c r="F3402" s="1"/>
      <c r="K3402" s="1"/>
    </row>
    <row r="3403" spans="5:11" x14ac:dyDescent="0.3">
      <c r="E3403" s="6"/>
      <c r="F3403" s="1"/>
      <c r="K3403" s="1"/>
    </row>
    <row r="3404" spans="5:11" x14ac:dyDescent="0.3">
      <c r="E3404" s="6"/>
      <c r="F3404" s="1"/>
      <c r="K3404" s="1"/>
    </row>
    <row r="3405" spans="5:11" x14ac:dyDescent="0.3">
      <c r="E3405" s="6"/>
      <c r="F3405" s="1"/>
      <c r="K3405" s="1"/>
    </row>
    <row r="3406" spans="5:11" x14ac:dyDescent="0.3">
      <c r="E3406" s="6"/>
      <c r="F3406" s="1"/>
      <c r="K3406" s="1"/>
    </row>
    <row r="3407" spans="5:11" x14ac:dyDescent="0.3">
      <c r="E3407" s="6"/>
      <c r="F3407" s="1"/>
      <c r="K3407" s="1"/>
    </row>
    <row r="3408" spans="5:11" x14ac:dyDescent="0.3">
      <c r="E3408" s="6"/>
      <c r="F3408" s="1"/>
      <c r="K3408" s="1"/>
    </row>
    <row r="3409" spans="5:11" x14ac:dyDescent="0.3">
      <c r="E3409" s="6"/>
      <c r="F3409" s="1"/>
      <c r="K3409" s="1"/>
    </row>
    <row r="3410" spans="5:11" x14ac:dyDescent="0.3">
      <c r="E3410" s="6"/>
      <c r="F3410" s="1"/>
      <c r="K3410" s="1"/>
    </row>
    <row r="3411" spans="5:11" x14ac:dyDescent="0.3">
      <c r="E3411" s="6"/>
      <c r="F3411" s="1"/>
      <c r="K3411" s="1"/>
    </row>
    <row r="3412" spans="5:11" x14ac:dyDescent="0.3">
      <c r="E3412" s="6"/>
      <c r="F3412" s="1"/>
      <c r="K3412" s="1"/>
    </row>
    <row r="3413" spans="5:11" x14ac:dyDescent="0.3">
      <c r="E3413" s="6"/>
      <c r="F3413" s="1"/>
      <c r="K3413" s="1"/>
    </row>
    <row r="3414" spans="5:11" x14ac:dyDescent="0.3">
      <c r="E3414" s="5"/>
      <c r="F3414" s="1"/>
      <c r="K3414" s="1"/>
    </row>
    <row r="3415" spans="5:11" x14ac:dyDescent="0.3">
      <c r="E3415" s="5"/>
      <c r="F3415" s="1"/>
      <c r="K3415" s="1"/>
    </row>
    <row r="3416" spans="5:11" x14ac:dyDescent="0.3">
      <c r="E3416" s="5"/>
      <c r="F3416" s="1"/>
      <c r="K3416" s="1"/>
    </row>
    <row r="3417" spans="5:11" x14ac:dyDescent="0.3">
      <c r="E3417" s="5"/>
      <c r="F3417" s="1"/>
      <c r="K3417" s="1"/>
    </row>
    <row r="3418" spans="5:11" x14ac:dyDescent="0.3">
      <c r="E3418" s="6"/>
      <c r="F3418" s="1"/>
      <c r="K3418" s="1"/>
    </row>
    <row r="3419" spans="5:11" x14ac:dyDescent="0.3">
      <c r="E3419" s="6"/>
      <c r="F3419" s="1"/>
      <c r="K3419" s="1"/>
    </row>
    <row r="3420" spans="5:11" x14ac:dyDescent="0.3">
      <c r="E3420" s="6"/>
      <c r="F3420" s="1"/>
      <c r="K3420" s="1"/>
    </row>
    <row r="3421" spans="5:11" x14ac:dyDescent="0.3">
      <c r="E3421" s="6"/>
      <c r="F3421" s="1"/>
      <c r="K3421" s="1"/>
    </row>
    <row r="3422" spans="5:11" x14ac:dyDescent="0.3">
      <c r="E3422" s="6"/>
      <c r="F3422" s="1"/>
      <c r="K3422" s="1"/>
    </row>
    <row r="3423" spans="5:11" x14ac:dyDescent="0.3">
      <c r="E3423" s="6"/>
      <c r="F3423" s="1"/>
      <c r="K3423" s="1"/>
    </row>
    <row r="3424" spans="5:11" x14ac:dyDescent="0.3">
      <c r="E3424" s="6"/>
      <c r="F3424" s="1"/>
      <c r="K3424" s="1"/>
    </row>
    <row r="3425" spans="5:11" x14ac:dyDescent="0.3">
      <c r="E3425" s="6"/>
      <c r="F3425" s="1"/>
      <c r="K3425" s="1"/>
    </row>
    <row r="3426" spans="5:11" x14ac:dyDescent="0.3">
      <c r="E3426" s="6"/>
      <c r="F3426" s="1"/>
      <c r="K3426" s="1"/>
    </row>
    <row r="3427" spans="5:11" x14ac:dyDescent="0.3">
      <c r="E3427" s="6"/>
      <c r="F3427" s="1"/>
      <c r="K3427" s="1"/>
    </row>
    <row r="3428" spans="5:11" x14ac:dyDescent="0.3">
      <c r="E3428" s="6"/>
      <c r="F3428" s="1"/>
      <c r="K3428" s="1"/>
    </row>
    <row r="3429" spans="5:11" x14ac:dyDescent="0.3">
      <c r="E3429" s="6"/>
      <c r="F3429" s="1"/>
      <c r="K3429" s="1"/>
    </row>
    <row r="3430" spans="5:11" x14ac:dyDescent="0.3">
      <c r="E3430" s="6"/>
      <c r="F3430" s="1"/>
      <c r="K3430" s="1"/>
    </row>
    <row r="3431" spans="5:11" x14ac:dyDescent="0.3">
      <c r="E3431" s="6"/>
      <c r="F3431" s="1"/>
      <c r="K3431" s="1"/>
    </row>
    <row r="3432" spans="5:11" x14ac:dyDescent="0.3">
      <c r="E3432" s="6"/>
      <c r="F3432" s="1"/>
      <c r="K3432" s="1"/>
    </row>
    <row r="3433" spans="5:11" x14ac:dyDescent="0.3">
      <c r="E3433" s="6"/>
      <c r="F3433" s="1"/>
      <c r="K3433" s="1"/>
    </row>
    <row r="3434" spans="5:11" x14ac:dyDescent="0.3">
      <c r="E3434" s="6"/>
      <c r="F3434" s="1"/>
      <c r="K3434" s="1"/>
    </row>
    <row r="3435" spans="5:11" x14ac:dyDescent="0.3">
      <c r="E3435" s="6"/>
      <c r="F3435" s="1"/>
      <c r="K3435" s="1"/>
    </row>
    <row r="3436" spans="5:11" x14ac:dyDescent="0.3">
      <c r="E3436" s="6"/>
      <c r="F3436" s="1"/>
      <c r="K3436" s="1"/>
    </row>
    <row r="3437" spans="5:11" x14ac:dyDescent="0.3">
      <c r="E3437" s="6"/>
      <c r="F3437" s="1"/>
      <c r="K3437" s="1"/>
    </row>
    <row r="3438" spans="5:11" x14ac:dyDescent="0.3">
      <c r="E3438" s="6"/>
      <c r="F3438" s="1"/>
      <c r="K3438" s="1"/>
    </row>
    <row r="3439" spans="5:11" x14ac:dyDescent="0.3">
      <c r="E3439" s="6"/>
      <c r="F3439" s="1"/>
      <c r="K3439" s="1"/>
    </row>
    <row r="3440" spans="5:11" x14ac:dyDescent="0.3">
      <c r="E3440" s="6"/>
      <c r="F3440" s="1"/>
      <c r="K3440" s="1"/>
    </row>
    <row r="3441" spans="5:11" x14ac:dyDescent="0.3">
      <c r="E3441" s="6"/>
      <c r="F3441" s="1"/>
      <c r="K3441" s="1"/>
    </row>
    <row r="3442" spans="5:11" x14ac:dyDescent="0.3">
      <c r="E3442" s="6"/>
      <c r="F3442" s="1"/>
      <c r="K3442" s="1"/>
    </row>
    <row r="3443" spans="5:11" x14ac:dyDescent="0.3">
      <c r="E3443" s="6"/>
      <c r="F3443" s="1"/>
      <c r="K3443" s="1"/>
    </row>
    <row r="3444" spans="5:11" x14ac:dyDescent="0.3">
      <c r="E3444" s="6"/>
      <c r="F3444" s="1"/>
      <c r="K3444" s="1"/>
    </row>
    <row r="3445" spans="5:11" x14ac:dyDescent="0.3">
      <c r="E3445" s="6"/>
      <c r="F3445" s="1"/>
      <c r="K3445" s="1"/>
    </row>
    <row r="3446" spans="5:11" x14ac:dyDescent="0.3">
      <c r="E3446" s="6"/>
      <c r="F3446" s="1"/>
      <c r="K3446" s="1"/>
    </row>
    <row r="3447" spans="5:11" x14ac:dyDescent="0.3">
      <c r="E3447" s="6"/>
      <c r="F3447" s="1"/>
      <c r="K3447" s="1"/>
    </row>
    <row r="3448" spans="5:11" x14ac:dyDescent="0.3">
      <c r="E3448" s="6"/>
      <c r="F3448" s="1"/>
      <c r="K3448" s="1"/>
    </row>
    <row r="3449" spans="5:11" x14ac:dyDescent="0.3">
      <c r="E3449" s="6"/>
      <c r="F3449" s="1"/>
      <c r="K3449" s="1"/>
    </row>
    <row r="3450" spans="5:11" x14ac:dyDescent="0.3">
      <c r="E3450" s="6"/>
      <c r="F3450" s="1"/>
      <c r="K3450" s="1"/>
    </row>
    <row r="3451" spans="5:11" x14ac:dyDescent="0.3">
      <c r="E3451" s="6"/>
      <c r="F3451" s="1"/>
      <c r="K3451" s="1"/>
    </row>
    <row r="3452" spans="5:11" x14ac:dyDescent="0.3">
      <c r="E3452" s="6"/>
      <c r="F3452" s="1"/>
      <c r="K3452" s="1"/>
    </row>
    <row r="3453" spans="5:11" x14ac:dyDescent="0.3">
      <c r="E3453" s="6"/>
      <c r="F3453" s="1"/>
      <c r="K3453" s="1"/>
    </row>
    <row r="3454" spans="5:11" x14ac:dyDescent="0.3">
      <c r="E3454" s="6"/>
      <c r="F3454" s="1"/>
      <c r="K3454" s="1"/>
    </row>
    <row r="3455" spans="5:11" x14ac:dyDescent="0.3">
      <c r="E3455" s="6"/>
      <c r="F3455" s="1"/>
      <c r="K3455" s="1"/>
    </row>
    <row r="3456" spans="5:11" x14ac:dyDescent="0.3">
      <c r="E3456" s="6"/>
      <c r="F3456" s="1"/>
      <c r="K3456" s="1"/>
    </row>
    <row r="3457" spans="5:11" x14ac:dyDescent="0.3">
      <c r="E3457" s="6"/>
      <c r="F3457" s="1"/>
      <c r="K3457" s="1"/>
    </row>
    <row r="3458" spans="5:11" x14ac:dyDescent="0.3">
      <c r="E3458" s="6"/>
      <c r="F3458" s="1"/>
      <c r="K3458" s="1"/>
    </row>
    <row r="3459" spans="5:11" x14ac:dyDescent="0.3">
      <c r="E3459" s="6"/>
      <c r="F3459" s="1"/>
      <c r="K3459" s="1"/>
    </row>
    <row r="3460" spans="5:11" x14ac:dyDescent="0.3">
      <c r="E3460" s="6"/>
      <c r="F3460" s="1"/>
      <c r="K3460" s="1"/>
    </row>
    <row r="3461" spans="5:11" x14ac:dyDescent="0.3">
      <c r="E3461" s="6"/>
      <c r="F3461" s="1"/>
      <c r="K3461" s="1"/>
    </row>
    <row r="3462" spans="5:11" x14ac:dyDescent="0.3">
      <c r="E3462" s="6"/>
      <c r="F3462" s="1"/>
      <c r="K3462" s="1"/>
    </row>
    <row r="3463" spans="5:11" x14ac:dyDescent="0.3">
      <c r="E3463" s="6"/>
      <c r="F3463" s="1"/>
      <c r="K3463" s="1"/>
    </row>
    <row r="3464" spans="5:11" x14ac:dyDescent="0.3">
      <c r="E3464" s="5"/>
      <c r="F3464" s="1"/>
      <c r="K3464" s="1"/>
    </row>
    <row r="3465" spans="5:11" x14ac:dyDescent="0.3">
      <c r="E3465" s="5"/>
      <c r="F3465" s="1"/>
      <c r="K3465" s="1"/>
    </row>
    <row r="3466" spans="5:11" x14ac:dyDescent="0.3">
      <c r="E3466" s="5"/>
      <c r="F3466" s="1"/>
      <c r="K3466" s="1"/>
    </row>
    <row r="3467" spans="5:11" x14ac:dyDescent="0.3">
      <c r="E3467" s="6"/>
      <c r="F3467" s="1"/>
      <c r="K3467" s="1"/>
    </row>
    <row r="3468" spans="5:11" x14ac:dyDescent="0.3">
      <c r="E3468" s="6"/>
      <c r="F3468" s="1"/>
      <c r="K3468" s="1"/>
    </row>
    <row r="3469" spans="5:11" x14ac:dyDescent="0.3">
      <c r="E3469" s="6"/>
      <c r="F3469" s="1"/>
      <c r="K3469" s="1"/>
    </row>
    <row r="3470" spans="5:11" x14ac:dyDescent="0.3">
      <c r="E3470" s="6"/>
      <c r="F3470" s="1"/>
      <c r="K3470" s="1"/>
    </row>
    <row r="3471" spans="5:11" x14ac:dyDescent="0.3">
      <c r="E3471" s="6"/>
      <c r="F3471" s="1"/>
      <c r="K3471" s="1"/>
    </row>
    <row r="3472" spans="5:11" x14ac:dyDescent="0.3">
      <c r="E3472" s="6"/>
      <c r="F3472" s="1"/>
      <c r="K3472" s="1"/>
    </row>
    <row r="3473" spans="5:11" x14ac:dyDescent="0.3">
      <c r="E3473" s="6"/>
      <c r="F3473" s="1"/>
      <c r="K3473" s="1"/>
    </row>
    <row r="3474" spans="5:11" x14ac:dyDescent="0.3">
      <c r="E3474" s="6"/>
      <c r="F3474" s="1"/>
      <c r="K3474" s="1"/>
    </row>
    <row r="3475" spans="5:11" x14ac:dyDescent="0.3">
      <c r="E3475" s="6"/>
      <c r="F3475" s="1"/>
      <c r="K3475" s="1"/>
    </row>
    <row r="3476" spans="5:11" x14ac:dyDescent="0.3">
      <c r="E3476" s="6"/>
      <c r="F3476" s="1"/>
      <c r="K3476" s="1"/>
    </row>
    <row r="3477" spans="5:11" x14ac:dyDescent="0.3">
      <c r="E3477" s="6"/>
      <c r="F3477" s="1"/>
      <c r="K3477" s="1"/>
    </row>
    <row r="3478" spans="5:11" x14ac:dyDescent="0.3">
      <c r="E3478" s="6"/>
      <c r="F3478" s="1"/>
      <c r="K3478" s="1"/>
    </row>
    <row r="3479" spans="5:11" x14ac:dyDescent="0.3">
      <c r="E3479" s="6"/>
      <c r="F3479" s="1"/>
      <c r="K3479" s="1"/>
    </row>
    <row r="3480" spans="5:11" x14ac:dyDescent="0.3">
      <c r="E3480" s="6"/>
      <c r="F3480" s="1"/>
      <c r="K3480" s="1"/>
    </row>
    <row r="3481" spans="5:11" x14ac:dyDescent="0.3">
      <c r="E3481" s="6"/>
      <c r="F3481" s="1"/>
      <c r="K3481" s="1"/>
    </row>
    <row r="3482" spans="5:11" x14ac:dyDescent="0.3">
      <c r="E3482" s="6"/>
      <c r="F3482" s="1"/>
      <c r="K3482" s="1"/>
    </row>
    <row r="3483" spans="5:11" x14ac:dyDescent="0.3">
      <c r="E3483" s="6"/>
      <c r="F3483" s="1"/>
      <c r="K3483" s="1"/>
    </row>
    <row r="3484" spans="5:11" x14ac:dyDescent="0.3">
      <c r="E3484" s="6"/>
      <c r="F3484" s="1"/>
      <c r="K3484" s="1"/>
    </row>
    <row r="3485" spans="5:11" x14ac:dyDescent="0.3">
      <c r="E3485" s="6"/>
      <c r="F3485" s="1"/>
      <c r="K3485" s="1"/>
    </row>
    <row r="3486" spans="5:11" x14ac:dyDescent="0.3">
      <c r="E3486" s="6"/>
      <c r="F3486" s="1"/>
      <c r="K3486" s="1"/>
    </row>
    <row r="3487" spans="5:11" x14ac:dyDescent="0.3">
      <c r="E3487" s="6"/>
      <c r="F3487" s="1"/>
      <c r="K3487" s="1"/>
    </row>
    <row r="3488" spans="5:11" x14ac:dyDescent="0.3">
      <c r="E3488" s="6"/>
      <c r="F3488" s="1"/>
      <c r="K3488" s="1"/>
    </row>
    <row r="3489" spans="5:11" x14ac:dyDescent="0.3">
      <c r="E3489" s="6"/>
      <c r="F3489" s="1"/>
      <c r="K3489" s="1"/>
    </row>
    <row r="3490" spans="5:11" x14ac:dyDescent="0.3">
      <c r="E3490" s="6"/>
      <c r="F3490" s="1"/>
      <c r="K3490" s="1"/>
    </row>
    <row r="3491" spans="5:11" x14ac:dyDescent="0.3">
      <c r="E3491" s="6"/>
      <c r="F3491" s="1"/>
      <c r="K3491" s="1"/>
    </row>
    <row r="3492" spans="5:11" x14ac:dyDescent="0.3">
      <c r="E3492" s="6"/>
      <c r="F3492" s="1"/>
      <c r="K3492" s="1"/>
    </row>
    <row r="3493" spans="5:11" x14ac:dyDescent="0.3">
      <c r="E3493" s="6"/>
      <c r="F3493" s="1"/>
      <c r="K3493" s="1"/>
    </row>
    <row r="3494" spans="5:11" x14ac:dyDescent="0.3">
      <c r="E3494" s="6"/>
      <c r="F3494" s="1"/>
      <c r="K3494" s="1"/>
    </row>
    <row r="3495" spans="5:11" x14ac:dyDescent="0.3">
      <c r="E3495" s="6"/>
      <c r="F3495" s="1"/>
      <c r="K3495" s="1"/>
    </row>
    <row r="3496" spans="5:11" x14ac:dyDescent="0.3">
      <c r="E3496" s="6"/>
      <c r="F3496" s="1"/>
      <c r="K3496" s="1"/>
    </row>
    <row r="3497" spans="5:11" x14ac:dyDescent="0.3">
      <c r="E3497" s="6"/>
      <c r="F3497" s="1"/>
      <c r="K3497" s="1"/>
    </row>
    <row r="3498" spans="5:11" x14ac:dyDescent="0.3">
      <c r="E3498" s="6"/>
      <c r="F3498" s="1"/>
      <c r="K3498" s="1"/>
    </row>
    <row r="3499" spans="5:11" x14ac:dyDescent="0.3">
      <c r="E3499" s="6"/>
      <c r="F3499" s="1"/>
      <c r="K3499" s="1"/>
    </row>
    <row r="3500" spans="5:11" x14ac:dyDescent="0.3">
      <c r="E3500" s="6"/>
      <c r="F3500" s="1"/>
      <c r="K3500" s="1"/>
    </row>
    <row r="3501" spans="5:11" x14ac:dyDescent="0.3">
      <c r="E3501" s="6"/>
      <c r="F3501" s="1"/>
      <c r="K3501" s="1"/>
    </row>
    <row r="3502" spans="5:11" x14ac:dyDescent="0.3">
      <c r="E3502" s="6"/>
      <c r="F3502" s="1"/>
      <c r="K3502" s="1"/>
    </row>
    <row r="3503" spans="5:11" x14ac:dyDescent="0.3">
      <c r="E3503" s="6"/>
      <c r="F3503" s="1"/>
      <c r="K3503" s="1"/>
    </row>
    <row r="3504" spans="5:11" x14ac:dyDescent="0.3">
      <c r="E3504" s="6"/>
      <c r="F3504" s="1"/>
      <c r="K3504" s="1"/>
    </row>
    <row r="3505" spans="5:11" x14ac:dyDescent="0.3">
      <c r="E3505" s="6"/>
      <c r="F3505" s="1"/>
      <c r="K3505" s="1"/>
    </row>
    <row r="3506" spans="5:11" x14ac:dyDescent="0.3">
      <c r="E3506" s="6"/>
      <c r="F3506" s="1"/>
      <c r="K3506" s="1"/>
    </row>
    <row r="3507" spans="5:11" x14ac:dyDescent="0.3">
      <c r="E3507" s="6"/>
      <c r="F3507" s="1"/>
      <c r="K3507" s="1"/>
    </row>
    <row r="3508" spans="5:11" x14ac:dyDescent="0.3">
      <c r="E3508" s="6"/>
      <c r="F3508" s="1"/>
      <c r="K3508" s="1"/>
    </row>
    <row r="3509" spans="5:11" x14ac:dyDescent="0.3">
      <c r="E3509" s="6"/>
      <c r="F3509" s="1"/>
      <c r="K3509" s="1"/>
    </row>
    <row r="3510" spans="5:11" x14ac:dyDescent="0.3">
      <c r="E3510" s="5"/>
      <c r="F3510" s="1"/>
      <c r="K3510" s="1"/>
    </row>
    <row r="3511" spans="5:11" x14ac:dyDescent="0.3">
      <c r="E3511" s="5"/>
      <c r="F3511" s="1"/>
      <c r="K3511" s="1"/>
    </row>
    <row r="3512" spans="5:11" x14ac:dyDescent="0.3">
      <c r="E3512" s="5"/>
      <c r="F3512" s="1"/>
      <c r="K3512" s="1"/>
    </row>
    <row r="3513" spans="5:11" x14ac:dyDescent="0.3">
      <c r="E3513" s="5"/>
      <c r="F3513" s="1"/>
      <c r="K3513" s="1"/>
    </row>
    <row r="3514" spans="5:11" x14ac:dyDescent="0.3">
      <c r="E3514" s="6"/>
      <c r="F3514" s="1"/>
      <c r="K3514" s="1"/>
    </row>
    <row r="3515" spans="5:11" x14ac:dyDescent="0.3">
      <c r="E3515" s="6"/>
      <c r="F3515" s="1"/>
      <c r="K3515" s="1"/>
    </row>
    <row r="3516" spans="5:11" x14ac:dyDescent="0.3">
      <c r="E3516" s="6"/>
      <c r="F3516" s="1"/>
      <c r="K3516" s="1"/>
    </row>
    <row r="3517" spans="5:11" x14ac:dyDescent="0.3">
      <c r="E3517" s="6"/>
      <c r="F3517" s="1"/>
      <c r="K3517" s="1"/>
    </row>
    <row r="3518" spans="5:11" x14ac:dyDescent="0.3">
      <c r="E3518" s="6"/>
      <c r="F3518" s="1"/>
      <c r="K3518" s="1"/>
    </row>
    <row r="3519" spans="5:11" x14ac:dyDescent="0.3">
      <c r="E3519" s="6"/>
      <c r="F3519" s="1"/>
      <c r="K3519" s="1"/>
    </row>
    <row r="3520" spans="5:11" x14ac:dyDescent="0.3">
      <c r="E3520" s="6"/>
      <c r="F3520" s="1"/>
      <c r="K3520" s="1"/>
    </row>
    <row r="3521" spans="5:11" x14ac:dyDescent="0.3">
      <c r="E3521" s="6"/>
      <c r="F3521" s="1"/>
      <c r="K3521" s="1"/>
    </row>
    <row r="3522" spans="5:11" x14ac:dyDescent="0.3">
      <c r="E3522" s="6"/>
      <c r="F3522" s="1"/>
      <c r="K3522" s="1"/>
    </row>
    <row r="3523" spans="5:11" x14ac:dyDescent="0.3">
      <c r="E3523" s="6"/>
      <c r="F3523" s="1"/>
      <c r="K3523" s="1"/>
    </row>
    <row r="3524" spans="5:11" x14ac:dyDescent="0.3">
      <c r="E3524" s="6"/>
      <c r="F3524" s="1"/>
      <c r="K3524" s="1"/>
    </row>
    <row r="3525" spans="5:11" x14ac:dyDescent="0.3">
      <c r="E3525" s="6"/>
      <c r="F3525" s="1"/>
      <c r="K3525" s="1"/>
    </row>
    <row r="3526" spans="5:11" x14ac:dyDescent="0.3">
      <c r="E3526" s="6"/>
      <c r="F3526" s="1"/>
      <c r="K3526" s="1"/>
    </row>
    <row r="3527" spans="5:11" x14ac:dyDescent="0.3">
      <c r="E3527" s="6"/>
      <c r="F3527" s="1"/>
      <c r="K3527" s="1"/>
    </row>
    <row r="3528" spans="5:11" x14ac:dyDescent="0.3">
      <c r="E3528" s="6"/>
      <c r="F3528" s="1"/>
      <c r="K3528" s="1"/>
    </row>
    <row r="3529" spans="5:11" x14ac:dyDescent="0.3">
      <c r="E3529" s="6"/>
      <c r="F3529" s="1"/>
      <c r="K3529" s="1"/>
    </row>
    <row r="3530" spans="5:11" x14ac:dyDescent="0.3">
      <c r="E3530" s="6"/>
      <c r="F3530" s="1"/>
      <c r="K3530" s="1"/>
    </row>
    <row r="3531" spans="5:11" x14ac:dyDescent="0.3">
      <c r="E3531" s="6"/>
      <c r="F3531" s="1"/>
      <c r="K3531" s="1"/>
    </row>
    <row r="3532" spans="5:11" x14ac:dyDescent="0.3">
      <c r="E3532" s="6"/>
      <c r="F3532" s="1"/>
      <c r="K3532" s="1"/>
    </row>
    <row r="3533" spans="5:11" x14ac:dyDescent="0.3">
      <c r="E3533" s="6"/>
      <c r="F3533" s="1"/>
      <c r="K3533" s="1"/>
    </row>
    <row r="3534" spans="5:11" x14ac:dyDescent="0.3">
      <c r="E3534" s="6"/>
      <c r="F3534" s="1"/>
      <c r="K3534" s="1"/>
    </row>
    <row r="3535" spans="5:11" x14ac:dyDescent="0.3">
      <c r="E3535" s="6"/>
      <c r="F3535" s="1"/>
      <c r="K3535" s="1"/>
    </row>
    <row r="3536" spans="5:11" x14ac:dyDescent="0.3">
      <c r="E3536" s="6"/>
      <c r="F3536" s="1"/>
      <c r="K3536" s="1"/>
    </row>
    <row r="3537" spans="5:11" x14ac:dyDescent="0.3">
      <c r="E3537" s="6"/>
      <c r="F3537" s="1"/>
      <c r="K3537" s="1"/>
    </row>
    <row r="3538" spans="5:11" x14ac:dyDescent="0.3">
      <c r="E3538" s="6"/>
      <c r="F3538" s="1"/>
      <c r="K3538" s="1"/>
    </row>
    <row r="3539" spans="5:11" x14ac:dyDescent="0.3">
      <c r="E3539" s="6"/>
      <c r="F3539" s="1"/>
      <c r="K3539" s="1"/>
    </row>
    <row r="3540" spans="5:11" x14ac:dyDescent="0.3">
      <c r="E3540" s="6"/>
      <c r="F3540" s="1"/>
      <c r="K3540" s="1"/>
    </row>
    <row r="3541" spans="5:11" x14ac:dyDescent="0.3">
      <c r="E3541" s="6"/>
      <c r="F3541" s="1"/>
      <c r="K3541" s="1"/>
    </row>
    <row r="3542" spans="5:11" x14ac:dyDescent="0.3">
      <c r="E3542" s="6"/>
      <c r="F3542" s="1"/>
      <c r="K3542" s="1"/>
    </row>
    <row r="3543" spans="5:11" x14ac:dyDescent="0.3">
      <c r="E3543" s="6"/>
      <c r="F3543" s="1"/>
      <c r="K3543" s="1"/>
    </row>
    <row r="3544" spans="5:11" x14ac:dyDescent="0.3">
      <c r="E3544" s="5"/>
      <c r="F3544" s="1"/>
      <c r="K3544" s="1"/>
    </row>
    <row r="3545" spans="5:11" x14ac:dyDescent="0.3">
      <c r="E3545" s="6"/>
      <c r="F3545" s="1"/>
      <c r="K3545" s="1"/>
    </row>
    <row r="3546" spans="5:11" x14ac:dyDescent="0.3">
      <c r="E3546" s="6"/>
      <c r="F3546" s="1"/>
      <c r="K3546" s="1"/>
    </row>
    <row r="3547" spans="5:11" x14ac:dyDescent="0.3">
      <c r="E3547" s="6"/>
      <c r="F3547" s="1"/>
      <c r="K3547" s="1"/>
    </row>
    <row r="3548" spans="5:11" x14ac:dyDescent="0.3">
      <c r="E3548" s="6"/>
      <c r="F3548" s="1"/>
      <c r="K3548" s="1"/>
    </row>
    <row r="3549" spans="5:11" x14ac:dyDescent="0.3">
      <c r="E3549" s="6"/>
      <c r="F3549" s="1"/>
      <c r="K3549" s="1"/>
    </row>
    <row r="3550" spans="5:11" x14ac:dyDescent="0.3">
      <c r="E3550" s="6"/>
      <c r="F3550" s="1"/>
      <c r="K3550" s="1"/>
    </row>
    <row r="3551" spans="5:11" x14ac:dyDescent="0.3">
      <c r="E3551" s="6"/>
      <c r="F3551" s="1"/>
      <c r="K3551" s="1"/>
    </row>
    <row r="3552" spans="5:11" x14ac:dyDescent="0.3">
      <c r="E3552" s="6"/>
      <c r="F3552" s="1"/>
      <c r="K3552" s="1"/>
    </row>
    <row r="3553" spans="5:11" x14ac:dyDescent="0.3">
      <c r="E3553" s="6"/>
      <c r="F3553" s="1"/>
      <c r="K3553" s="1"/>
    </row>
    <row r="3554" spans="5:11" x14ac:dyDescent="0.3">
      <c r="E3554" s="6"/>
      <c r="F3554" s="1"/>
      <c r="K3554" s="1"/>
    </row>
    <row r="3555" spans="5:11" x14ac:dyDescent="0.3">
      <c r="E3555" s="6"/>
      <c r="F3555" s="1"/>
      <c r="K3555" s="1"/>
    </row>
    <row r="3556" spans="5:11" x14ac:dyDescent="0.3">
      <c r="E3556" s="6"/>
      <c r="F3556" s="1"/>
      <c r="K3556" s="1"/>
    </row>
    <row r="3557" spans="5:11" x14ac:dyDescent="0.3">
      <c r="E3557" s="6"/>
      <c r="F3557" s="1"/>
      <c r="K3557" s="1"/>
    </row>
    <row r="3558" spans="5:11" x14ac:dyDescent="0.3">
      <c r="E3558" s="6"/>
      <c r="F3558" s="1"/>
      <c r="K3558" s="1"/>
    </row>
    <row r="3559" spans="5:11" x14ac:dyDescent="0.3">
      <c r="E3559" s="6"/>
      <c r="F3559" s="1"/>
      <c r="K3559" s="1"/>
    </row>
    <row r="3560" spans="5:11" x14ac:dyDescent="0.3">
      <c r="E3560" s="6"/>
      <c r="F3560" s="1"/>
      <c r="K3560" s="1"/>
    </row>
    <row r="3561" spans="5:11" x14ac:dyDescent="0.3">
      <c r="E3561" s="6"/>
      <c r="F3561" s="1"/>
      <c r="K3561" s="1"/>
    </row>
    <row r="3562" spans="5:11" x14ac:dyDescent="0.3">
      <c r="E3562" s="6"/>
      <c r="F3562" s="1"/>
      <c r="K3562" s="1"/>
    </row>
    <row r="3563" spans="5:11" x14ac:dyDescent="0.3">
      <c r="E3563" s="6"/>
      <c r="F3563" s="1"/>
      <c r="K3563" s="1"/>
    </row>
    <row r="3564" spans="5:11" x14ac:dyDescent="0.3">
      <c r="E3564" s="5"/>
      <c r="F3564" s="1"/>
      <c r="K3564" s="1"/>
    </row>
    <row r="3565" spans="5:11" x14ac:dyDescent="0.3">
      <c r="E3565" s="6"/>
      <c r="F3565" s="1"/>
      <c r="K3565" s="1"/>
    </row>
    <row r="3566" spans="5:11" x14ac:dyDescent="0.3">
      <c r="E3566" s="6"/>
      <c r="F3566" s="1"/>
      <c r="K3566" s="1"/>
    </row>
    <row r="3567" spans="5:11" x14ac:dyDescent="0.3">
      <c r="E3567" s="6"/>
      <c r="F3567" s="1"/>
      <c r="K3567" s="1"/>
    </row>
    <row r="3568" spans="5:11" x14ac:dyDescent="0.3">
      <c r="E3568" s="6"/>
      <c r="F3568" s="1"/>
      <c r="K3568" s="1"/>
    </row>
    <row r="3569" spans="5:11" x14ac:dyDescent="0.3">
      <c r="E3569" s="6"/>
      <c r="F3569" s="1"/>
      <c r="K3569" s="1"/>
    </row>
    <row r="3570" spans="5:11" x14ac:dyDescent="0.3">
      <c r="E3570" s="6"/>
      <c r="F3570" s="1"/>
      <c r="K3570" s="1"/>
    </row>
    <row r="3571" spans="5:11" x14ac:dyDescent="0.3">
      <c r="E3571" s="6"/>
      <c r="F3571" s="1"/>
      <c r="K3571" s="1"/>
    </row>
    <row r="3572" spans="5:11" x14ac:dyDescent="0.3">
      <c r="E3572" s="6"/>
      <c r="F3572" s="1"/>
      <c r="K3572" s="1"/>
    </row>
    <row r="3573" spans="5:11" x14ac:dyDescent="0.3">
      <c r="E3573" s="6"/>
      <c r="F3573" s="1"/>
      <c r="K3573" s="1"/>
    </row>
    <row r="3574" spans="5:11" x14ac:dyDescent="0.3">
      <c r="E3574" s="6"/>
      <c r="F3574" s="1"/>
      <c r="K3574" s="1"/>
    </row>
    <row r="3575" spans="5:11" x14ac:dyDescent="0.3">
      <c r="E3575" s="6"/>
      <c r="F3575" s="1"/>
      <c r="K3575" s="1"/>
    </row>
    <row r="3576" spans="5:11" x14ac:dyDescent="0.3">
      <c r="E3576" s="6"/>
      <c r="F3576" s="1"/>
      <c r="K3576" s="1"/>
    </row>
    <row r="3577" spans="5:11" x14ac:dyDescent="0.3">
      <c r="E3577" s="6"/>
      <c r="F3577" s="1"/>
      <c r="K3577" s="1"/>
    </row>
    <row r="3578" spans="5:11" x14ac:dyDescent="0.3">
      <c r="E3578" s="6"/>
      <c r="F3578" s="1"/>
      <c r="K3578" s="1"/>
    </row>
    <row r="3579" spans="5:11" x14ac:dyDescent="0.3">
      <c r="E3579" s="6"/>
      <c r="F3579" s="1"/>
      <c r="K3579" s="1"/>
    </row>
    <row r="3580" spans="5:11" x14ac:dyDescent="0.3">
      <c r="E3580" s="6"/>
      <c r="F3580" s="1"/>
      <c r="K3580" s="1"/>
    </row>
    <row r="3581" spans="5:11" x14ac:dyDescent="0.3">
      <c r="E3581" s="6"/>
      <c r="F3581" s="1"/>
      <c r="K3581" s="1"/>
    </row>
    <row r="3582" spans="5:11" x14ac:dyDescent="0.3">
      <c r="E3582" s="6"/>
      <c r="F3582" s="1"/>
      <c r="K3582" s="1"/>
    </row>
    <row r="3583" spans="5:11" x14ac:dyDescent="0.3">
      <c r="E3583" s="6"/>
      <c r="F3583" s="1"/>
      <c r="K3583" s="1"/>
    </row>
    <row r="3584" spans="5:11" x14ac:dyDescent="0.3">
      <c r="E3584" s="6"/>
      <c r="F3584" s="1"/>
      <c r="K3584" s="1"/>
    </row>
    <row r="3585" spans="5:11" x14ac:dyDescent="0.3">
      <c r="E3585" s="6"/>
      <c r="F3585" s="1"/>
      <c r="K3585" s="1"/>
    </row>
    <row r="3586" spans="5:11" x14ac:dyDescent="0.3">
      <c r="E3586" s="6"/>
      <c r="F3586" s="1"/>
      <c r="K3586" s="1"/>
    </row>
    <row r="3587" spans="5:11" x14ac:dyDescent="0.3">
      <c r="E3587" s="6"/>
      <c r="F3587" s="1"/>
      <c r="K3587" s="1"/>
    </row>
    <row r="3588" spans="5:11" x14ac:dyDescent="0.3">
      <c r="E3588" s="6"/>
      <c r="F3588" s="1"/>
      <c r="K3588" s="1"/>
    </row>
    <row r="3589" spans="5:11" x14ac:dyDescent="0.3">
      <c r="E3589" s="6"/>
      <c r="F3589" s="1"/>
      <c r="K3589" s="1"/>
    </row>
    <row r="3590" spans="5:11" x14ac:dyDescent="0.3">
      <c r="E3590" s="6"/>
      <c r="F3590" s="1"/>
      <c r="K3590" s="1"/>
    </row>
    <row r="3591" spans="5:11" x14ac:dyDescent="0.3">
      <c r="E3591" s="6"/>
      <c r="F3591" s="1"/>
      <c r="K3591" s="1"/>
    </row>
    <row r="3592" spans="5:11" x14ac:dyDescent="0.3">
      <c r="E3592" s="6"/>
      <c r="F3592" s="1"/>
      <c r="K3592" s="1"/>
    </row>
    <row r="3593" spans="5:11" x14ac:dyDescent="0.3">
      <c r="E3593" s="6"/>
      <c r="F3593" s="1"/>
      <c r="K3593" s="1"/>
    </row>
    <row r="3594" spans="5:11" x14ac:dyDescent="0.3">
      <c r="E3594" s="6"/>
      <c r="F3594" s="1"/>
      <c r="K3594" s="1"/>
    </row>
    <row r="3595" spans="5:11" x14ac:dyDescent="0.3">
      <c r="E3595" s="6"/>
      <c r="F3595" s="1"/>
      <c r="K3595" s="1"/>
    </row>
    <row r="3596" spans="5:11" x14ac:dyDescent="0.3">
      <c r="E3596" s="6"/>
      <c r="F3596" s="1"/>
      <c r="K3596" s="1"/>
    </row>
    <row r="3597" spans="5:11" x14ac:dyDescent="0.3">
      <c r="E3597" s="6"/>
      <c r="F3597" s="1"/>
      <c r="K3597" s="1"/>
    </row>
    <row r="3598" spans="5:11" x14ac:dyDescent="0.3">
      <c r="E3598" s="6"/>
      <c r="F3598" s="1"/>
      <c r="K3598" s="1"/>
    </row>
    <row r="3599" spans="5:11" x14ac:dyDescent="0.3">
      <c r="E3599" s="6"/>
      <c r="F3599" s="1"/>
      <c r="K3599" s="1"/>
    </row>
    <row r="3600" spans="5:11" x14ac:dyDescent="0.3">
      <c r="E3600" s="6"/>
      <c r="F3600" s="1"/>
      <c r="K3600" s="1"/>
    </row>
    <row r="3601" spans="5:11" x14ac:dyDescent="0.3">
      <c r="E3601" s="6"/>
      <c r="F3601" s="1"/>
      <c r="K3601" s="1"/>
    </row>
    <row r="3602" spans="5:11" x14ac:dyDescent="0.3">
      <c r="E3602" s="6"/>
      <c r="F3602" s="1"/>
      <c r="K3602" s="1"/>
    </row>
    <row r="3603" spans="5:11" x14ac:dyDescent="0.3">
      <c r="E3603" s="6"/>
      <c r="F3603" s="1"/>
      <c r="K3603" s="1"/>
    </row>
    <row r="3604" spans="5:11" x14ac:dyDescent="0.3">
      <c r="E3604" s="6"/>
      <c r="F3604" s="1"/>
      <c r="K3604" s="1"/>
    </row>
    <row r="3605" spans="5:11" x14ac:dyDescent="0.3">
      <c r="E3605" s="6"/>
      <c r="F3605" s="1"/>
      <c r="K3605" s="1"/>
    </row>
    <row r="3606" spans="5:11" x14ac:dyDescent="0.3">
      <c r="E3606" s="5"/>
      <c r="F3606" s="1"/>
      <c r="K3606" s="1"/>
    </row>
    <row r="3607" spans="5:11" x14ac:dyDescent="0.3">
      <c r="E3607" s="6"/>
      <c r="F3607" s="1"/>
      <c r="K3607" s="1"/>
    </row>
    <row r="3608" spans="5:11" x14ac:dyDescent="0.3">
      <c r="E3608" s="6"/>
      <c r="F3608" s="1"/>
      <c r="K3608" s="1"/>
    </row>
    <row r="3609" spans="5:11" x14ac:dyDescent="0.3">
      <c r="E3609" s="6"/>
      <c r="F3609" s="1"/>
      <c r="K3609" s="1"/>
    </row>
    <row r="3610" spans="5:11" x14ac:dyDescent="0.3">
      <c r="E3610" s="6"/>
      <c r="F3610" s="1"/>
      <c r="K3610" s="1"/>
    </row>
    <row r="3611" spans="5:11" x14ac:dyDescent="0.3">
      <c r="E3611" s="6"/>
      <c r="F3611" s="1"/>
      <c r="K3611" s="1"/>
    </row>
    <row r="3612" spans="5:11" x14ac:dyDescent="0.3">
      <c r="E3612" s="6"/>
      <c r="F3612" s="1"/>
      <c r="K3612" s="1"/>
    </row>
    <row r="3613" spans="5:11" x14ac:dyDescent="0.3">
      <c r="E3613" s="6"/>
      <c r="F3613" s="1"/>
      <c r="K3613" s="1"/>
    </row>
    <row r="3614" spans="5:11" x14ac:dyDescent="0.3">
      <c r="E3614" s="6"/>
      <c r="F3614" s="1"/>
      <c r="K3614" s="1"/>
    </row>
    <row r="3615" spans="5:11" x14ac:dyDescent="0.3">
      <c r="E3615" s="6"/>
      <c r="F3615" s="1"/>
      <c r="K3615" s="1"/>
    </row>
    <row r="3616" spans="5:11" x14ac:dyDescent="0.3">
      <c r="E3616" s="6"/>
      <c r="F3616" s="1"/>
      <c r="K3616" s="1"/>
    </row>
    <row r="3617" spans="5:11" x14ac:dyDescent="0.3">
      <c r="E3617" s="6"/>
      <c r="F3617" s="1"/>
      <c r="K3617" s="1"/>
    </row>
    <row r="3618" spans="5:11" x14ac:dyDescent="0.3">
      <c r="E3618" s="6"/>
      <c r="F3618" s="1"/>
      <c r="K3618" s="1"/>
    </row>
    <row r="3619" spans="5:11" x14ac:dyDescent="0.3">
      <c r="E3619" s="6"/>
      <c r="F3619" s="1"/>
      <c r="K3619" s="1"/>
    </row>
    <row r="3620" spans="5:11" x14ac:dyDescent="0.3">
      <c r="E3620" s="6"/>
      <c r="F3620" s="1"/>
      <c r="K3620" s="1"/>
    </row>
    <row r="3621" spans="5:11" x14ac:dyDescent="0.3">
      <c r="E3621" s="6"/>
      <c r="F3621" s="1"/>
      <c r="K3621" s="1"/>
    </row>
    <row r="3622" spans="5:11" x14ac:dyDescent="0.3">
      <c r="E3622" s="6"/>
      <c r="F3622" s="1"/>
      <c r="K3622" s="1"/>
    </row>
    <row r="3623" spans="5:11" x14ac:dyDescent="0.3">
      <c r="E3623" s="6"/>
      <c r="F3623" s="1"/>
      <c r="K3623" s="1"/>
    </row>
    <row r="3624" spans="5:11" x14ac:dyDescent="0.3">
      <c r="E3624" s="6"/>
      <c r="F3624" s="1"/>
      <c r="K3624" s="1"/>
    </row>
    <row r="3625" spans="5:11" x14ac:dyDescent="0.3">
      <c r="E3625" s="6"/>
      <c r="F3625" s="1"/>
      <c r="K3625" s="1"/>
    </row>
    <row r="3626" spans="5:11" x14ac:dyDescent="0.3">
      <c r="E3626" s="6"/>
      <c r="F3626" s="1"/>
      <c r="K3626" s="1"/>
    </row>
    <row r="3627" spans="5:11" x14ac:dyDescent="0.3">
      <c r="E3627" s="6"/>
      <c r="F3627" s="1"/>
      <c r="K3627" s="1"/>
    </row>
    <row r="3628" spans="5:11" x14ac:dyDescent="0.3">
      <c r="E3628" s="5"/>
      <c r="F3628" s="1"/>
      <c r="K3628" s="1"/>
    </row>
    <row r="3629" spans="5:11" x14ac:dyDescent="0.3">
      <c r="E3629" s="5"/>
      <c r="F3629" s="1"/>
      <c r="K3629" s="1"/>
    </row>
    <row r="3630" spans="5:11" x14ac:dyDescent="0.3">
      <c r="E3630" s="6"/>
      <c r="F3630" s="1"/>
      <c r="K3630" s="1"/>
    </row>
    <row r="3631" spans="5:11" x14ac:dyDescent="0.3">
      <c r="E3631" s="6"/>
      <c r="F3631" s="1"/>
      <c r="K3631" s="1"/>
    </row>
    <row r="3632" spans="5:11" x14ac:dyDescent="0.3">
      <c r="E3632" s="6"/>
      <c r="F3632" s="1"/>
      <c r="K3632" s="1"/>
    </row>
    <row r="3633" spans="5:11" x14ac:dyDescent="0.3">
      <c r="E3633" s="6"/>
      <c r="F3633" s="1"/>
      <c r="K3633" s="1"/>
    </row>
    <row r="3634" spans="5:11" x14ac:dyDescent="0.3">
      <c r="E3634" s="6"/>
      <c r="F3634" s="1"/>
      <c r="K3634" s="1"/>
    </row>
    <row r="3635" spans="5:11" x14ac:dyDescent="0.3">
      <c r="E3635" s="6"/>
      <c r="F3635" s="1"/>
      <c r="K3635" s="1"/>
    </row>
    <row r="3636" spans="5:11" x14ac:dyDescent="0.3">
      <c r="E3636" s="6"/>
      <c r="F3636" s="1"/>
      <c r="K3636" s="1"/>
    </row>
    <row r="3637" spans="5:11" x14ac:dyDescent="0.3">
      <c r="E3637" s="6"/>
      <c r="F3637" s="1"/>
      <c r="K3637" s="1"/>
    </row>
    <row r="3638" spans="5:11" x14ac:dyDescent="0.3">
      <c r="E3638" s="6"/>
      <c r="F3638" s="1"/>
      <c r="K3638" s="1"/>
    </row>
    <row r="3639" spans="5:11" x14ac:dyDescent="0.3">
      <c r="E3639" s="6"/>
      <c r="F3639" s="1"/>
      <c r="K3639" s="1"/>
    </row>
    <row r="3640" spans="5:11" x14ac:dyDescent="0.3">
      <c r="E3640" s="6"/>
      <c r="F3640" s="1"/>
      <c r="K3640" s="1"/>
    </row>
    <row r="3641" spans="5:11" x14ac:dyDescent="0.3">
      <c r="E3641" s="6"/>
      <c r="F3641" s="1"/>
      <c r="K3641" s="1"/>
    </row>
    <row r="3642" spans="5:11" x14ac:dyDescent="0.3">
      <c r="E3642" s="6"/>
      <c r="F3642" s="1"/>
      <c r="K3642" s="1"/>
    </row>
    <row r="3643" spans="5:11" x14ac:dyDescent="0.3">
      <c r="E3643" s="6"/>
      <c r="F3643" s="1"/>
      <c r="K3643" s="1"/>
    </row>
    <row r="3644" spans="5:11" x14ac:dyDescent="0.3">
      <c r="E3644" s="6"/>
      <c r="F3644" s="1"/>
      <c r="K3644" s="1"/>
    </row>
    <row r="3645" spans="5:11" x14ac:dyDescent="0.3">
      <c r="E3645" s="6"/>
      <c r="F3645" s="1"/>
      <c r="K3645" s="1"/>
    </row>
    <row r="3646" spans="5:11" x14ac:dyDescent="0.3">
      <c r="E3646" s="6"/>
      <c r="F3646" s="1"/>
      <c r="K3646" s="1"/>
    </row>
    <row r="3647" spans="5:11" x14ac:dyDescent="0.3">
      <c r="E3647" s="6"/>
      <c r="F3647" s="1"/>
      <c r="K3647" s="1"/>
    </row>
    <row r="3648" spans="5:11" x14ac:dyDescent="0.3">
      <c r="E3648" s="6"/>
      <c r="F3648" s="1"/>
      <c r="K3648" s="1"/>
    </row>
    <row r="3649" spans="5:11" x14ac:dyDescent="0.3">
      <c r="E3649" s="5"/>
      <c r="F3649" s="1"/>
      <c r="K3649" s="1"/>
    </row>
    <row r="3650" spans="5:11" x14ac:dyDescent="0.3">
      <c r="E3650" s="5"/>
      <c r="F3650" s="1"/>
      <c r="K3650" s="1"/>
    </row>
    <row r="3651" spans="5:11" x14ac:dyDescent="0.3">
      <c r="E3651" s="5"/>
      <c r="F3651" s="1"/>
      <c r="K3651" s="1"/>
    </row>
    <row r="3652" spans="5:11" x14ac:dyDescent="0.3">
      <c r="E3652" s="5"/>
      <c r="F3652" s="1"/>
      <c r="K3652" s="1"/>
    </row>
    <row r="3653" spans="5:11" x14ac:dyDescent="0.3">
      <c r="E3653" s="6"/>
      <c r="F3653" s="1"/>
      <c r="K3653" s="1"/>
    </row>
    <row r="3654" spans="5:11" x14ac:dyDescent="0.3">
      <c r="E3654" s="6"/>
      <c r="F3654" s="1"/>
      <c r="K3654" s="1"/>
    </row>
    <row r="3655" spans="5:11" x14ac:dyDescent="0.3">
      <c r="E3655" s="6"/>
      <c r="F3655" s="1"/>
      <c r="K3655" s="1"/>
    </row>
    <row r="3656" spans="5:11" x14ac:dyDescent="0.3">
      <c r="E3656" s="6"/>
      <c r="F3656" s="1"/>
      <c r="K3656" s="1"/>
    </row>
    <row r="3657" spans="5:11" x14ac:dyDescent="0.3">
      <c r="E3657" s="6"/>
      <c r="F3657" s="1"/>
      <c r="K3657" s="1"/>
    </row>
    <row r="3658" spans="5:11" x14ac:dyDescent="0.3">
      <c r="E3658" s="6"/>
      <c r="F3658" s="1"/>
      <c r="K3658" s="1"/>
    </row>
    <row r="3659" spans="5:11" x14ac:dyDescent="0.3">
      <c r="E3659" s="6"/>
      <c r="F3659" s="1"/>
      <c r="K3659" s="1"/>
    </row>
    <row r="3660" spans="5:11" x14ac:dyDescent="0.3">
      <c r="E3660" s="6"/>
      <c r="F3660" s="1"/>
      <c r="K3660" s="1"/>
    </row>
    <row r="3661" spans="5:11" x14ac:dyDescent="0.3">
      <c r="E3661" s="6"/>
      <c r="F3661" s="1"/>
      <c r="K3661" s="1"/>
    </row>
    <row r="3662" spans="5:11" x14ac:dyDescent="0.3">
      <c r="E3662" s="6"/>
      <c r="F3662" s="1"/>
      <c r="K3662" s="1"/>
    </row>
    <row r="3663" spans="5:11" x14ac:dyDescent="0.3">
      <c r="E3663" s="6"/>
      <c r="F3663" s="1"/>
      <c r="K3663" s="1"/>
    </row>
    <row r="3664" spans="5:11" x14ac:dyDescent="0.3">
      <c r="E3664" s="5"/>
      <c r="F3664" s="1"/>
      <c r="K3664" s="1"/>
    </row>
    <row r="3665" spans="5:11" x14ac:dyDescent="0.3">
      <c r="E3665" s="6"/>
      <c r="F3665" s="1"/>
      <c r="K3665" s="1"/>
    </row>
    <row r="3666" spans="5:11" x14ac:dyDescent="0.3">
      <c r="E3666" s="6"/>
      <c r="F3666" s="1"/>
      <c r="K3666" s="1"/>
    </row>
    <row r="3667" spans="5:11" x14ac:dyDescent="0.3">
      <c r="E3667" s="6"/>
      <c r="F3667" s="1"/>
      <c r="K3667" s="1"/>
    </row>
    <row r="3668" spans="5:11" x14ac:dyDescent="0.3">
      <c r="E3668" s="6"/>
      <c r="F3668" s="1"/>
      <c r="K3668" s="1"/>
    </row>
    <row r="3669" spans="5:11" x14ac:dyDescent="0.3">
      <c r="E3669" s="6"/>
      <c r="F3669" s="1"/>
      <c r="K3669" s="1"/>
    </row>
    <row r="3670" spans="5:11" x14ac:dyDescent="0.3">
      <c r="E3670" s="6"/>
      <c r="F3670" s="1"/>
      <c r="K3670" s="1"/>
    </row>
    <row r="3671" spans="5:11" x14ac:dyDescent="0.3">
      <c r="E3671" s="6"/>
      <c r="F3671" s="1"/>
      <c r="K3671" s="1"/>
    </row>
    <row r="3672" spans="5:11" x14ac:dyDescent="0.3">
      <c r="E3672" s="6"/>
      <c r="F3672" s="1"/>
      <c r="K3672" s="1"/>
    </row>
    <row r="3673" spans="5:11" x14ac:dyDescent="0.3">
      <c r="E3673" s="6"/>
      <c r="F3673" s="1"/>
      <c r="K3673" s="1"/>
    </row>
    <row r="3674" spans="5:11" x14ac:dyDescent="0.3">
      <c r="E3674" s="6"/>
      <c r="F3674" s="1"/>
      <c r="K3674" s="1"/>
    </row>
    <row r="3675" spans="5:11" x14ac:dyDescent="0.3">
      <c r="E3675" s="6"/>
      <c r="F3675" s="1"/>
      <c r="K3675" s="1"/>
    </row>
    <row r="3676" spans="5:11" x14ac:dyDescent="0.3">
      <c r="E3676" s="6"/>
      <c r="F3676" s="1"/>
      <c r="K3676" s="1"/>
    </row>
    <row r="3677" spans="5:11" x14ac:dyDescent="0.3">
      <c r="E3677" s="6"/>
      <c r="F3677" s="1"/>
      <c r="K3677" s="1"/>
    </row>
    <row r="3678" spans="5:11" x14ac:dyDescent="0.3">
      <c r="E3678" s="6"/>
      <c r="F3678" s="1"/>
      <c r="K3678" s="1"/>
    </row>
    <row r="3679" spans="5:11" x14ac:dyDescent="0.3">
      <c r="E3679" s="6"/>
      <c r="F3679" s="1"/>
      <c r="K3679" s="1"/>
    </row>
    <row r="3680" spans="5:11" x14ac:dyDescent="0.3">
      <c r="E3680" s="6"/>
      <c r="F3680" s="1"/>
      <c r="K3680" s="1"/>
    </row>
    <row r="3681" spans="5:11" x14ac:dyDescent="0.3">
      <c r="E3681" s="6"/>
      <c r="F3681" s="1"/>
      <c r="K3681" s="1"/>
    </row>
    <row r="3682" spans="5:11" x14ac:dyDescent="0.3">
      <c r="E3682" s="6"/>
      <c r="F3682" s="1"/>
      <c r="K3682" s="1"/>
    </row>
    <row r="3683" spans="5:11" x14ac:dyDescent="0.3">
      <c r="E3683" s="6"/>
      <c r="F3683" s="1"/>
      <c r="K3683" s="1"/>
    </row>
    <row r="3684" spans="5:11" x14ac:dyDescent="0.3">
      <c r="E3684" s="6"/>
      <c r="F3684" s="1"/>
      <c r="K3684" s="1"/>
    </row>
    <row r="3685" spans="5:11" x14ac:dyDescent="0.3">
      <c r="E3685" s="6"/>
      <c r="F3685" s="1"/>
      <c r="K3685" s="1"/>
    </row>
    <row r="3686" spans="5:11" x14ac:dyDescent="0.3">
      <c r="E3686" s="6"/>
      <c r="F3686" s="1"/>
      <c r="K3686" s="1"/>
    </row>
    <row r="3687" spans="5:11" x14ac:dyDescent="0.3">
      <c r="E3687" s="6"/>
      <c r="F3687" s="1"/>
      <c r="K3687" s="1"/>
    </row>
    <row r="3688" spans="5:11" x14ac:dyDescent="0.3">
      <c r="E3688" s="5"/>
      <c r="F3688" s="1"/>
      <c r="K3688" s="1"/>
    </row>
    <row r="3689" spans="5:11" x14ac:dyDescent="0.3">
      <c r="E3689" s="6"/>
      <c r="F3689" s="1"/>
      <c r="K3689" s="1"/>
    </row>
    <row r="3690" spans="5:11" x14ac:dyDescent="0.3">
      <c r="E3690" s="6"/>
      <c r="F3690" s="1"/>
      <c r="K3690" s="1"/>
    </row>
    <row r="3691" spans="5:11" x14ac:dyDescent="0.3">
      <c r="E3691" s="6"/>
      <c r="F3691" s="1"/>
      <c r="K3691" s="1"/>
    </row>
    <row r="3692" spans="5:11" x14ac:dyDescent="0.3">
      <c r="E3692" s="6"/>
      <c r="F3692" s="1"/>
      <c r="K3692" s="1"/>
    </row>
    <row r="3693" spans="5:11" x14ac:dyDescent="0.3">
      <c r="E3693" s="6"/>
      <c r="F3693" s="1"/>
      <c r="K3693" s="1"/>
    </row>
    <row r="3694" spans="5:11" x14ac:dyDescent="0.3">
      <c r="E3694" s="6"/>
      <c r="F3694" s="1"/>
      <c r="K3694" s="1"/>
    </row>
    <row r="3695" spans="5:11" x14ac:dyDescent="0.3">
      <c r="E3695" s="6"/>
      <c r="F3695" s="1"/>
      <c r="K3695" s="1"/>
    </row>
    <row r="3696" spans="5:11" x14ac:dyDescent="0.3">
      <c r="E3696" s="6"/>
      <c r="F3696" s="1"/>
      <c r="K3696" s="1"/>
    </row>
    <row r="3697" spans="5:11" x14ac:dyDescent="0.3">
      <c r="E3697" s="6"/>
      <c r="F3697" s="1"/>
      <c r="K3697" s="1"/>
    </row>
    <row r="3698" spans="5:11" x14ac:dyDescent="0.3">
      <c r="E3698" s="6"/>
      <c r="F3698" s="1"/>
      <c r="K3698" s="1"/>
    </row>
    <row r="3699" spans="5:11" x14ac:dyDescent="0.3">
      <c r="E3699" s="6"/>
      <c r="F3699" s="1"/>
      <c r="K3699" s="1"/>
    </row>
    <row r="3700" spans="5:11" x14ac:dyDescent="0.3">
      <c r="E3700" s="6"/>
      <c r="F3700" s="1"/>
      <c r="K3700" s="1"/>
    </row>
    <row r="3701" spans="5:11" x14ac:dyDescent="0.3">
      <c r="E3701" s="6"/>
      <c r="F3701" s="1"/>
      <c r="K3701" s="1"/>
    </row>
    <row r="3702" spans="5:11" x14ac:dyDescent="0.3">
      <c r="E3702" s="6"/>
      <c r="F3702" s="1"/>
      <c r="K3702" s="1"/>
    </row>
    <row r="3703" spans="5:11" x14ac:dyDescent="0.3">
      <c r="E3703" s="6"/>
      <c r="F3703" s="1"/>
      <c r="K3703" s="1"/>
    </row>
    <row r="3704" spans="5:11" x14ac:dyDescent="0.3">
      <c r="E3704" s="6"/>
      <c r="F3704" s="1"/>
      <c r="K3704" s="1"/>
    </row>
    <row r="3705" spans="5:11" x14ac:dyDescent="0.3">
      <c r="E3705" s="6"/>
      <c r="F3705" s="1"/>
      <c r="K3705" s="1"/>
    </row>
    <row r="3706" spans="5:11" x14ac:dyDescent="0.3">
      <c r="E3706" s="6"/>
      <c r="F3706" s="1"/>
      <c r="K3706" s="1"/>
    </row>
    <row r="3707" spans="5:11" x14ac:dyDescent="0.3">
      <c r="E3707" s="6"/>
      <c r="F3707" s="1"/>
      <c r="K3707" s="1"/>
    </row>
    <row r="3708" spans="5:11" x14ac:dyDescent="0.3">
      <c r="E3708" s="6"/>
      <c r="F3708" s="1"/>
      <c r="K3708" s="1"/>
    </row>
    <row r="3709" spans="5:11" x14ac:dyDescent="0.3">
      <c r="E3709" s="6"/>
      <c r="F3709" s="1"/>
      <c r="K3709" s="1"/>
    </row>
    <row r="3710" spans="5:11" x14ac:dyDescent="0.3">
      <c r="E3710" s="6"/>
      <c r="F3710" s="1"/>
      <c r="K3710" s="1"/>
    </row>
    <row r="3711" spans="5:11" x14ac:dyDescent="0.3">
      <c r="E3711" s="6"/>
      <c r="F3711" s="1"/>
      <c r="K3711" s="1"/>
    </row>
    <row r="3712" spans="5:11" x14ac:dyDescent="0.3">
      <c r="E3712" s="6"/>
      <c r="F3712" s="1"/>
      <c r="K3712" s="1"/>
    </row>
    <row r="3713" spans="5:11" x14ac:dyDescent="0.3">
      <c r="E3713" s="6"/>
      <c r="F3713" s="1"/>
      <c r="K3713" s="1"/>
    </row>
    <row r="3714" spans="5:11" x14ac:dyDescent="0.3">
      <c r="E3714" s="6"/>
      <c r="F3714" s="1"/>
      <c r="K3714" s="1"/>
    </row>
    <row r="3715" spans="5:11" x14ac:dyDescent="0.3">
      <c r="E3715" s="6"/>
      <c r="F3715" s="1"/>
      <c r="K3715" s="1"/>
    </row>
    <row r="3716" spans="5:11" x14ac:dyDescent="0.3">
      <c r="E3716" s="6"/>
      <c r="F3716" s="1"/>
      <c r="K3716" s="1"/>
    </row>
    <row r="3717" spans="5:11" x14ac:dyDescent="0.3">
      <c r="E3717" s="6"/>
      <c r="F3717" s="1"/>
      <c r="K3717" s="1"/>
    </row>
    <row r="3718" spans="5:11" x14ac:dyDescent="0.3">
      <c r="E3718" s="6"/>
      <c r="F3718" s="1"/>
      <c r="K3718" s="1"/>
    </row>
    <row r="3719" spans="5:11" x14ac:dyDescent="0.3">
      <c r="E3719" s="6"/>
      <c r="F3719" s="1"/>
      <c r="K3719" s="1"/>
    </row>
    <row r="3720" spans="5:11" x14ac:dyDescent="0.3">
      <c r="E3720" s="6"/>
      <c r="F3720" s="1"/>
      <c r="K3720" s="1"/>
    </row>
    <row r="3721" spans="5:11" x14ac:dyDescent="0.3">
      <c r="E3721" s="6"/>
      <c r="F3721" s="1"/>
      <c r="K3721" s="1"/>
    </row>
    <row r="3722" spans="5:11" x14ac:dyDescent="0.3">
      <c r="E3722" s="6"/>
      <c r="F3722" s="1"/>
      <c r="K3722" s="1"/>
    </row>
    <row r="3723" spans="5:11" x14ac:dyDescent="0.3">
      <c r="E3723" s="6"/>
      <c r="F3723" s="1"/>
      <c r="K3723" s="1"/>
    </row>
    <row r="3724" spans="5:11" x14ac:dyDescent="0.3">
      <c r="E3724" s="6"/>
      <c r="F3724" s="1"/>
      <c r="K3724" s="1"/>
    </row>
    <row r="3725" spans="5:11" x14ac:dyDescent="0.3">
      <c r="E3725" s="6"/>
      <c r="F3725" s="1"/>
      <c r="K3725" s="1"/>
    </row>
    <row r="3726" spans="5:11" x14ac:dyDescent="0.3">
      <c r="E3726" s="6"/>
      <c r="F3726" s="1"/>
      <c r="K3726" s="1"/>
    </row>
    <row r="3727" spans="5:11" x14ac:dyDescent="0.3">
      <c r="E3727" s="5"/>
      <c r="F3727" s="1"/>
      <c r="K3727" s="1"/>
    </row>
    <row r="3728" spans="5:11" x14ac:dyDescent="0.3">
      <c r="E3728" s="5"/>
      <c r="F3728" s="1"/>
      <c r="K3728" s="1"/>
    </row>
    <row r="3729" spans="5:11" x14ac:dyDescent="0.3">
      <c r="E3729" s="5"/>
      <c r="F3729" s="1"/>
      <c r="K3729" s="1"/>
    </row>
    <row r="3730" spans="5:11" x14ac:dyDescent="0.3">
      <c r="E3730" s="5"/>
      <c r="F3730" s="1"/>
      <c r="K3730" s="1"/>
    </row>
    <row r="3731" spans="5:11" x14ac:dyDescent="0.3">
      <c r="E3731" s="6"/>
      <c r="F3731" s="1"/>
      <c r="K3731" s="1"/>
    </row>
    <row r="3732" spans="5:11" x14ac:dyDescent="0.3">
      <c r="E3732" s="6"/>
      <c r="F3732" s="1"/>
      <c r="K3732" s="1"/>
    </row>
    <row r="3733" spans="5:11" x14ac:dyDescent="0.3">
      <c r="E3733" s="6"/>
      <c r="F3733" s="1"/>
      <c r="K3733" s="1"/>
    </row>
    <row r="3734" spans="5:11" x14ac:dyDescent="0.3">
      <c r="E3734" s="6"/>
      <c r="F3734" s="1"/>
      <c r="K3734" s="1"/>
    </row>
    <row r="3735" spans="5:11" x14ac:dyDescent="0.3">
      <c r="E3735" s="6"/>
      <c r="F3735" s="1"/>
      <c r="K3735" s="1"/>
    </row>
    <row r="3736" spans="5:11" x14ac:dyDescent="0.3">
      <c r="E3736" s="6"/>
      <c r="F3736" s="1"/>
      <c r="K3736" s="1"/>
    </row>
    <row r="3737" spans="5:11" x14ac:dyDescent="0.3">
      <c r="E3737" s="6"/>
      <c r="F3737" s="1"/>
      <c r="K3737" s="1"/>
    </row>
    <row r="3738" spans="5:11" x14ac:dyDescent="0.3">
      <c r="E3738" s="6"/>
      <c r="F3738" s="1"/>
      <c r="K3738" s="1"/>
    </row>
    <row r="3739" spans="5:11" x14ac:dyDescent="0.3">
      <c r="E3739" s="6"/>
      <c r="F3739" s="1"/>
      <c r="K3739" s="1"/>
    </row>
    <row r="3740" spans="5:11" x14ac:dyDescent="0.3">
      <c r="E3740" s="6"/>
      <c r="F3740" s="1"/>
      <c r="K3740" s="1"/>
    </row>
    <row r="3741" spans="5:11" x14ac:dyDescent="0.3">
      <c r="E3741" s="6"/>
      <c r="F3741" s="1"/>
      <c r="K3741" s="1"/>
    </row>
    <row r="3742" spans="5:11" x14ac:dyDescent="0.3">
      <c r="E3742" s="6"/>
      <c r="F3742" s="1"/>
      <c r="K3742" s="1"/>
    </row>
    <row r="3743" spans="5:11" x14ac:dyDescent="0.3">
      <c r="E3743" s="6"/>
      <c r="F3743" s="1"/>
      <c r="K3743" s="1"/>
    </row>
    <row r="3744" spans="5:11" x14ac:dyDescent="0.3">
      <c r="E3744" s="6"/>
      <c r="F3744" s="1"/>
      <c r="K3744" s="1"/>
    </row>
    <row r="3745" spans="5:11" x14ac:dyDescent="0.3">
      <c r="E3745" s="6"/>
      <c r="F3745" s="1"/>
      <c r="K3745" s="1"/>
    </row>
    <row r="3746" spans="5:11" x14ac:dyDescent="0.3">
      <c r="E3746" s="6"/>
      <c r="F3746" s="1"/>
      <c r="K3746" s="1"/>
    </row>
    <row r="3747" spans="5:11" x14ac:dyDescent="0.3">
      <c r="E3747" s="6"/>
      <c r="F3747" s="1"/>
      <c r="K3747" s="1"/>
    </row>
    <row r="3748" spans="5:11" x14ac:dyDescent="0.3">
      <c r="E3748" s="6"/>
      <c r="F3748" s="1"/>
      <c r="K3748" s="1"/>
    </row>
    <row r="3749" spans="5:11" x14ac:dyDescent="0.3">
      <c r="E3749" s="6"/>
      <c r="F3749" s="1"/>
      <c r="K3749" s="1"/>
    </row>
    <row r="3750" spans="5:11" x14ac:dyDescent="0.3">
      <c r="E3750" s="6"/>
      <c r="F3750" s="1"/>
      <c r="K3750" s="1"/>
    </row>
    <row r="3751" spans="5:11" x14ac:dyDescent="0.3">
      <c r="E3751" s="6"/>
      <c r="F3751" s="1"/>
      <c r="K3751" s="1"/>
    </row>
    <row r="3752" spans="5:11" x14ac:dyDescent="0.3">
      <c r="E3752" s="6"/>
      <c r="F3752" s="1"/>
      <c r="K3752" s="1"/>
    </row>
    <row r="3753" spans="5:11" x14ac:dyDescent="0.3">
      <c r="E3753" s="6"/>
      <c r="F3753" s="1"/>
      <c r="K3753" s="1"/>
    </row>
    <row r="3754" spans="5:11" x14ac:dyDescent="0.3">
      <c r="E3754" s="6"/>
      <c r="F3754" s="1"/>
      <c r="K3754" s="1"/>
    </row>
    <row r="3755" spans="5:11" x14ac:dyDescent="0.3">
      <c r="E3755" s="6"/>
      <c r="F3755" s="1"/>
      <c r="K3755" s="1"/>
    </row>
    <row r="3756" spans="5:11" x14ac:dyDescent="0.3">
      <c r="E3756" s="6"/>
      <c r="F3756" s="1"/>
      <c r="K3756" s="1"/>
    </row>
    <row r="3757" spans="5:11" x14ac:dyDescent="0.3">
      <c r="E3757" s="6"/>
      <c r="F3757" s="1"/>
      <c r="K3757" s="1"/>
    </row>
    <row r="3758" spans="5:11" x14ac:dyDescent="0.3">
      <c r="E3758" s="6"/>
      <c r="F3758" s="1"/>
      <c r="K3758" s="1"/>
    </row>
    <row r="3759" spans="5:11" x14ac:dyDescent="0.3">
      <c r="E3759" s="6"/>
      <c r="F3759" s="1"/>
      <c r="K3759" s="1"/>
    </row>
    <row r="3760" spans="5:11" x14ac:dyDescent="0.3">
      <c r="E3760" s="6"/>
      <c r="F3760" s="1"/>
      <c r="K3760" s="1"/>
    </row>
    <row r="3761" spans="5:11" x14ac:dyDescent="0.3">
      <c r="E3761" s="6"/>
      <c r="F3761" s="1"/>
      <c r="K3761" s="1"/>
    </row>
    <row r="3762" spans="5:11" x14ac:dyDescent="0.3">
      <c r="E3762" s="6"/>
      <c r="F3762" s="1"/>
      <c r="K3762" s="1"/>
    </row>
    <row r="3763" spans="5:11" x14ac:dyDescent="0.3">
      <c r="E3763" s="6"/>
      <c r="F3763" s="1"/>
      <c r="K3763" s="1"/>
    </row>
    <row r="3764" spans="5:11" x14ac:dyDescent="0.3">
      <c r="E3764" s="6"/>
      <c r="F3764" s="1"/>
      <c r="K3764" s="1"/>
    </row>
    <row r="3765" spans="5:11" x14ac:dyDescent="0.3">
      <c r="E3765" s="6"/>
      <c r="F3765" s="1"/>
      <c r="K3765" s="1"/>
    </row>
    <row r="3766" spans="5:11" x14ac:dyDescent="0.3">
      <c r="E3766" s="6"/>
      <c r="F3766" s="1"/>
      <c r="K3766" s="1"/>
    </row>
    <row r="3767" spans="5:11" x14ac:dyDescent="0.3">
      <c r="E3767" s="6"/>
      <c r="F3767" s="1"/>
      <c r="K3767" s="1"/>
    </row>
    <row r="3768" spans="5:11" x14ac:dyDescent="0.3">
      <c r="E3768" s="6"/>
      <c r="F3768" s="1"/>
      <c r="K3768" s="1"/>
    </row>
    <row r="3769" spans="5:11" x14ac:dyDescent="0.3">
      <c r="E3769" s="6"/>
      <c r="F3769" s="1"/>
      <c r="K3769" s="1"/>
    </row>
    <row r="3770" spans="5:11" x14ac:dyDescent="0.3">
      <c r="E3770" s="6"/>
      <c r="F3770" s="1"/>
      <c r="K3770" s="1"/>
    </row>
    <row r="3771" spans="5:11" x14ac:dyDescent="0.3">
      <c r="E3771" s="6"/>
      <c r="F3771" s="1"/>
      <c r="K3771" s="1"/>
    </row>
    <row r="3772" spans="5:11" x14ac:dyDescent="0.3">
      <c r="E3772" s="6"/>
      <c r="F3772" s="1"/>
      <c r="K3772" s="1"/>
    </row>
    <row r="3773" spans="5:11" x14ac:dyDescent="0.3">
      <c r="E3773" s="6"/>
      <c r="F3773" s="1"/>
      <c r="K3773" s="1"/>
    </row>
    <row r="3774" spans="5:11" x14ac:dyDescent="0.3">
      <c r="E3774" s="6"/>
      <c r="F3774" s="1"/>
      <c r="K3774" s="1"/>
    </row>
    <row r="3775" spans="5:11" x14ac:dyDescent="0.3">
      <c r="E3775" s="6"/>
      <c r="F3775" s="1"/>
      <c r="K3775" s="1"/>
    </row>
    <row r="3776" spans="5:11" x14ac:dyDescent="0.3">
      <c r="E3776" s="6"/>
      <c r="F3776" s="1"/>
      <c r="K3776" s="1"/>
    </row>
    <row r="3777" spans="5:11" x14ac:dyDescent="0.3">
      <c r="E3777" s="6"/>
      <c r="F3777" s="1"/>
      <c r="K3777" s="1"/>
    </row>
    <row r="3778" spans="5:11" x14ac:dyDescent="0.3">
      <c r="E3778" s="6"/>
      <c r="F3778" s="1"/>
      <c r="K3778" s="1"/>
    </row>
    <row r="3779" spans="5:11" x14ac:dyDescent="0.3">
      <c r="E3779" s="6"/>
      <c r="F3779" s="1"/>
      <c r="K3779" s="1"/>
    </row>
    <row r="3780" spans="5:11" x14ac:dyDescent="0.3">
      <c r="E3780" s="6"/>
      <c r="F3780" s="1"/>
      <c r="K3780" s="1"/>
    </row>
    <row r="3781" spans="5:11" x14ac:dyDescent="0.3">
      <c r="E3781" s="6"/>
      <c r="F3781" s="1"/>
      <c r="K3781" s="1"/>
    </row>
    <row r="3782" spans="5:11" x14ac:dyDescent="0.3">
      <c r="E3782" s="6"/>
      <c r="F3782" s="1"/>
      <c r="K3782" s="1"/>
    </row>
    <row r="3783" spans="5:11" x14ac:dyDescent="0.3">
      <c r="E3783" s="6"/>
      <c r="F3783" s="1"/>
      <c r="K3783" s="1"/>
    </row>
    <row r="3784" spans="5:11" x14ac:dyDescent="0.3">
      <c r="E3784" s="6"/>
      <c r="F3784" s="1"/>
      <c r="K3784" s="1"/>
    </row>
    <row r="3785" spans="5:11" x14ac:dyDescent="0.3">
      <c r="E3785" s="6"/>
      <c r="F3785" s="1"/>
      <c r="K3785" s="1"/>
    </row>
    <row r="3786" spans="5:11" x14ac:dyDescent="0.3">
      <c r="E3786" s="6"/>
      <c r="F3786" s="1"/>
      <c r="K3786" s="1"/>
    </row>
    <row r="3787" spans="5:11" x14ac:dyDescent="0.3">
      <c r="E3787" s="6"/>
      <c r="F3787" s="1"/>
      <c r="K3787" s="1"/>
    </row>
    <row r="3788" spans="5:11" x14ac:dyDescent="0.3">
      <c r="E3788" s="6"/>
      <c r="F3788" s="1"/>
      <c r="K3788" s="1"/>
    </row>
    <row r="3789" spans="5:11" x14ac:dyDescent="0.3">
      <c r="E3789" s="6"/>
      <c r="F3789" s="1"/>
      <c r="K3789" s="1"/>
    </row>
    <row r="3790" spans="5:11" x14ac:dyDescent="0.3">
      <c r="E3790" s="6"/>
      <c r="F3790" s="1"/>
      <c r="K3790" s="1"/>
    </row>
    <row r="3791" spans="5:11" x14ac:dyDescent="0.3">
      <c r="E3791" s="6"/>
      <c r="F3791" s="1"/>
      <c r="K3791" s="1"/>
    </row>
    <row r="3792" spans="5:11" x14ac:dyDescent="0.3">
      <c r="E3792" s="6"/>
      <c r="F3792" s="1"/>
      <c r="K3792" s="1"/>
    </row>
    <row r="3793" spans="5:11" x14ac:dyDescent="0.3">
      <c r="E3793" s="6"/>
      <c r="F3793" s="1"/>
      <c r="K3793" s="1"/>
    </row>
    <row r="3794" spans="5:11" x14ac:dyDescent="0.3">
      <c r="E3794" s="6"/>
      <c r="F3794" s="1"/>
      <c r="K3794" s="1"/>
    </row>
    <row r="3795" spans="5:11" x14ac:dyDescent="0.3">
      <c r="E3795" s="6"/>
      <c r="F3795" s="1"/>
      <c r="K3795" s="1"/>
    </row>
    <row r="3796" spans="5:11" x14ac:dyDescent="0.3">
      <c r="E3796" s="6"/>
      <c r="F3796" s="1"/>
      <c r="K3796" s="1"/>
    </row>
    <row r="3797" spans="5:11" x14ac:dyDescent="0.3">
      <c r="E3797" s="6"/>
      <c r="F3797" s="1"/>
      <c r="K3797" s="1"/>
    </row>
    <row r="3798" spans="5:11" x14ac:dyDescent="0.3">
      <c r="E3798" s="6"/>
      <c r="F3798" s="1"/>
      <c r="K3798" s="1"/>
    </row>
    <row r="3799" spans="5:11" x14ac:dyDescent="0.3">
      <c r="E3799" s="6"/>
      <c r="F3799" s="1"/>
      <c r="K3799" s="1"/>
    </row>
    <row r="3800" spans="5:11" x14ac:dyDescent="0.3">
      <c r="E3800" s="6"/>
      <c r="F3800" s="1"/>
      <c r="K3800" s="1"/>
    </row>
    <row r="3801" spans="5:11" x14ac:dyDescent="0.3">
      <c r="E3801" s="5"/>
      <c r="F3801" s="1"/>
      <c r="K3801" s="1"/>
    </row>
    <row r="3802" spans="5:11" x14ac:dyDescent="0.3">
      <c r="E3802" s="5"/>
      <c r="F3802" s="1"/>
      <c r="K3802" s="1"/>
    </row>
    <row r="3803" spans="5:11" x14ac:dyDescent="0.3">
      <c r="E3803" s="6"/>
      <c r="F3803" s="1"/>
      <c r="K3803" s="1"/>
    </row>
    <row r="3804" spans="5:11" x14ac:dyDescent="0.3">
      <c r="E3804" s="6"/>
      <c r="F3804" s="1"/>
      <c r="K3804" s="1"/>
    </row>
    <row r="3805" spans="5:11" x14ac:dyDescent="0.3">
      <c r="E3805" s="6"/>
      <c r="F3805" s="1"/>
      <c r="K3805" s="1"/>
    </row>
    <row r="3806" spans="5:11" x14ac:dyDescent="0.3">
      <c r="E3806" s="6"/>
      <c r="F3806" s="1"/>
      <c r="K3806" s="1"/>
    </row>
    <row r="3807" spans="5:11" x14ac:dyDescent="0.3">
      <c r="E3807" s="6"/>
      <c r="F3807" s="1"/>
      <c r="K3807" s="1"/>
    </row>
    <row r="3808" spans="5:11" x14ac:dyDescent="0.3">
      <c r="E3808" s="6"/>
      <c r="F3808" s="1"/>
      <c r="K3808" s="1"/>
    </row>
    <row r="3809" spans="5:11" x14ac:dyDescent="0.3">
      <c r="E3809" s="6"/>
      <c r="F3809" s="1"/>
      <c r="K3809" s="1"/>
    </row>
    <row r="3810" spans="5:11" x14ac:dyDescent="0.3">
      <c r="E3810" s="6"/>
      <c r="F3810" s="1"/>
      <c r="K3810" s="1"/>
    </row>
    <row r="3811" spans="5:11" x14ac:dyDescent="0.3">
      <c r="E3811" s="6"/>
      <c r="F3811" s="1"/>
      <c r="K3811" s="1"/>
    </row>
    <row r="3812" spans="5:11" x14ac:dyDescent="0.3">
      <c r="E3812" s="6"/>
      <c r="F3812" s="1"/>
      <c r="K3812" s="1"/>
    </row>
    <row r="3813" spans="5:11" x14ac:dyDescent="0.3">
      <c r="E3813" s="6"/>
      <c r="F3813" s="1"/>
      <c r="K3813" s="1"/>
    </row>
    <row r="3814" spans="5:11" x14ac:dyDescent="0.3">
      <c r="E3814" s="6"/>
      <c r="F3814" s="1"/>
      <c r="K3814" s="1"/>
    </row>
    <row r="3815" spans="5:11" x14ac:dyDescent="0.3">
      <c r="E3815" s="6"/>
      <c r="F3815" s="1"/>
      <c r="K3815" s="1"/>
    </row>
    <row r="3816" spans="5:11" x14ac:dyDescent="0.3">
      <c r="E3816" s="6"/>
      <c r="F3816" s="1"/>
      <c r="K3816" s="1"/>
    </row>
    <row r="3817" spans="5:11" x14ac:dyDescent="0.3">
      <c r="E3817" s="6"/>
      <c r="F3817" s="1"/>
      <c r="K3817" s="1"/>
    </row>
    <row r="3818" spans="5:11" x14ac:dyDescent="0.3">
      <c r="E3818" s="6"/>
      <c r="F3818" s="1"/>
      <c r="K3818" s="1"/>
    </row>
    <row r="3819" spans="5:11" x14ac:dyDescent="0.3">
      <c r="E3819" s="6"/>
      <c r="F3819" s="1"/>
      <c r="K3819" s="1"/>
    </row>
    <row r="3820" spans="5:11" x14ac:dyDescent="0.3">
      <c r="E3820" s="6"/>
      <c r="F3820" s="1"/>
      <c r="K3820" s="1"/>
    </row>
    <row r="3821" spans="5:11" x14ac:dyDescent="0.3">
      <c r="E3821" s="6"/>
      <c r="F3821" s="1"/>
      <c r="K3821" s="1"/>
    </row>
    <row r="3822" spans="5:11" x14ac:dyDescent="0.3">
      <c r="E3822" s="6"/>
      <c r="F3822" s="1"/>
      <c r="K3822" s="1"/>
    </row>
    <row r="3823" spans="5:11" x14ac:dyDescent="0.3">
      <c r="E3823" s="6"/>
      <c r="F3823" s="1"/>
      <c r="K3823" s="1"/>
    </row>
    <row r="3824" spans="5:11" x14ac:dyDescent="0.3">
      <c r="E3824" s="6"/>
      <c r="F3824" s="1"/>
      <c r="K3824" s="1"/>
    </row>
    <row r="3825" spans="5:11" x14ac:dyDescent="0.3">
      <c r="E3825" s="6"/>
      <c r="F3825" s="1"/>
      <c r="K3825" s="1"/>
    </row>
    <row r="3826" spans="5:11" x14ac:dyDescent="0.3">
      <c r="E3826" s="6"/>
      <c r="F3826" s="1"/>
      <c r="K3826" s="1"/>
    </row>
    <row r="3827" spans="5:11" x14ac:dyDescent="0.3">
      <c r="E3827" s="6"/>
      <c r="F3827" s="1"/>
      <c r="K3827" s="1"/>
    </row>
    <row r="3828" spans="5:11" x14ac:dyDescent="0.3">
      <c r="E3828" s="6"/>
      <c r="F3828" s="1"/>
      <c r="K3828" s="1"/>
    </row>
    <row r="3829" spans="5:11" x14ac:dyDescent="0.3">
      <c r="E3829" s="6"/>
      <c r="F3829" s="1"/>
      <c r="K3829" s="1"/>
    </row>
    <row r="3830" spans="5:11" x14ac:dyDescent="0.3">
      <c r="E3830" s="6"/>
      <c r="F3830" s="1"/>
      <c r="K3830" s="1"/>
    </row>
    <row r="3831" spans="5:11" x14ac:dyDescent="0.3">
      <c r="E3831" s="6"/>
      <c r="F3831" s="1"/>
      <c r="K3831" s="1"/>
    </row>
    <row r="3832" spans="5:11" x14ac:dyDescent="0.3">
      <c r="E3832" s="6"/>
      <c r="F3832" s="1"/>
      <c r="K3832" s="1"/>
    </row>
    <row r="3833" spans="5:11" x14ac:dyDescent="0.3">
      <c r="E3833" s="5"/>
      <c r="F3833" s="1"/>
      <c r="K3833" s="1"/>
    </row>
    <row r="3834" spans="5:11" x14ac:dyDescent="0.3">
      <c r="E3834" s="5"/>
      <c r="F3834" s="1"/>
      <c r="K3834" s="1"/>
    </row>
    <row r="3835" spans="5:11" x14ac:dyDescent="0.3">
      <c r="E3835" s="5"/>
      <c r="F3835" s="1"/>
      <c r="K3835" s="1"/>
    </row>
    <row r="3836" spans="5:11" x14ac:dyDescent="0.3">
      <c r="E3836" s="5"/>
      <c r="F3836" s="1"/>
      <c r="K3836" s="1"/>
    </row>
    <row r="3837" spans="5:11" x14ac:dyDescent="0.3">
      <c r="E3837" s="6"/>
      <c r="F3837" s="1"/>
      <c r="K3837" s="1"/>
    </row>
    <row r="3838" spans="5:11" x14ac:dyDescent="0.3">
      <c r="E3838" s="6"/>
      <c r="F3838" s="1"/>
      <c r="K3838" s="1"/>
    </row>
    <row r="3839" spans="5:11" x14ac:dyDescent="0.3">
      <c r="E3839" s="6"/>
      <c r="F3839" s="1"/>
      <c r="K3839" s="1"/>
    </row>
    <row r="3840" spans="5:11" x14ac:dyDescent="0.3">
      <c r="E3840" s="6"/>
      <c r="F3840" s="1"/>
      <c r="K3840" s="1"/>
    </row>
    <row r="3841" spans="5:11" x14ac:dyDescent="0.3">
      <c r="E3841" s="6"/>
      <c r="F3841" s="1"/>
      <c r="K3841" s="1"/>
    </row>
    <row r="3842" spans="5:11" x14ac:dyDescent="0.3">
      <c r="E3842" s="6"/>
      <c r="F3842" s="1"/>
      <c r="K3842" s="1"/>
    </row>
    <row r="3843" spans="5:11" x14ac:dyDescent="0.3">
      <c r="E3843" s="6"/>
      <c r="F3843" s="1"/>
      <c r="K3843" s="1"/>
    </row>
    <row r="3844" spans="5:11" x14ac:dyDescent="0.3">
      <c r="E3844" s="6"/>
      <c r="F3844" s="1"/>
      <c r="K3844" s="1"/>
    </row>
    <row r="3845" spans="5:11" x14ac:dyDescent="0.3">
      <c r="E3845" s="6"/>
      <c r="F3845" s="1"/>
      <c r="K3845" s="1"/>
    </row>
    <row r="3846" spans="5:11" x14ac:dyDescent="0.3">
      <c r="E3846" s="6"/>
      <c r="F3846" s="1"/>
      <c r="K3846" s="1"/>
    </row>
    <row r="3847" spans="5:11" x14ac:dyDescent="0.3">
      <c r="E3847" s="6"/>
      <c r="F3847" s="1"/>
      <c r="K3847" s="1"/>
    </row>
    <row r="3848" spans="5:11" x14ac:dyDescent="0.3">
      <c r="E3848" s="6"/>
      <c r="F3848" s="1"/>
      <c r="K3848" s="1"/>
    </row>
    <row r="3849" spans="5:11" x14ac:dyDescent="0.3">
      <c r="E3849" s="6"/>
      <c r="F3849" s="1"/>
      <c r="K3849" s="1"/>
    </row>
    <row r="3850" spans="5:11" x14ac:dyDescent="0.3">
      <c r="E3850" s="6"/>
      <c r="F3850" s="1"/>
      <c r="K3850" s="1"/>
    </row>
    <row r="3851" spans="5:11" x14ac:dyDescent="0.3">
      <c r="E3851" s="6"/>
      <c r="F3851" s="1"/>
      <c r="K3851" s="1"/>
    </row>
    <row r="3852" spans="5:11" x14ac:dyDescent="0.3">
      <c r="E3852" s="6"/>
      <c r="F3852" s="1"/>
      <c r="K3852" s="1"/>
    </row>
    <row r="3853" spans="5:11" x14ac:dyDescent="0.3">
      <c r="E3853" s="6"/>
      <c r="F3853" s="1"/>
      <c r="K3853" s="1"/>
    </row>
    <row r="3854" spans="5:11" x14ac:dyDescent="0.3">
      <c r="E3854" s="6"/>
      <c r="F3854" s="1"/>
      <c r="K3854" s="1"/>
    </row>
    <row r="3855" spans="5:11" x14ac:dyDescent="0.3">
      <c r="E3855" s="6"/>
      <c r="F3855" s="1"/>
      <c r="K3855" s="1"/>
    </row>
    <row r="3856" spans="5:11" x14ac:dyDescent="0.3">
      <c r="E3856" s="6"/>
      <c r="F3856" s="1"/>
      <c r="K3856" s="1"/>
    </row>
    <row r="3857" spans="5:11" x14ac:dyDescent="0.3">
      <c r="E3857" s="6"/>
      <c r="F3857" s="1"/>
      <c r="K3857" s="1"/>
    </row>
    <row r="3858" spans="5:11" x14ac:dyDescent="0.3">
      <c r="E3858" s="6"/>
      <c r="F3858" s="1"/>
      <c r="K3858" s="1"/>
    </row>
    <row r="3859" spans="5:11" x14ac:dyDescent="0.3">
      <c r="E3859" s="6"/>
      <c r="F3859" s="1"/>
      <c r="K3859" s="1"/>
    </row>
    <row r="3860" spans="5:11" x14ac:dyDescent="0.3">
      <c r="E3860" s="6"/>
      <c r="F3860" s="1"/>
      <c r="K3860" s="1"/>
    </row>
    <row r="3861" spans="5:11" x14ac:dyDescent="0.3">
      <c r="E3861" s="6"/>
      <c r="F3861" s="1"/>
      <c r="K3861" s="1"/>
    </row>
    <row r="3862" spans="5:11" x14ac:dyDescent="0.3">
      <c r="E3862" s="6"/>
      <c r="F3862" s="1"/>
      <c r="K3862" s="1"/>
    </row>
    <row r="3863" spans="5:11" x14ac:dyDescent="0.3">
      <c r="E3863" s="6"/>
      <c r="F3863" s="1"/>
      <c r="K3863" s="1"/>
    </row>
    <row r="3864" spans="5:11" x14ac:dyDescent="0.3">
      <c r="E3864" s="6"/>
      <c r="F3864" s="1"/>
      <c r="K3864" s="1"/>
    </row>
    <row r="3865" spans="5:11" x14ac:dyDescent="0.3">
      <c r="E3865" s="6"/>
      <c r="F3865" s="1"/>
      <c r="K3865" s="1"/>
    </row>
    <row r="3866" spans="5:11" x14ac:dyDescent="0.3">
      <c r="E3866" s="6"/>
      <c r="F3866" s="1"/>
      <c r="K3866" s="1"/>
    </row>
    <row r="3867" spans="5:11" x14ac:dyDescent="0.3">
      <c r="E3867" s="6"/>
      <c r="F3867" s="1"/>
      <c r="K3867" s="1"/>
    </row>
    <row r="3868" spans="5:11" x14ac:dyDescent="0.3">
      <c r="E3868" s="6"/>
      <c r="F3868" s="1"/>
      <c r="K3868" s="1"/>
    </row>
    <row r="3869" spans="5:11" x14ac:dyDescent="0.3">
      <c r="E3869" s="6"/>
      <c r="F3869" s="1"/>
      <c r="K3869" s="1"/>
    </row>
    <row r="3870" spans="5:11" x14ac:dyDescent="0.3">
      <c r="E3870" s="6"/>
      <c r="F3870" s="1"/>
      <c r="K3870" s="1"/>
    </row>
    <row r="3871" spans="5:11" x14ac:dyDescent="0.3">
      <c r="E3871" s="6"/>
      <c r="F3871" s="1"/>
      <c r="K3871" s="1"/>
    </row>
    <row r="3872" spans="5:11" x14ac:dyDescent="0.3">
      <c r="E3872" s="6"/>
      <c r="F3872" s="1"/>
      <c r="K3872" s="1"/>
    </row>
    <row r="3873" spans="5:11" x14ac:dyDescent="0.3">
      <c r="E3873" s="6"/>
      <c r="F3873" s="1"/>
      <c r="K3873" s="1"/>
    </row>
    <row r="3874" spans="5:11" x14ac:dyDescent="0.3">
      <c r="E3874" s="6"/>
      <c r="F3874" s="1"/>
      <c r="K3874" s="1"/>
    </row>
    <row r="3875" spans="5:11" x14ac:dyDescent="0.3">
      <c r="E3875" s="6"/>
      <c r="F3875" s="1"/>
      <c r="K3875" s="1"/>
    </row>
    <row r="3876" spans="5:11" x14ac:dyDescent="0.3">
      <c r="E3876" s="6"/>
      <c r="F3876" s="1"/>
      <c r="K3876" s="1"/>
    </row>
    <row r="3877" spans="5:11" x14ac:dyDescent="0.3">
      <c r="E3877" s="6"/>
      <c r="F3877" s="1"/>
      <c r="K3877" s="1"/>
    </row>
    <row r="3878" spans="5:11" x14ac:dyDescent="0.3">
      <c r="E3878" s="6"/>
      <c r="F3878" s="1"/>
      <c r="K3878" s="1"/>
    </row>
    <row r="3879" spans="5:11" x14ac:dyDescent="0.3">
      <c r="E3879" s="5"/>
      <c r="F3879" s="1"/>
      <c r="K3879" s="1"/>
    </row>
    <row r="3880" spans="5:11" x14ac:dyDescent="0.3">
      <c r="E3880" s="5"/>
      <c r="F3880" s="1"/>
      <c r="K3880" s="1"/>
    </row>
    <row r="3881" spans="5:11" x14ac:dyDescent="0.3">
      <c r="E3881" s="5"/>
      <c r="F3881" s="1"/>
      <c r="K3881" s="1"/>
    </row>
    <row r="3882" spans="5:11" x14ac:dyDescent="0.3">
      <c r="E3882" s="6"/>
      <c r="F3882" s="1"/>
      <c r="K3882" s="1"/>
    </row>
    <row r="3883" spans="5:11" x14ac:dyDescent="0.3">
      <c r="E3883" s="6"/>
      <c r="F3883" s="1"/>
      <c r="K3883" s="1"/>
    </row>
    <row r="3884" spans="5:11" x14ac:dyDescent="0.3">
      <c r="E3884" s="6"/>
      <c r="F3884" s="1"/>
      <c r="K3884" s="1"/>
    </row>
    <row r="3885" spans="5:11" x14ac:dyDescent="0.3">
      <c r="E3885" s="6"/>
      <c r="F3885" s="1"/>
      <c r="K3885" s="1"/>
    </row>
    <row r="3886" spans="5:11" x14ac:dyDescent="0.3">
      <c r="E3886" s="6"/>
      <c r="F3886" s="1"/>
      <c r="K3886" s="1"/>
    </row>
    <row r="3887" spans="5:11" x14ac:dyDescent="0.3">
      <c r="E3887" s="6"/>
      <c r="F3887" s="1"/>
      <c r="K3887" s="1"/>
    </row>
    <row r="3888" spans="5:11" x14ac:dyDescent="0.3">
      <c r="E3888" s="6"/>
      <c r="F3888" s="1"/>
      <c r="K3888" s="1"/>
    </row>
    <row r="3889" spans="5:11" x14ac:dyDescent="0.3">
      <c r="E3889" s="6"/>
      <c r="F3889" s="1"/>
      <c r="K3889" s="1"/>
    </row>
    <row r="3890" spans="5:11" x14ac:dyDescent="0.3">
      <c r="E3890" s="6"/>
      <c r="F3890" s="1"/>
      <c r="K3890" s="1"/>
    </row>
    <row r="3891" spans="5:11" x14ac:dyDescent="0.3">
      <c r="E3891" s="6"/>
      <c r="F3891" s="1"/>
      <c r="K3891" s="1"/>
    </row>
    <row r="3892" spans="5:11" x14ac:dyDescent="0.3">
      <c r="E3892" s="6"/>
      <c r="F3892" s="1"/>
      <c r="K3892" s="1"/>
    </row>
    <row r="3893" spans="5:11" x14ac:dyDescent="0.3">
      <c r="E3893" s="6"/>
      <c r="F3893" s="1"/>
      <c r="K3893" s="1"/>
    </row>
    <row r="3894" spans="5:11" x14ac:dyDescent="0.3">
      <c r="E3894" s="6"/>
      <c r="F3894" s="1"/>
      <c r="K3894" s="1"/>
    </row>
    <row r="3895" spans="5:11" x14ac:dyDescent="0.3">
      <c r="E3895" s="6"/>
      <c r="F3895" s="1"/>
      <c r="K3895" s="1"/>
    </row>
    <row r="3896" spans="5:11" x14ac:dyDescent="0.3">
      <c r="E3896" s="6"/>
      <c r="F3896" s="1"/>
      <c r="K3896" s="1"/>
    </row>
    <row r="3897" spans="5:11" x14ac:dyDescent="0.3">
      <c r="E3897" s="6"/>
      <c r="F3897" s="1"/>
      <c r="K3897" s="1"/>
    </row>
    <row r="3898" spans="5:11" x14ac:dyDescent="0.3">
      <c r="E3898" s="6"/>
      <c r="F3898" s="1"/>
      <c r="K3898" s="1"/>
    </row>
    <row r="3899" spans="5:11" x14ac:dyDescent="0.3">
      <c r="E3899" s="6"/>
      <c r="F3899" s="1"/>
      <c r="K3899" s="1"/>
    </row>
    <row r="3900" spans="5:11" x14ac:dyDescent="0.3">
      <c r="E3900" s="6"/>
      <c r="F3900" s="1"/>
      <c r="K3900" s="1"/>
    </row>
    <row r="3901" spans="5:11" x14ac:dyDescent="0.3">
      <c r="E3901" s="6"/>
      <c r="F3901" s="1"/>
      <c r="K3901" s="1"/>
    </row>
    <row r="3902" spans="5:11" x14ac:dyDescent="0.3">
      <c r="E3902" s="6"/>
      <c r="F3902" s="1"/>
      <c r="K3902" s="1"/>
    </row>
    <row r="3903" spans="5:11" x14ac:dyDescent="0.3">
      <c r="E3903" s="6"/>
      <c r="F3903" s="1"/>
      <c r="K3903" s="1"/>
    </row>
    <row r="3904" spans="5:11" x14ac:dyDescent="0.3">
      <c r="E3904" s="6"/>
      <c r="F3904" s="1"/>
      <c r="K3904" s="1"/>
    </row>
    <row r="3905" spans="5:11" x14ac:dyDescent="0.3">
      <c r="E3905" s="6"/>
      <c r="F3905" s="1"/>
      <c r="K3905" s="1"/>
    </row>
    <row r="3906" spans="5:11" x14ac:dyDescent="0.3">
      <c r="E3906" s="6"/>
      <c r="F3906" s="1"/>
      <c r="K3906" s="1"/>
    </row>
    <row r="3907" spans="5:11" x14ac:dyDescent="0.3">
      <c r="E3907" s="6"/>
      <c r="F3907" s="1"/>
      <c r="K3907" s="1"/>
    </row>
    <row r="3908" spans="5:11" x14ac:dyDescent="0.3">
      <c r="E3908" s="6"/>
      <c r="F3908" s="1"/>
      <c r="K3908" s="1"/>
    </row>
    <row r="3909" spans="5:11" x14ac:dyDescent="0.3">
      <c r="E3909" s="6"/>
      <c r="F3909" s="1"/>
      <c r="K3909" s="1"/>
    </row>
    <row r="3910" spans="5:11" x14ac:dyDescent="0.3">
      <c r="E3910" s="6"/>
      <c r="F3910" s="1"/>
      <c r="K3910" s="1"/>
    </row>
    <row r="3911" spans="5:11" x14ac:dyDescent="0.3">
      <c r="E3911" s="6"/>
      <c r="F3911" s="1"/>
      <c r="K3911" s="1"/>
    </row>
    <row r="3912" spans="5:11" x14ac:dyDescent="0.3">
      <c r="E3912" s="6"/>
      <c r="F3912" s="1"/>
      <c r="K3912" s="1"/>
    </row>
    <row r="3913" spans="5:11" x14ac:dyDescent="0.3">
      <c r="E3913" s="6"/>
      <c r="F3913" s="1"/>
      <c r="K3913" s="1"/>
    </row>
    <row r="3914" spans="5:11" x14ac:dyDescent="0.3">
      <c r="E3914" s="6"/>
      <c r="F3914" s="1"/>
      <c r="K3914" s="1"/>
    </row>
    <row r="3915" spans="5:11" x14ac:dyDescent="0.3">
      <c r="E3915" s="6"/>
      <c r="F3915" s="1"/>
      <c r="K3915" s="1"/>
    </row>
    <row r="3916" spans="5:11" x14ac:dyDescent="0.3">
      <c r="E3916" s="6"/>
      <c r="F3916" s="1"/>
      <c r="K3916" s="1"/>
    </row>
    <row r="3917" spans="5:11" x14ac:dyDescent="0.3">
      <c r="E3917" s="6"/>
      <c r="F3917" s="1"/>
      <c r="K3917" s="1"/>
    </row>
    <row r="3918" spans="5:11" x14ac:dyDescent="0.3">
      <c r="E3918" s="6"/>
      <c r="F3918" s="1"/>
      <c r="K3918" s="1"/>
    </row>
    <row r="3919" spans="5:11" x14ac:dyDescent="0.3">
      <c r="E3919" s="6"/>
      <c r="F3919" s="1"/>
      <c r="K3919" s="1"/>
    </row>
    <row r="3920" spans="5:11" x14ac:dyDescent="0.3">
      <c r="E3920" s="6"/>
      <c r="F3920" s="1"/>
      <c r="K3920" s="1"/>
    </row>
    <row r="3921" spans="5:11" x14ac:dyDescent="0.3">
      <c r="E3921" s="6"/>
      <c r="F3921" s="1"/>
      <c r="K3921" s="1"/>
    </row>
    <row r="3922" spans="5:11" x14ac:dyDescent="0.3">
      <c r="E3922" s="6"/>
      <c r="F3922" s="1"/>
      <c r="K3922" s="1"/>
    </row>
    <row r="3923" spans="5:11" x14ac:dyDescent="0.3">
      <c r="E3923" s="6"/>
      <c r="F3923" s="1"/>
      <c r="K3923" s="1"/>
    </row>
    <row r="3924" spans="5:11" x14ac:dyDescent="0.3">
      <c r="E3924" s="5"/>
      <c r="F3924" s="1"/>
      <c r="K3924" s="1"/>
    </row>
    <row r="3925" spans="5:11" x14ac:dyDescent="0.3">
      <c r="E3925" s="5"/>
      <c r="F3925" s="1"/>
      <c r="K3925" s="1"/>
    </row>
    <row r="3926" spans="5:11" x14ac:dyDescent="0.3">
      <c r="E3926" s="6"/>
      <c r="F3926" s="1"/>
      <c r="K3926" s="1"/>
    </row>
    <row r="3927" spans="5:11" x14ac:dyDescent="0.3">
      <c r="E3927" s="6"/>
      <c r="F3927" s="1"/>
      <c r="K3927" s="1"/>
    </row>
    <row r="3928" spans="5:11" x14ac:dyDescent="0.3">
      <c r="E3928" s="6"/>
      <c r="F3928" s="1"/>
      <c r="K3928" s="1"/>
    </row>
    <row r="3929" spans="5:11" x14ac:dyDescent="0.3">
      <c r="E3929" s="6"/>
      <c r="F3929" s="1"/>
      <c r="K3929" s="1"/>
    </row>
    <row r="3930" spans="5:11" x14ac:dyDescent="0.3">
      <c r="E3930" s="6"/>
      <c r="F3930" s="1"/>
      <c r="K3930" s="1"/>
    </row>
    <row r="3931" spans="5:11" x14ac:dyDescent="0.3">
      <c r="E3931" s="6"/>
      <c r="F3931" s="1"/>
      <c r="K3931" s="1"/>
    </row>
    <row r="3932" spans="5:11" x14ac:dyDescent="0.3">
      <c r="E3932" s="6"/>
      <c r="F3932" s="1"/>
      <c r="K3932" s="1"/>
    </row>
    <row r="3933" spans="5:11" x14ac:dyDescent="0.3">
      <c r="E3933" s="6"/>
      <c r="F3933" s="1"/>
      <c r="K3933" s="1"/>
    </row>
    <row r="3934" spans="5:11" x14ac:dyDescent="0.3">
      <c r="E3934" s="6"/>
      <c r="F3934" s="1"/>
      <c r="K3934" s="1"/>
    </row>
    <row r="3935" spans="5:11" x14ac:dyDescent="0.3">
      <c r="E3935" s="6"/>
      <c r="F3935" s="1"/>
      <c r="K3935" s="1"/>
    </row>
    <row r="3936" spans="5:11" x14ac:dyDescent="0.3">
      <c r="E3936" s="6"/>
      <c r="F3936" s="1"/>
      <c r="K3936" s="1"/>
    </row>
    <row r="3937" spans="5:11" x14ac:dyDescent="0.3">
      <c r="E3937" s="6"/>
      <c r="F3937" s="1"/>
      <c r="K3937" s="1"/>
    </row>
    <row r="3938" spans="5:11" x14ac:dyDescent="0.3">
      <c r="E3938" s="6"/>
      <c r="F3938" s="1"/>
      <c r="K3938" s="1"/>
    </row>
    <row r="3939" spans="5:11" x14ac:dyDescent="0.3">
      <c r="E3939" s="6"/>
      <c r="F3939" s="1"/>
      <c r="K3939" s="1"/>
    </row>
    <row r="3940" spans="5:11" x14ac:dyDescent="0.3">
      <c r="E3940" s="6"/>
      <c r="F3940" s="1"/>
      <c r="K3940" s="1"/>
    </row>
    <row r="3941" spans="5:11" x14ac:dyDescent="0.3">
      <c r="E3941" s="6"/>
      <c r="F3941" s="1"/>
      <c r="K3941" s="1"/>
    </row>
    <row r="3942" spans="5:11" x14ac:dyDescent="0.3">
      <c r="E3942" s="6"/>
      <c r="F3942" s="1"/>
      <c r="K3942" s="1"/>
    </row>
    <row r="3943" spans="5:11" x14ac:dyDescent="0.3">
      <c r="E3943" s="6"/>
      <c r="F3943" s="1"/>
      <c r="K3943" s="1"/>
    </row>
    <row r="3944" spans="5:11" x14ac:dyDescent="0.3">
      <c r="E3944" s="6"/>
      <c r="F3944" s="1"/>
      <c r="K3944" s="1"/>
    </row>
    <row r="3945" spans="5:11" x14ac:dyDescent="0.3">
      <c r="E3945" s="6"/>
      <c r="F3945" s="1"/>
      <c r="K3945" s="1"/>
    </row>
    <row r="3946" spans="5:11" x14ac:dyDescent="0.3">
      <c r="E3946" s="6"/>
      <c r="F3946" s="1"/>
      <c r="K3946" s="1"/>
    </row>
    <row r="3947" spans="5:11" x14ac:dyDescent="0.3">
      <c r="E3947" s="6"/>
      <c r="F3947" s="1"/>
      <c r="K3947" s="1"/>
    </row>
    <row r="3948" spans="5:11" x14ac:dyDescent="0.3">
      <c r="E3948" s="6"/>
      <c r="F3948" s="1"/>
      <c r="K3948" s="1"/>
    </row>
    <row r="3949" spans="5:11" x14ac:dyDescent="0.3">
      <c r="E3949" s="6"/>
      <c r="F3949" s="1"/>
      <c r="K3949" s="1"/>
    </row>
    <row r="3950" spans="5:11" x14ac:dyDescent="0.3">
      <c r="E3950" s="6"/>
      <c r="F3950" s="1"/>
      <c r="K3950" s="1"/>
    </row>
    <row r="3951" spans="5:11" x14ac:dyDescent="0.3">
      <c r="E3951" s="6"/>
      <c r="F3951" s="1"/>
      <c r="K3951" s="1"/>
    </row>
    <row r="3952" spans="5:11" x14ac:dyDescent="0.3">
      <c r="E3952" s="6"/>
      <c r="F3952" s="1"/>
      <c r="K3952" s="1"/>
    </row>
    <row r="3953" spans="5:11" x14ac:dyDescent="0.3">
      <c r="E3953" s="6"/>
      <c r="F3953" s="1"/>
      <c r="K3953" s="1"/>
    </row>
    <row r="3954" spans="5:11" x14ac:dyDescent="0.3">
      <c r="E3954" s="6"/>
      <c r="F3954" s="1"/>
      <c r="K3954" s="1"/>
    </row>
    <row r="3955" spans="5:11" x14ac:dyDescent="0.3">
      <c r="E3955" s="6"/>
      <c r="F3955" s="1"/>
      <c r="K3955" s="1"/>
    </row>
    <row r="3956" spans="5:11" x14ac:dyDescent="0.3">
      <c r="E3956" s="6"/>
      <c r="F3956" s="1"/>
      <c r="K3956" s="1"/>
    </row>
    <row r="3957" spans="5:11" x14ac:dyDescent="0.3">
      <c r="E3957" s="6"/>
      <c r="F3957" s="1"/>
      <c r="K3957" s="1"/>
    </row>
    <row r="3958" spans="5:11" x14ac:dyDescent="0.3">
      <c r="E3958" s="6"/>
      <c r="F3958" s="1"/>
      <c r="K3958" s="1"/>
    </row>
    <row r="3959" spans="5:11" x14ac:dyDescent="0.3">
      <c r="E3959" s="6"/>
      <c r="F3959" s="1"/>
      <c r="K3959" s="1"/>
    </row>
    <row r="3960" spans="5:11" x14ac:dyDescent="0.3">
      <c r="E3960" s="6"/>
      <c r="F3960" s="1"/>
      <c r="K3960" s="1"/>
    </row>
    <row r="3961" spans="5:11" x14ac:dyDescent="0.3">
      <c r="E3961" s="6"/>
      <c r="F3961" s="1"/>
      <c r="K3961" s="1"/>
    </row>
    <row r="3962" spans="5:11" x14ac:dyDescent="0.3">
      <c r="E3962" s="6"/>
      <c r="F3962" s="1"/>
      <c r="K3962" s="1"/>
    </row>
    <row r="3963" spans="5:11" x14ac:dyDescent="0.3">
      <c r="E3963" s="6"/>
      <c r="F3963" s="1"/>
      <c r="K3963" s="1"/>
    </row>
    <row r="3964" spans="5:11" x14ac:dyDescent="0.3">
      <c r="E3964" s="6"/>
      <c r="F3964" s="1"/>
      <c r="K3964" s="1"/>
    </row>
    <row r="3965" spans="5:11" x14ac:dyDescent="0.3">
      <c r="E3965" s="6"/>
      <c r="F3965" s="1"/>
      <c r="K3965" s="1"/>
    </row>
    <row r="3966" spans="5:11" x14ac:dyDescent="0.3">
      <c r="E3966" s="5"/>
      <c r="F3966" s="1"/>
      <c r="K3966" s="1"/>
    </row>
    <row r="3967" spans="5:11" x14ac:dyDescent="0.3">
      <c r="E3967" s="6"/>
      <c r="F3967" s="1"/>
      <c r="K3967" s="1"/>
    </row>
    <row r="3968" spans="5:11" x14ac:dyDescent="0.3">
      <c r="E3968" s="6"/>
      <c r="F3968" s="1"/>
      <c r="K3968" s="1"/>
    </row>
    <row r="3969" spans="5:11" x14ac:dyDescent="0.3">
      <c r="E3969" s="6"/>
      <c r="F3969" s="1"/>
      <c r="K3969" s="1"/>
    </row>
    <row r="3970" spans="5:11" x14ac:dyDescent="0.3">
      <c r="E3970" s="6"/>
      <c r="F3970" s="1"/>
      <c r="K3970" s="1"/>
    </row>
    <row r="3971" spans="5:11" x14ac:dyDescent="0.3">
      <c r="E3971" s="6"/>
      <c r="F3971" s="1"/>
      <c r="K3971" s="1"/>
    </row>
    <row r="3972" spans="5:11" x14ac:dyDescent="0.3">
      <c r="E3972" s="6"/>
      <c r="F3972" s="1"/>
      <c r="K3972" s="1"/>
    </row>
    <row r="3973" spans="5:11" x14ac:dyDescent="0.3">
      <c r="E3973" s="6"/>
      <c r="F3973" s="1"/>
      <c r="K3973" s="1"/>
    </row>
    <row r="3974" spans="5:11" x14ac:dyDescent="0.3">
      <c r="E3974" s="6"/>
      <c r="F3974" s="1"/>
      <c r="K3974" s="1"/>
    </row>
    <row r="3975" spans="5:11" x14ac:dyDescent="0.3">
      <c r="E3975" s="6"/>
      <c r="F3975" s="1"/>
      <c r="K3975" s="1"/>
    </row>
    <row r="3976" spans="5:11" x14ac:dyDescent="0.3">
      <c r="E3976" s="6"/>
      <c r="F3976" s="1"/>
      <c r="K3976" s="1"/>
    </row>
    <row r="3977" spans="5:11" x14ac:dyDescent="0.3">
      <c r="E3977" s="6"/>
      <c r="F3977" s="1"/>
      <c r="K3977" s="1"/>
    </row>
    <row r="3978" spans="5:11" x14ac:dyDescent="0.3">
      <c r="E3978" s="6"/>
      <c r="F3978" s="1"/>
      <c r="K3978" s="1"/>
    </row>
    <row r="3979" spans="5:11" x14ac:dyDescent="0.3">
      <c r="E3979" s="6"/>
      <c r="F3979" s="1"/>
      <c r="K3979" s="1"/>
    </row>
    <row r="3980" spans="5:11" x14ac:dyDescent="0.3">
      <c r="E3980" s="6"/>
      <c r="F3980" s="1"/>
      <c r="K3980" s="1"/>
    </row>
    <row r="3981" spans="5:11" x14ac:dyDescent="0.3">
      <c r="E3981" s="6"/>
      <c r="F3981" s="1"/>
      <c r="K3981" s="1"/>
    </row>
    <row r="3982" spans="5:11" x14ac:dyDescent="0.3">
      <c r="E3982" s="6"/>
      <c r="F3982" s="1"/>
      <c r="K3982" s="1"/>
    </row>
    <row r="3983" spans="5:11" x14ac:dyDescent="0.3">
      <c r="E3983" s="6"/>
      <c r="F3983" s="1"/>
      <c r="K3983" s="1"/>
    </row>
    <row r="3984" spans="5:11" x14ac:dyDescent="0.3">
      <c r="E3984" s="6"/>
      <c r="F3984" s="1"/>
      <c r="K3984" s="1"/>
    </row>
    <row r="3985" spans="5:11" x14ac:dyDescent="0.3">
      <c r="E3985" s="6"/>
      <c r="F3985" s="1"/>
      <c r="K3985" s="1"/>
    </row>
    <row r="3986" spans="5:11" x14ac:dyDescent="0.3">
      <c r="E3986" s="6"/>
      <c r="F3986" s="1"/>
      <c r="K3986" s="1"/>
    </row>
    <row r="3987" spans="5:11" x14ac:dyDescent="0.3">
      <c r="E3987" s="6"/>
      <c r="F3987" s="1"/>
      <c r="K3987" s="1"/>
    </row>
    <row r="3988" spans="5:11" x14ac:dyDescent="0.3">
      <c r="E3988" s="6"/>
      <c r="F3988" s="1"/>
      <c r="K3988" s="1"/>
    </row>
    <row r="3989" spans="5:11" x14ac:dyDescent="0.3">
      <c r="E3989" s="6"/>
      <c r="F3989" s="1"/>
      <c r="K3989" s="1"/>
    </row>
    <row r="3990" spans="5:11" x14ac:dyDescent="0.3">
      <c r="E3990" s="6"/>
      <c r="F3990" s="1"/>
      <c r="K3990" s="1"/>
    </row>
    <row r="3991" spans="5:11" x14ac:dyDescent="0.3">
      <c r="E3991" s="6"/>
      <c r="F3991" s="1"/>
      <c r="K3991" s="1"/>
    </row>
    <row r="3992" spans="5:11" x14ac:dyDescent="0.3">
      <c r="E3992" s="6"/>
      <c r="F3992" s="1"/>
      <c r="K3992" s="1"/>
    </row>
    <row r="3993" spans="5:11" x14ac:dyDescent="0.3">
      <c r="E3993" s="5"/>
      <c r="F3993" s="1"/>
      <c r="K3993" s="1"/>
    </row>
    <row r="3994" spans="5:11" x14ac:dyDescent="0.3">
      <c r="E3994" s="5"/>
      <c r="F3994" s="1"/>
      <c r="K3994" s="1"/>
    </row>
    <row r="3995" spans="5:11" x14ac:dyDescent="0.3">
      <c r="E3995" s="6"/>
      <c r="F3995" s="1"/>
      <c r="K3995" s="1"/>
    </row>
    <row r="3996" spans="5:11" x14ac:dyDescent="0.3">
      <c r="E3996" s="6"/>
      <c r="F3996" s="1"/>
      <c r="K3996" s="1"/>
    </row>
    <row r="3997" spans="5:11" x14ac:dyDescent="0.3">
      <c r="E3997" s="6"/>
      <c r="F3997" s="1"/>
      <c r="K3997" s="1"/>
    </row>
    <row r="3998" spans="5:11" x14ac:dyDescent="0.3">
      <c r="E3998" s="6"/>
      <c r="F3998" s="1"/>
      <c r="K3998" s="1"/>
    </row>
    <row r="3999" spans="5:11" x14ac:dyDescent="0.3">
      <c r="E3999" s="6"/>
      <c r="F3999" s="1"/>
      <c r="K3999" s="1"/>
    </row>
    <row r="4000" spans="5:11" x14ac:dyDescent="0.3">
      <c r="E4000" s="6"/>
      <c r="F4000" s="1"/>
      <c r="K4000" s="1"/>
    </row>
    <row r="4001" spans="5:11" x14ac:dyDescent="0.3">
      <c r="E4001" s="6"/>
      <c r="F4001" s="1"/>
      <c r="K4001" s="1"/>
    </row>
    <row r="4002" spans="5:11" x14ac:dyDescent="0.3">
      <c r="E4002" s="6"/>
      <c r="F4002" s="1"/>
      <c r="K4002" s="1"/>
    </row>
    <row r="4003" spans="5:11" x14ac:dyDescent="0.3">
      <c r="E4003" s="6"/>
      <c r="F4003" s="1"/>
      <c r="K4003" s="1"/>
    </row>
    <row r="4004" spans="5:11" x14ac:dyDescent="0.3">
      <c r="E4004" s="6"/>
      <c r="F4004" s="1"/>
      <c r="K4004" s="1"/>
    </row>
    <row r="4005" spans="5:11" x14ac:dyDescent="0.3">
      <c r="E4005" s="6"/>
      <c r="F4005" s="1"/>
      <c r="K4005" s="1"/>
    </row>
    <row r="4006" spans="5:11" x14ac:dyDescent="0.3">
      <c r="E4006" s="6"/>
      <c r="F4006" s="1"/>
      <c r="K4006" s="1"/>
    </row>
    <row r="4007" spans="5:11" x14ac:dyDescent="0.3">
      <c r="E4007" s="5"/>
      <c r="F4007" s="1"/>
      <c r="K4007" s="1"/>
    </row>
    <row r="4008" spans="5:11" x14ac:dyDescent="0.3">
      <c r="E4008" s="6"/>
      <c r="F4008" s="1"/>
      <c r="K4008" s="1"/>
    </row>
    <row r="4009" spans="5:11" x14ac:dyDescent="0.3">
      <c r="E4009" s="6"/>
      <c r="F4009" s="1"/>
      <c r="K4009" s="1"/>
    </row>
    <row r="4010" spans="5:11" x14ac:dyDescent="0.3">
      <c r="E4010" s="6"/>
      <c r="F4010" s="1"/>
      <c r="K4010" s="1"/>
    </row>
    <row r="4011" spans="5:11" x14ac:dyDescent="0.3">
      <c r="E4011" s="6"/>
      <c r="F4011" s="1"/>
      <c r="K4011" s="1"/>
    </row>
    <row r="4012" spans="5:11" x14ac:dyDescent="0.3">
      <c r="E4012" s="6"/>
      <c r="F4012" s="1"/>
      <c r="K4012" s="1"/>
    </row>
    <row r="4013" spans="5:11" x14ac:dyDescent="0.3">
      <c r="E4013" s="6"/>
      <c r="F4013" s="1"/>
      <c r="K4013" s="1"/>
    </row>
    <row r="4014" spans="5:11" x14ac:dyDescent="0.3">
      <c r="E4014" s="6"/>
      <c r="F4014" s="1"/>
      <c r="K4014" s="1"/>
    </row>
    <row r="4015" spans="5:11" x14ac:dyDescent="0.3">
      <c r="E4015" s="6"/>
      <c r="F4015" s="1"/>
      <c r="K4015" s="1"/>
    </row>
    <row r="4016" spans="5:11" x14ac:dyDescent="0.3">
      <c r="E4016" s="6"/>
      <c r="F4016" s="1"/>
      <c r="K4016" s="1"/>
    </row>
    <row r="4017" spans="5:11" x14ac:dyDescent="0.3">
      <c r="E4017" s="6"/>
      <c r="F4017" s="1"/>
      <c r="K4017" s="1"/>
    </row>
    <row r="4018" spans="5:11" x14ac:dyDescent="0.3">
      <c r="E4018" s="6"/>
      <c r="F4018" s="1"/>
      <c r="K4018" s="1"/>
    </row>
    <row r="4019" spans="5:11" x14ac:dyDescent="0.3">
      <c r="E4019" s="6"/>
      <c r="F4019" s="1"/>
      <c r="K4019" s="1"/>
    </row>
    <row r="4020" spans="5:11" x14ac:dyDescent="0.3">
      <c r="E4020" s="5"/>
      <c r="F4020" s="1"/>
      <c r="K4020" s="1"/>
    </row>
    <row r="4021" spans="5:11" x14ac:dyDescent="0.3">
      <c r="E4021" s="6"/>
      <c r="F4021" s="1"/>
      <c r="K4021" s="1"/>
    </row>
    <row r="4022" spans="5:11" x14ac:dyDescent="0.3">
      <c r="E4022" s="6"/>
      <c r="F4022" s="1"/>
      <c r="K4022" s="1"/>
    </row>
    <row r="4023" spans="5:11" x14ac:dyDescent="0.3">
      <c r="E4023" s="6"/>
      <c r="F4023" s="1"/>
      <c r="K4023" s="1"/>
    </row>
    <row r="4024" spans="5:11" x14ac:dyDescent="0.3">
      <c r="E4024" s="6"/>
      <c r="F4024" s="1"/>
      <c r="K4024" s="1"/>
    </row>
    <row r="4025" spans="5:11" x14ac:dyDescent="0.3">
      <c r="E4025" s="6"/>
      <c r="F4025" s="1"/>
      <c r="K4025" s="1"/>
    </row>
    <row r="4026" spans="5:11" x14ac:dyDescent="0.3">
      <c r="E4026" s="6"/>
      <c r="F4026" s="1"/>
      <c r="K4026" s="1"/>
    </row>
    <row r="4027" spans="5:11" x14ac:dyDescent="0.3">
      <c r="E4027" s="6"/>
      <c r="F4027" s="1"/>
      <c r="K4027" s="1"/>
    </row>
    <row r="4028" spans="5:11" x14ac:dyDescent="0.3">
      <c r="E4028" s="6"/>
      <c r="F4028" s="1"/>
      <c r="K4028" s="1"/>
    </row>
    <row r="4029" spans="5:11" x14ac:dyDescent="0.3">
      <c r="E4029" s="6"/>
      <c r="F4029" s="1"/>
      <c r="K4029" s="1"/>
    </row>
    <row r="4030" spans="5:11" x14ac:dyDescent="0.3">
      <c r="E4030" s="6"/>
      <c r="F4030" s="1"/>
      <c r="K4030" s="1"/>
    </row>
    <row r="4031" spans="5:11" x14ac:dyDescent="0.3">
      <c r="E4031" s="6"/>
      <c r="F4031" s="1"/>
      <c r="K4031" s="1"/>
    </row>
    <row r="4032" spans="5:11" x14ac:dyDescent="0.3">
      <c r="E4032" s="6"/>
      <c r="F4032" s="1"/>
      <c r="K4032" s="1"/>
    </row>
    <row r="4033" spans="5:11" x14ac:dyDescent="0.3">
      <c r="E4033" s="6"/>
      <c r="F4033" s="1"/>
      <c r="K4033" s="1"/>
    </row>
    <row r="4034" spans="5:11" x14ac:dyDescent="0.3">
      <c r="E4034" s="5"/>
      <c r="F4034" s="1"/>
      <c r="K4034" s="1"/>
    </row>
    <row r="4035" spans="5:11" x14ac:dyDescent="0.3">
      <c r="E4035" s="6"/>
      <c r="F4035" s="1"/>
      <c r="K4035" s="1"/>
    </row>
    <row r="4036" spans="5:11" x14ac:dyDescent="0.3">
      <c r="E4036" s="6"/>
      <c r="F4036" s="1"/>
      <c r="K4036" s="1"/>
    </row>
    <row r="4037" spans="5:11" x14ac:dyDescent="0.3">
      <c r="E4037" s="6"/>
      <c r="F4037" s="1"/>
      <c r="K4037" s="1"/>
    </row>
    <row r="4038" spans="5:11" x14ac:dyDescent="0.3">
      <c r="E4038" s="6"/>
      <c r="F4038" s="1"/>
      <c r="K4038" s="1"/>
    </row>
    <row r="4039" spans="5:11" x14ac:dyDescent="0.3">
      <c r="E4039" s="6"/>
      <c r="F4039" s="1"/>
      <c r="K4039" s="1"/>
    </row>
    <row r="4040" spans="5:11" x14ac:dyDescent="0.3">
      <c r="E4040" s="6"/>
      <c r="F4040" s="1"/>
      <c r="K4040" s="1"/>
    </row>
    <row r="4041" spans="5:11" x14ac:dyDescent="0.3">
      <c r="E4041" s="6"/>
      <c r="F4041" s="1"/>
      <c r="K4041" s="1"/>
    </row>
    <row r="4042" spans="5:11" x14ac:dyDescent="0.3">
      <c r="E4042" s="6"/>
      <c r="F4042" s="1"/>
      <c r="K4042" s="1"/>
    </row>
    <row r="4043" spans="5:11" x14ac:dyDescent="0.3">
      <c r="E4043" s="6"/>
      <c r="F4043" s="1"/>
      <c r="K4043" s="1"/>
    </row>
    <row r="4044" spans="5:11" x14ac:dyDescent="0.3">
      <c r="E4044" s="6"/>
      <c r="F4044" s="1"/>
      <c r="K4044" s="1"/>
    </row>
    <row r="4045" spans="5:11" x14ac:dyDescent="0.3">
      <c r="E4045" s="5"/>
      <c r="F4045" s="1"/>
      <c r="K4045" s="1"/>
    </row>
    <row r="4046" spans="5:11" x14ac:dyDescent="0.3">
      <c r="E4046" s="5"/>
      <c r="F4046" s="1"/>
      <c r="K4046" s="1"/>
    </row>
    <row r="4047" spans="5:11" x14ac:dyDescent="0.3">
      <c r="E4047" s="6"/>
      <c r="F4047" s="1"/>
      <c r="K4047" s="1"/>
    </row>
    <row r="4048" spans="5:11" x14ac:dyDescent="0.3">
      <c r="E4048" s="6"/>
      <c r="F4048" s="1"/>
      <c r="K4048" s="1"/>
    </row>
    <row r="4049" spans="5:11" x14ac:dyDescent="0.3">
      <c r="E4049" s="6"/>
      <c r="F4049" s="1"/>
      <c r="K4049" s="1"/>
    </row>
    <row r="4050" spans="5:11" x14ac:dyDescent="0.3">
      <c r="E4050" s="6"/>
      <c r="F4050" s="1"/>
      <c r="K4050" s="1"/>
    </row>
    <row r="4051" spans="5:11" x14ac:dyDescent="0.3">
      <c r="E4051" s="6"/>
      <c r="F4051" s="1"/>
      <c r="K4051" s="1"/>
    </row>
    <row r="4052" spans="5:11" x14ac:dyDescent="0.3">
      <c r="E4052" s="6"/>
      <c r="F4052" s="1"/>
      <c r="K4052" s="1"/>
    </row>
    <row r="4053" spans="5:11" x14ac:dyDescent="0.3">
      <c r="E4053" s="6"/>
      <c r="F4053" s="1"/>
      <c r="K4053" s="1"/>
    </row>
    <row r="4054" spans="5:11" x14ac:dyDescent="0.3">
      <c r="E4054" s="5"/>
      <c r="F4054" s="1"/>
      <c r="K4054" s="1"/>
    </row>
    <row r="4055" spans="5:11" x14ac:dyDescent="0.3">
      <c r="E4055" s="5"/>
      <c r="F4055" s="1"/>
      <c r="K4055" s="1"/>
    </row>
    <row r="4056" spans="5:11" x14ac:dyDescent="0.3">
      <c r="E4056" s="6"/>
      <c r="F4056" s="1"/>
      <c r="K4056" s="1"/>
    </row>
    <row r="4057" spans="5:11" x14ac:dyDescent="0.3">
      <c r="E4057" s="6"/>
      <c r="F4057" s="1"/>
      <c r="K4057" s="1"/>
    </row>
    <row r="4058" spans="5:11" x14ac:dyDescent="0.3">
      <c r="E4058" s="6"/>
      <c r="F4058" s="1"/>
      <c r="K4058" s="1"/>
    </row>
    <row r="4059" spans="5:11" x14ac:dyDescent="0.3">
      <c r="E4059" s="6"/>
      <c r="F4059" s="1"/>
      <c r="K4059" s="1"/>
    </row>
    <row r="4060" spans="5:11" x14ac:dyDescent="0.3">
      <c r="E4060" s="6"/>
      <c r="F4060" s="1"/>
      <c r="K4060" s="1"/>
    </row>
    <row r="4061" spans="5:11" x14ac:dyDescent="0.3">
      <c r="E4061" s="6"/>
      <c r="F4061" s="1"/>
      <c r="K4061" s="1"/>
    </row>
    <row r="4062" spans="5:11" x14ac:dyDescent="0.3">
      <c r="E4062" s="6"/>
      <c r="F4062" s="1"/>
      <c r="K4062" s="1"/>
    </row>
    <row r="4063" spans="5:11" x14ac:dyDescent="0.3">
      <c r="E4063" s="6"/>
      <c r="F4063" s="1"/>
      <c r="K4063" s="1"/>
    </row>
    <row r="4064" spans="5:11" x14ac:dyDescent="0.3">
      <c r="E4064" s="6"/>
      <c r="F4064" s="1"/>
      <c r="K4064" s="1"/>
    </row>
    <row r="4065" spans="5:11" x14ac:dyDescent="0.3">
      <c r="E4065" s="6"/>
      <c r="F4065" s="1"/>
      <c r="K4065" s="1"/>
    </row>
    <row r="4066" spans="5:11" x14ac:dyDescent="0.3">
      <c r="E4066" s="6"/>
      <c r="F4066" s="1"/>
      <c r="K4066" s="1"/>
    </row>
    <row r="4067" spans="5:11" x14ac:dyDescent="0.3">
      <c r="E4067" s="6"/>
      <c r="F4067" s="1"/>
      <c r="K4067" s="1"/>
    </row>
    <row r="4068" spans="5:11" x14ac:dyDescent="0.3">
      <c r="E4068" s="6"/>
      <c r="F4068" s="1"/>
      <c r="K4068" s="1"/>
    </row>
    <row r="4069" spans="5:11" x14ac:dyDescent="0.3">
      <c r="E4069" s="6"/>
      <c r="F4069" s="1"/>
      <c r="K4069" s="1"/>
    </row>
    <row r="4070" spans="5:11" x14ac:dyDescent="0.3">
      <c r="E4070" s="6"/>
      <c r="F4070" s="1"/>
      <c r="K4070" s="1"/>
    </row>
    <row r="4071" spans="5:11" x14ac:dyDescent="0.3">
      <c r="E4071" s="6"/>
      <c r="F4071" s="1"/>
      <c r="K4071" s="1"/>
    </row>
    <row r="4072" spans="5:11" x14ac:dyDescent="0.3">
      <c r="E4072" s="6"/>
      <c r="F4072" s="1"/>
      <c r="K4072" s="1"/>
    </row>
    <row r="4073" spans="5:11" x14ac:dyDescent="0.3">
      <c r="E4073" s="6"/>
      <c r="F4073" s="1"/>
      <c r="K4073" s="1"/>
    </row>
    <row r="4074" spans="5:11" x14ac:dyDescent="0.3">
      <c r="E4074" s="6"/>
      <c r="F4074" s="1"/>
      <c r="K4074" s="1"/>
    </row>
    <row r="4075" spans="5:11" x14ac:dyDescent="0.3">
      <c r="E4075" s="6"/>
      <c r="F4075" s="1"/>
      <c r="K4075" s="1"/>
    </row>
    <row r="4076" spans="5:11" x14ac:dyDescent="0.3">
      <c r="E4076" s="5"/>
      <c r="F4076" s="1"/>
      <c r="K4076" s="1"/>
    </row>
    <row r="4077" spans="5:11" x14ac:dyDescent="0.3">
      <c r="E4077" s="6"/>
      <c r="F4077" s="1"/>
      <c r="K4077" s="1"/>
    </row>
    <row r="4078" spans="5:11" x14ac:dyDescent="0.3">
      <c r="E4078" s="6"/>
      <c r="F4078" s="1"/>
      <c r="K4078" s="1"/>
    </row>
    <row r="4079" spans="5:11" x14ac:dyDescent="0.3">
      <c r="E4079" s="6"/>
      <c r="F4079" s="1"/>
      <c r="K4079" s="1"/>
    </row>
    <row r="4080" spans="5:11" x14ac:dyDescent="0.3">
      <c r="E4080" s="6"/>
      <c r="F4080" s="1"/>
      <c r="K4080" s="1"/>
    </row>
    <row r="4081" spans="5:11" x14ac:dyDescent="0.3">
      <c r="E4081" s="6"/>
      <c r="F4081" s="1"/>
      <c r="K4081" s="1"/>
    </row>
    <row r="4082" spans="5:11" x14ac:dyDescent="0.3">
      <c r="E4082" s="6"/>
      <c r="F4082" s="1"/>
      <c r="K4082" s="1"/>
    </row>
    <row r="4083" spans="5:11" x14ac:dyDescent="0.3">
      <c r="E4083" s="6"/>
      <c r="F4083" s="1"/>
      <c r="K4083" s="1"/>
    </row>
    <row r="4084" spans="5:11" x14ac:dyDescent="0.3">
      <c r="E4084" s="6"/>
      <c r="F4084" s="1"/>
      <c r="K4084" s="1"/>
    </row>
    <row r="4085" spans="5:11" x14ac:dyDescent="0.3">
      <c r="E4085" s="6"/>
      <c r="F4085" s="1"/>
      <c r="K4085" s="1"/>
    </row>
    <row r="4086" spans="5:11" x14ac:dyDescent="0.3">
      <c r="E4086" s="6"/>
      <c r="F4086" s="1"/>
      <c r="K4086" s="1"/>
    </row>
    <row r="4087" spans="5:11" x14ac:dyDescent="0.3">
      <c r="E4087" s="6"/>
      <c r="F4087" s="1"/>
      <c r="K4087" s="1"/>
    </row>
    <row r="4088" spans="5:11" x14ac:dyDescent="0.3">
      <c r="E4088" s="6"/>
      <c r="F4088" s="1"/>
      <c r="K4088" s="1"/>
    </row>
    <row r="4089" spans="5:11" x14ac:dyDescent="0.3">
      <c r="E4089" s="6"/>
      <c r="F4089" s="1"/>
      <c r="K4089" s="1"/>
    </row>
    <row r="4090" spans="5:11" x14ac:dyDescent="0.3">
      <c r="E4090" s="6"/>
      <c r="F4090" s="1"/>
      <c r="K4090" s="1"/>
    </row>
    <row r="4091" spans="5:11" x14ac:dyDescent="0.3">
      <c r="E4091" s="6"/>
      <c r="F4091" s="1"/>
      <c r="K4091" s="1"/>
    </row>
    <row r="4092" spans="5:11" x14ac:dyDescent="0.3">
      <c r="E4092" s="6"/>
      <c r="F4092" s="1"/>
      <c r="K4092" s="1"/>
    </row>
    <row r="4093" spans="5:11" x14ac:dyDescent="0.3">
      <c r="E4093" s="6"/>
      <c r="F4093" s="1"/>
      <c r="K4093" s="1"/>
    </row>
    <row r="4094" spans="5:11" x14ac:dyDescent="0.3">
      <c r="E4094" s="5"/>
      <c r="F4094" s="1"/>
      <c r="K4094" s="1"/>
    </row>
    <row r="4095" spans="5:11" x14ac:dyDescent="0.3">
      <c r="E4095" s="6"/>
      <c r="F4095" s="1"/>
      <c r="K4095" s="1"/>
    </row>
    <row r="4096" spans="5:11" x14ac:dyDescent="0.3">
      <c r="E4096" s="6"/>
      <c r="F4096" s="1"/>
      <c r="K4096" s="1"/>
    </row>
    <row r="4097" spans="5:11" x14ac:dyDescent="0.3">
      <c r="E4097" s="6"/>
      <c r="F4097" s="1"/>
      <c r="K4097" s="1"/>
    </row>
    <row r="4098" spans="5:11" x14ac:dyDescent="0.3">
      <c r="E4098" s="6"/>
      <c r="F4098" s="1"/>
      <c r="K4098" s="1"/>
    </row>
    <row r="4099" spans="5:11" x14ac:dyDescent="0.3">
      <c r="E4099" s="6"/>
      <c r="F4099" s="1"/>
      <c r="K4099" s="1"/>
    </row>
    <row r="4100" spans="5:11" x14ac:dyDescent="0.3">
      <c r="E4100" s="6"/>
      <c r="F4100" s="1"/>
      <c r="K4100" s="1"/>
    </row>
    <row r="4101" spans="5:11" x14ac:dyDescent="0.3">
      <c r="E4101" s="6"/>
      <c r="F4101" s="1"/>
      <c r="K4101" s="1"/>
    </row>
    <row r="4102" spans="5:11" x14ac:dyDescent="0.3">
      <c r="E4102" s="6"/>
      <c r="F4102" s="1"/>
      <c r="K4102" s="1"/>
    </row>
    <row r="4103" spans="5:11" x14ac:dyDescent="0.3">
      <c r="E4103" s="6"/>
      <c r="F4103" s="1"/>
      <c r="K4103" s="1"/>
    </row>
    <row r="4104" spans="5:11" x14ac:dyDescent="0.3">
      <c r="E4104" s="6"/>
      <c r="F4104" s="1"/>
      <c r="K4104" s="1"/>
    </row>
    <row r="4105" spans="5:11" x14ac:dyDescent="0.3">
      <c r="E4105" s="6"/>
      <c r="F4105" s="1"/>
      <c r="K4105" s="1"/>
    </row>
    <row r="4106" spans="5:11" x14ac:dyDescent="0.3">
      <c r="E4106" s="6"/>
      <c r="F4106" s="1"/>
      <c r="K4106" s="1"/>
    </row>
    <row r="4107" spans="5:11" x14ac:dyDescent="0.3">
      <c r="E4107" s="6"/>
      <c r="F4107" s="1"/>
      <c r="K4107" s="1"/>
    </row>
    <row r="4108" spans="5:11" x14ac:dyDescent="0.3">
      <c r="E4108" s="6"/>
      <c r="F4108" s="1"/>
      <c r="K4108" s="1"/>
    </row>
    <row r="4109" spans="5:11" x14ac:dyDescent="0.3">
      <c r="E4109" s="6"/>
      <c r="F4109" s="1"/>
      <c r="K4109" s="1"/>
    </row>
    <row r="4110" spans="5:11" x14ac:dyDescent="0.3">
      <c r="E4110" s="6"/>
      <c r="F4110" s="1"/>
      <c r="K4110" s="1"/>
    </row>
    <row r="4111" spans="5:11" x14ac:dyDescent="0.3">
      <c r="E4111" s="6"/>
      <c r="F4111" s="1"/>
      <c r="K4111" s="1"/>
    </row>
    <row r="4112" spans="5:11" x14ac:dyDescent="0.3">
      <c r="E4112" s="6"/>
      <c r="F4112" s="1"/>
      <c r="K4112" s="1"/>
    </row>
    <row r="4113" spans="5:11" x14ac:dyDescent="0.3">
      <c r="E4113" s="6"/>
      <c r="F4113" s="1"/>
      <c r="K4113" s="1"/>
    </row>
    <row r="4114" spans="5:11" x14ac:dyDescent="0.3">
      <c r="E4114" s="5"/>
      <c r="F4114" s="1"/>
      <c r="K4114" s="1"/>
    </row>
    <row r="4115" spans="5:11" x14ac:dyDescent="0.3">
      <c r="E4115" s="6"/>
      <c r="F4115" s="1"/>
      <c r="K4115" s="1"/>
    </row>
    <row r="4116" spans="5:11" x14ac:dyDescent="0.3">
      <c r="E4116" s="6"/>
      <c r="F4116" s="1"/>
      <c r="K4116" s="1"/>
    </row>
    <row r="4117" spans="5:11" x14ac:dyDescent="0.3">
      <c r="E4117" s="6"/>
      <c r="F4117" s="1"/>
      <c r="K4117" s="1"/>
    </row>
    <row r="4118" spans="5:11" x14ac:dyDescent="0.3">
      <c r="E4118" s="6"/>
      <c r="F4118" s="1"/>
      <c r="K4118" s="1"/>
    </row>
    <row r="4119" spans="5:11" x14ac:dyDescent="0.3">
      <c r="E4119" s="6"/>
      <c r="F4119" s="1"/>
      <c r="K4119" s="1"/>
    </row>
    <row r="4120" spans="5:11" x14ac:dyDescent="0.3">
      <c r="E4120" s="6"/>
      <c r="F4120" s="1"/>
      <c r="K4120" s="1"/>
    </row>
    <row r="4121" spans="5:11" x14ac:dyDescent="0.3">
      <c r="E4121" s="6"/>
      <c r="F4121" s="1"/>
      <c r="K4121" s="1"/>
    </row>
    <row r="4122" spans="5:11" x14ac:dyDescent="0.3">
      <c r="E4122" s="6"/>
      <c r="F4122" s="1"/>
      <c r="K4122" s="1"/>
    </row>
    <row r="4123" spans="5:11" x14ac:dyDescent="0.3">
      <c r="E4123" s="6"/>
      <c r="F4123" s="1"/>
      <c r="K4123" s="1"/>
    </row>
    <row r="4124" spans="5:11" x14ac:dyDescent="0.3">
      <c r="E4124" s="6"/>
      <c r="F4124" s="1"/>
      <c r="K4124" s="1"/>
    </row>
    <row r="4125" spans="5:11" x14ac:dyDescent="0.3">
      <c r="E4125" s="6"/>
      <c r="F4125" s="1"/>
      <c r="K4125" s="1"/>
    </row>
    <row r="4126" spans="5:11" x14ac:dyDescent="0.3">
      <c r="E4126" s="6"/>
      <c r="F4126" s="1"/>
      <c r="K4126" s="1"/>
    </row>
    <row r="4127" spans="5:11" x14ac:dyDescent="0.3">
      <c r="E4127" s="5"/>
      <c r="F4127" s="1"/>
      <c r="K4127" s="1"/>
    </row>
    <row r="4128" spans="5:11" x14ac:dyDescent="0.3">
      <c r="E4128" s="6"/>
      <c r="F4128" s="1"/>
      <c r="K4128" s="1"/>
    </row>
    <row r="4129" spans="5:11" x14ac:dyDescent="0.3">
      <c r="E4129" s="6"/>
      <c r="F4129" s="1"/>
      <c r="K4129" s="1"/>
    </row>
    <row r="4130" spans="5:11" x14ac:dyDescent="0.3">
      <c r="E4130" s="6"/>
      <c r="F4130" s="1"/>
      <c r="K4130" s="1"/>
    </row>
    <row r="4131" spans="5:11" x14ac:dyDescent="0.3">
      <c r="E4131" s="6"/>
      <c r="F4131" s="1"/>
      <c r="K4131" s="1"/>
    </row>
    <row r="4132" spans="5:11" x14ac:dyDescent="0.3">
      <c r="E4132" s="6"/>
      <c r="F4132" s="1"/>
      <c r="K4132" s="1"/>
    </row>
    <row r="4133" spans="5:11" x14ac:dyDescent="0.3">
      <c r="E4133" s="6"/>
      <c r="F4133" s="1"/>
      <c r="K4133" s="1"/>
    </row>
    <row r="4134" spans="5:11" x14ac:dyDescent="0.3">
      <c r="E4134" s="6"/>
      <c r="F4134" s="1"/>
      <c r="K4134" s="1"/>
    </row>
    <row r="4135" spans="5:11" x14ac:dyDescent="0.3">
      <c r="E4135" s="6"/>
      <c r="F4135" s="1"/>
      <c r="K4135" s="1"/>
    </row>
    <row r="4136" spans="5:11" x14ac:dyDescent="0.3">
      <c r="E4136" s="6"/>
      <c r="F4136" s="1"/>
      <c r="K4136" s="1"/>
    </row>
    <row r="4137" spans="5:11" x14ac:dyDescent="0.3">
      <c r="E4137" s="6"/>
      <c r="F4137" s="1"/>
      <c r="K4137" s="1"/>
    </row>
    <row r="4138" spans="5:11" x14ac:dyDescent="0.3">
      <c r="E4138" s="6"/>
      <c r="F4138" s="1"/>
      <c r="K4138" s="1"/>
    </row>
    <row r="4139" spans="5:11" x14ac:dyDescent="0.3">
      <c r="E4139" s="6"/>
      <c r="F4139" s="1"/>
      <c r="K4139" s="1"/>
    </row>
    <row r="4140" spans="5:11" x14ac:dyDescent="0.3">
      <c r="E4140" s="6"/>
      <c r="F4140" s="1"/>
      <c r="K4140" s="1"/>
    </row>
    <row r="4141" spans="5:11" x14ac:dyDescent="0.3">
      <c r="E4141" s="6"/>
      <c r="F4141" s="1"/>
      <c r="K4141" s="1"/>
    </row>
    <row r="4142" spans="5:11" x14ac:dyDescent="0.3">
      <c r="E4142" s="6"/>
      <c r="F4142" s="1"/>
      <c r="K4142" s="1"/>
    </row>
    <row r="4143" spans="5:11" x14ac:dyDescent="0.3">
      <c r="E4143" s="6"/>
      <c r="F4143" s="1"/>
      <c r="K4143" s="1"/>
    </row>
    <row r="4144" spans="5:11" x14ac:dyDescent="0.3">
      <c r="E4144" s="6"/>
      <c r="F4144" s="1"/>
      <c r="K4144" s="1"/>
    </row>
    <row r="4145" spans="5:11" x14ac:dyDescent="0.3">
      <c r="E4145" s="6"/>
      <c r="F4145" s="1"/>
      <c r="K4145" s="1"/>
    </row>
    <row r="4146" spans="5:11" x14ac:dyDescent="0.3">
      <c r="E4146" s="6"/>
      <c r="F4146" s="1"/>
      <c r="K4146" s="1"/>
    </row>
    <row r="4147" spans="5:11" x14ac:dyDescent="0.3">
      <c r="E4147" s="6"/>
      <c r="F4147" s="1"/>
      <c r="K4147" s="1"/>
    </row>
    <row r="4148" spans="5:11" x14ac:dyDescent="0.3">
      <c r="E4148" s="6"/>
      <c r="F4148" s="1"/>
      <c r="K4148" s="1"/>
    </row>
    <row r="4149" spans="5:11" x14ac:dyDescent="0.3">
      <c r="E4149" s="5"/>
      <c r="F4149" s="1"/>
      <c r="K4149" s="1"/>
    </row>
    <row r="4150" spans="5:11" x14ac:dyDescent="0.3">
      <c r="E4150" s="5"/>
      <c r="F4150" s="1"/>
      <c r="K4150" s="1"/>
    </row>
    <row r="4151" spans="5:11" x14ac:dyDescent="0.3">
      <c r="E4151" s="5"/>
      <c r="F4151" s="1"/>
      <c r="K4151" s="1"/>
    </row>
    <row r="4152" spans="5:11" x14ac:dyDescent="0.3">
      <c r="E4152" s="6"/>
      <c r="F4152" s="1"/>
      <c r="K4152" s="1"/>
    </row>
    <row r="4153" spans="5:11" x14ac:dyDescent="0.3">
      <c r="E4153" s="6"/>
      <c r="F4153" s="1"/>
      <c r="K4153" s="1"/>
    </row>
    <row r="4154" spans="5:11" x14ac:dyDescent="0.3">
      <c r="E4154" s="6"/>
      <c r="F4154" s="1"/>
      <c r="K4154" s="1"/>
    </row>
    <row r="4155" spans="5:11" x14ac:dyDescent="0.3">
      <c r="E4155" s="6"/>
      <c r="F4155" s="1"/>
      <c r="K4155" s="1"/>
    </row>
    <row r="4156" spans="5:11" x14ac:dyDescent="0.3">
      <c r="E4156" s="6"/>
      <c r="F4156" s="1"/>
      <c r="K4156" s="1"/>
    </row>
    <row r="4157" spans="5:11" x14ac:dyDescent="0.3">
      <c r="E4157" s="6"/>
      <c r="F4157" s="1"/>
      <c r="K4157" s="1"/>
    </row>
    <row r="4158" spans="5:11" x14ac:dyDescent="0.3">
      <c r="E4158" s="6"/>
      <c r="F4158" s="1"/>
      <c r="K4158" s="1"/>
    </row>
    <row r="4159" spans="5:11" x14ac:dyDescent="0.3">
      <c r="E4159" s="6"/>
      <c r="F4159" s="1"/>
      <c r="K4159" s="1"/>
    </row>
    <row r="4160" spans="5:11" x14ac:dyDescent="0.3">
      <c r="E4160" s="6"/>
      <c r="F4160" s="1"/>
      <c r="K4160" s="1"/>
    </row>
    <row r="4161" spans="5:11" x14ac:dyDescent="0.3">
      <c r="E4161" s="6"/>
      <c r="F4161" s="1"/>
      <c r="K4161" s="1"/>
    </row>
    <row r="4162" spans="5:11" x14ac:dyDescent="0.3">
      <c r="E4162" s="6"/>
      <c r="F4162" s="1"/>
      <c r="K4162" s="1"/>
    </row>
    <row r="4163" spans="5:11" x14ac:dyDescent="0.3">
      <c r="E4163" s="6"/>
      <c r="F4163" s="1"/>
      <c r="K4163" s="1"/>
    </row>
    <row r="4164" spans="5:11" x14ac:dyDescent="0.3">
      <c r="E4164" s="6"/>
      <c r="F4164" s="1"/>
      <c r="K4164" s="1"/>
    </row>
    <row r="4165" spans="5:11" x14ac:dyDescent="0.3">
      <c r="E4165" s="6"/>
      <c r="F4165" s="1"/>
      <c r="K4165" s="1"/>
    </row>
    <row r="4166" spans="5:11" x14ac:dyDescent="0.3">
      <c r="E4166" s="6"/>
      <c r="F4166" s="1"/>
      <c r="K4166" s="1"/>
    </row>
    <row r="4167" spans="5:11" x14ac:dyDescent="0.3">
      <c r="E4167" s="6"/>
      <c r="F4167" s="1"/>
      <c r="K4167" s="1"/>
    </row>
    <row r="4168" spans="5:11" x14ac:dyDescent="0.3">
      <c r="E4168" s="6"/>
      <c r="F4168" s="1"/>
      <c r="K4168" s="1"/>
    </row>
    <row r="4169" spans="5:11" x14ac:dyDescent="0.3">
      <c r="E4169" s="6"/>
      <c r="F4169" s="1"/>
      <c r="K4169" s="1"/>
    </row>
    <row r="4170" spans="5:11" x14ac:dyDescent="0.3">
      <c r="E4170" s="6"/>
      <c r="F4170" s="1"/>
      <c r="K4170" s="1"/>
    </row>
    <row r="4171" spans="5:11" x14ac:dyDescent="0.3">
      <c r="E4171" s="6"/>
      <c r="F4171" s="1"/>
      <c r="K4171" s="1"/>
    </row>
    <row r="4172" spans="5:11" x14ac:dyDescent="0.3">
      <c r="E4172" s="6"/>
      <c r="F4172" s="1"/>
      <c r="K4172" s="1"/>
    </row>
    <row r="4173" spans="5:11" x14ac:dyDescent="0.3">
      <c r="E4173" s="5"/>
      <c r="F4173" s="1"/>
      <c r="K4173" s="1"/>
    </row>
    <row r="4174" spans="5:11" x14ac:dyDescent="0.3">
      <c r="E4174" s="6"/>
      <c r="F4174" s="1"/>
      <c r="K4174" s="1"/>
    </row>
    <row r="4175" spans="5:11" x14ac:dyDescent="0.3">
      <c r="E4175" s="6"/>
      <c r="F4175" s="1"/>
      <c r="K4175" s="1"/>
    </row>
    <row r="4176" spans="5:11" x14ac:dyDescent="0.3">
      <c r="E4176" s="6"/>
      <c r="F4176" s="1"/>
      <c r="K4176" s="1"/>
    </row>
    <row r="4177" spans="5:11" x14ac:dyDescent="0.3">
      <c r="E4177" s="6"/>
      <c r="F4177" s="1"/>
      <c r="K4177" s="1"/>
    </row>
    <row r="4178" spans="5:11" x14ac:dyDescent="0.3">
      <c r="E4178" s="6"/>
      <c r="F4178" s="1"/>
      <c r="K4178" s="1"/>
    </row>
    <row r="4179" spans="5:11" x14ac:dyDescent="0.3">
      <c r="E4179" s="6"/>
      <c r="F4179" s="1"/>
      <c r="K4179" s="1"/>
    </row>
    <row r="4180" spans="5:11" x14ac:dyDescent="0.3">
      <c r="E4180" s="6"/>
      <c r="F4180" s="1"/>
      <c r="K4180" s="1"/>
    </row>
    <row r="4181" spans="5:11" x14ac:dyDescent="0.3">
      <c r="E4181" s="6"/>
      <c r="F4181" s="1"/>
      <c r="K4181" s="1"/>
    </row>
    <row r="4182" spans="5:11" x14ac:dyDescent="0.3">
      <c r="E4182" s="6"/>
      <c r="F4182" s="1"/>
      <c r="K4182" s="1"/>
    </row>
    <row r="4183" spans="5:11" x14ac:dyDescent="0.3">
      <c r="E4183" s="6"/>
      <c r="F4183" s="1"/>
      <c r="K4183" s="1"/>
    </row>
    <row r="4184" spans="5:11" x14ac:dyDescent="0.3">
      <c r="E4184" s="6"/>
      <c r="F4184" s="1"/>
      <c r="K4184" s="1"/>
    </row>
    <row r="4185" spans="5:11" x14ac:dyDescent="0.3">
      <c r="E4185" s="6"/>
      <c r="F4185" s="1"/>
      <c r="K4185" s="1"/>
    </row>
    <row r="4186" spans="5:11" x14ac:dyDescent="0.3">
      <c r="E4186" s="6"/>
      <c r="F4186" s="1"/>
      <c r="K4186" s="1"/>
    </row>
    <row r="4187" spans="5:11" x14ac:dyDescent="0.3">
      <c r="E4187" s="6"/>
      <c r="F4187" s="1"/>
      <c r="K4187" s="1"/>
    </row>
    <row r="4188" spans="5:11" x14ac:dyDescent="0.3">
      <c r="E4188" s="6"/>
      <c r="F4188" s="1"/>
      <c r="K4188" s="1"/>
    </row>
    <row r="4189" spans="5:11" x14ac:dyDescent="0.3">
      <c r="E4189" s="6"/>
      <c r="F4189" s="1"/>
      <c r="K4189" s="1"/>
    </row>
    <row r="4190" spans="5:11" x14ac:dyDescent="0.3">
      <c r="E4190" s="6"/>
      <c r="F4190" s="1"/>
      <c r="K4190" s="1"/>
    </row>
    <row r="4191" spans="5:11" x14ac:dyDescent="0.3">
      <c r="E4191" s="6"/>
      <c r="F4191" s="1"/>
      <c r="K4191" s="1"/>
    </row>
    <row r="4192" spans="5:11" x14ac:dyDescent="0.3">
      <c r="E4192" s="6"/>
      <c r="F4192" s="1"/>
      <c r="K4192" s="1"/>
    </row>
    <row r="4193" spans="5:11" x14ac:dyDescent="0.3">
      <c r="E4193" s="6"/>
      <c r="F4193" s="1"/>
      <c r="K4193" s="1"/>
    </row>
    <row r="4194" spans="5:11" x14ac:dyDescent="0.3">
      <c r="E4194" s="6"/>
      <c r="F4194" s="1"/>
      <c r="K4194" s="1"/>
    </row>
    <row r="4195" spans="5:11" x14ac:dyDescent="0.3">
      <c r="E4195" s="6"/>
      <c r="F4195" s="1"/>
      <c r="K4195" s="1"/>
    </row>
    <row r="4196" spans="5:11" x14ac:dyDescent="0.3">
      <c r="E4196" s="5"/>
      <c r="F4196" s="1"/>
      <c r="K4196" s="1"/>
    </row>
    <row r="4197" spans="5:11" x14ac:dyDescent="0.3">
      <c r="E4197" s="5"/>
      <c r="F4197" s="1"/>
      <c r="K4197" s="1"/>
    </row>
    <row r="4198" spans="5:11" x14ac:dyDescent="0.3">
      <c r="E4198" s="6"/>
      <c r="F4198" s="1"/>
      <c r="K4198" s="1"/>
    </row>
    <row r="4199" spans="5:11" x14ac:dyDescent="0.3">
      <c r="E4199" s="6"/>
      <c r="F4199" s="1"/>
      <c r="K4199" s="1"/>
    </row>
    <row r="4200" spans="5:11" x14ac:dyDescent="0.3">
      <c r="E4200" s="6"/>
      <c r="F4200" s="1"/>
      <c r="K4200" s="1"/>
    </row>
    <row r="4201" spans="5:11" x14ac:dyDescent="0.3">
      <c r="E4201" s="6"/>
      <c r="F4201" s="1"/>
      <c r="K4201" s="1"/>
    </row>
    <row r="4202" spans="5:11" x14ac:dyDescent="0.3">
      <c r="E4202" s="6"/>
      <c r="F4202" s="1"/>
      <c r="K4202" s="1"/>
    </row>
    <row r="4203" spans="5:11" x14ac:dyDescent="0.3">
      <c r="E4203" s="6"/>
      <c r="F4203" s="1"/>
      <c r="K4203" s="1"/>
    </row>
    <row r="4204" spans="5:11" x14ac:dyDescent="0.3">
      <c r="E4204" s="6"/>
      <c r="F4204" s="1"/>
      <c r="K4204" s="1"/>
    </row>
    <row r="4205" spans="5:11" x14ac:dyDescent="0.3">
      <c r="E4205" s="6"/>
      <c r="F4205" s="1"/>
      <c r="K4205" s="1"/>
    </row>
    <row r="4206" spans="5:11" x14ac:dyDescent="0.3">
      <c r="E4206" s="6"/>
      <c r="F4206" s="1"/>
      <c r="K4206" s="1"/>
    </row>
    <row r="4207" spans="5:11" x14ac:dyDescent="0.3">
      <c r="E4207" s="6"/>
      <c r="F4207" s="1"/>
      <c r="K4207" s="1"/>
    </row>
    <row r="4208" spans="5:11" x14ac:dyDescent="0.3">
      <c r="E4208" s="6"/>
      <c r="F4208" s="1"/>
      <c r="K4208" s="1"/>
    </row>
    <row r="4209" spans="5:11" x14ac:dyDescent="0.3">
      <c r="E4209" s="6"/>
      <c r="F4209" s="1"/>
      <c r="K4209" s="1"/>
    </row>
    <row r="4210" spans="5:11" x14ac:dyDescent="0.3">
      <c r="E4210" s="6"/>
      <c r="F4210" s="1"/>
      <c r="K4210" s="1"/>
    </row>
    <row r="4211" spans="5:11" x14ac:dyDescent="0.3">
      <c r="E4211" s="6"/>
      <c r="F4211" s="1"/>
      <c r="K4211" s="1"/>
    </row>
    <row r="4212" spans="5:11" x14ac:dyDescent="0.3">
      <c r="E4212" s="6"/>
      <c r="F4212" s="1"/>
      <c r="K4212" s="1"/>
    </row>
    <row r="4213" spans="5:11" x14ac:dyDescent="0.3">
      <c r="E4213" s="6"/>
      <c r="F4213" s="1"/>
      <c r="K4213" s="1"/>
    </row>
    <row r="4214" spans="5:11" x14ac:dyDescent="0.3">
      <c r="E4214" s="6"/>
      <c r="F4214" s="1"/>
      <c r="K4214" s="1"/>
    </row>
    <row r="4215" spans="5:11" x14ac:dyDescent="0.3">
      <c r="E4215" s="6"/>
      <c r="F4215" s="1"/>
      <c r="K4215" s="1"/>
    </row>
    <row r="4216" spans="5:11" x14ac:dyDescent="0.3">
      <c r="E4216" s="6"/>
      <c r="F4216" s="1"/>
      <c r="K4216" s="1"/>
    </row>
    <row r="4217" spans="5:11" x14ac:dyDescent="0.3">
      <c r="E4217" s="6"/>
      <c r="F4217" s="1"/>
      <c r="K4217" s="1"/>
    </row>
    <row r="4218" spans="5:11" x14ac:dyDescent="0.3">
      <c r="E4218" s="6"/>
      <c r="F4218" s="1"/>
      <c r="K4218" s="1"/>
    </row>
    <row r="4219" spans="5:11" x14ac:dyDescent="0.3">
      <c r="E4219" s="6"/>
      <c r="F4219" s="1"/>
      <c r="K4219" s="1"/>
    </row>
    <row r="4220" spans="5:11" x14ac:dyDescent="0.3">
      <c r="E4220" s="6"/>
      <c r="F4220" s="1"/>
      <c r="K4220" s="1"/>
    </row>
    <row r="4221" spans="5:11" x14ac:dyDescent="0.3">
      <c r="E4221" s="6"/>
      <c r="F4221" s="1"/>
      <c r="K4221" s="1"/>
    </row>
    <row r="4222" spans="5:11" x14ac:dyDescent="0.3">
      <c r="E4222" s="6"/>
      <c r="F4222" s="1"/>
      <c r="K4222" s="1"/>
    </row>
    <row r="4223" spans="5:11" x14ac:dyDescent="0.3">
      <c r="E4223" s="6"/>
      <c r="F4223" s="1"/>
      <c r="K4223" s="1"/>
    </row>
    <row r="4224" spans="5:11" x14ac:dyDescent="0.3">
      <c r="E4224" s="6"/>
      <c r="F4224" s="1"/>
      <c r="K4224" s="1"/>
    </row>
    <row r="4225" spans="5:11" x14ac:dyDescent="0.3">
      <c r="E4225" s="6"/>
      <c r="F4225" s="1"/>
      <c r="K4225" s="1"/>
    </row>
    <row r="4226" spans="5:11" x14ac:dyDescent="0.3">
      <c r="E4226" s="6"/>
      <c r="F4226" s="1"/>
      <c r="K4226" s="1"/>
    </row>
    <row r="4227" spans="5:11" x14ac:dyDescent="0.3">
      <c r="E4227" s="6"/>
      <c r="F4227" s="1"/>
      <c r="K4227" s="1"/>
    </row>
    <row r="4228" spans="5:11" x14ac:dyDescent="0.3">
      <c r="E4228" s="6"/>
      <c r="F4228" s="1"/>
      <c r="K4228" s="1"/>
    </row>
    <row r="4229" spans="5:11" x14ac:dyDescent="0.3">
      <c r="E4229" s="6"/>
      <c r="F4229" s="1"/>
      <c r="K4229" s="1"/>
    </row>
    <row r="4230" spans="5:11" x14ac:dyDescent="0.3">
      <c r="E4230" s="6"/>
      <c r="F4230" s="1"/>
      <c r="K4230" s="1"/>
    </row>
    <row r="4231" spans="5:11" x14ac:dyDescent="0.3">
      <c r="E4231" s="6"/>
      <c r="F4231" s="1"/>
      <c r="K4231" s="1"/>
    </row>
    <row r="4232" spans="5:11" x14ac:dyDescent="0.3">
      <c r="E4232" s="6"/>
      <c r="F4232" s="1"/>
      <c r="K4232" s="1"/>
    </row>
    <row r="4233" spans="5:11" x14ac:dyDescent="0.3">
      <c r="E4233" s="6"/>
      <c r="F4233" s="1"/>
      <c r="K4233" s="1"/>
    </row>
    <row r="4234" spans="5:11" x14ac:dyDescent="0.3">
      <c r="E4234" s="6"/>
      <c r="F4234" s="1"/>
      <c r="K4234" s="1"/>
    </row>
    <row r="4235" spans="5:11" x14ac:dyDescent="0.3">
      <c r="E4235" s="6"/>
      <c r="F4235" s="1"/>
      <c r="K4235" s="1"/>
    </row>
    <row r="4236" spans="5:11" x14ac:dyDescent="0.3">
      <c r="E4236" s="6"/>
      <c r="F4236" s="1"/>
      <c r="K4236" s="1"/>
    </row>
    <row r="4237" spans="5:11" x14ac:dyDescent="0.3">
      <c r="E4237" s="5"/>
      <c r="F4237" s="1"/>
      <c r="K4237" s="1"/>
    </row>
    <row r="4238" spans="5:11" x14ac:dyDescent="0.3">
      <c r="E4238" s="5"/>
      <c r="F4238" s="1"/>
      <c r="K4238" s="1"/>
    </row>
    <row r="4239" spans="5:11" x14ac:dyDescent="0.3">
      <c r="E4239" s="5"/>
      <c r="F4239" s="1"/>
      <c r="K4239" s="1"/>
    </row>
    <row r="4240" spans="5:11" x14ac:dyDescent="0.3">
      <c r="E4240" s="6"/>
      <c r="F4240" s="1"/>
      <c r="K4240" s="1"/>
    </row>
    <row r="4241" spans="5:11" x14ac:dyDescent="0.3">
      <c r="E4241" s="6"/>
      <c r="F4241" s="1"/>
      <c r="K4241" s="1"/>
    </row>
    <row r="4242" spans="5:11" x14ac:dyDescent="0.3">
      <c r="E4242" s="6"/>
      <c r="F4242" s="1"/>
      <c r="K4242" s="1"/>
    </row>
    <row r="4243" spans="5:11" x14ac:dyDescent="0.3">
      <c r="E4243" s="6"/>
      <c r="F4243" s="1"/>
      <c r="K4243" s="1"/>
    </row>
    <row r="4244" spans="5:11" x14ac:dyDescent="0.3">
      <c r="E4244" s="6"/>
      <c r="F4244" s="1"/>
      <c r="K4244" s="1"/>
    </row>
    <row r="4245" spans="5:11" x14ac:dyDescent="0.3">
      <c r="E4245" s="6"/>
      <c r="F4245" s="1"/>
      <c r="K4245" s="1"/>
    </row>
    <row r="4246" spans="5:11" x14ac:dyDescent="0.3">
      <c r="E4246" s="6"/>
      <c r="F4246" s="1"/>
      <c r="K4246" s="1"/>
    </row>
    <row r="4247" spans="5:11" x14ac:dyDescent="0.3">
      <c r="E4247" s="6"/>
      <c r="F4247" s="1"/>
      <c r="K4247" s="1"/>
    </row>
    <row r="4248" spans="5:11" x14ac:dyDescent="0.3">
      <c r="E4248" s="6"/>
      <c r="F4248" s="1"/>
      <c r="K4248" s="1"/>
    </row>
    <row r="4249" spans="5:11" x14ac:dyDescent="0.3">
      <c r="E4249" s="6"/>
      <c r="F4249" s="1"/>
      <c r="K4249" s="1"/>
    </row>
    <row r="4250" spans="5:11" x14ac:dyDescent="0.3">
      <c r="E4250" s="6"/>
      <c r="F4250" s="1"/>
      <c r="K4250" s="1"/>
    </row>
    <row r="4251" spans="5:11" x14ac:dyDescent="0.3">
      <c r="E4251" s="6"/>
      <c r="F4251" s="1"/>
      <c r="K4251" s="1"/>
    </row>
    <row r="4252" spans="5:11" x14ac:dyDescent="0.3">
      <c r="E4252" s="6"/>
      <c r="F4252" s="1"/>
      <c r="K4252" s="1"/>
    </row>
    <row r="4253" spans="5:11" x14ac:dyDescent="0.3">
      <c r="E4253" s="6"/>
      <c r="F4253" s="1"/>
      <c r="K4253" s="1"/>
    </row>
    <row r="4254" spans="5:11" x14ac:dyDescent="0.3">
      <c r="E4254" s="6"/>
      <c r="F4254" s="1"/>
      <c r="K4254" s="1"/>
    </row>
    <row r="4255" spans="5:11" x14ac:dyDescent="0.3">
      <c r="E4255" s="6"/>
      <c r="F4255" s="1"/>
      <c r="K4255" s="1"/>
    </row>
    <row r="4256" spans="5:11" x14ac:dyDescent="0.3">
      <c r="E4256" s="6"/>
      <c r="F4256" s="1"/>
      <c r="K4256" s="1"/>
    </row>
    <row r="4257" spans="5:11" x14ac:dyDescent="0.3">
      <c r="E4257" s="6"/>
      <c r="F4257" s="1"/>
      <c r="K4257" s="1"/>
    </row>
    <row r="4258" spans="5:11" x14ac:dyDescent="0.3">
      <c r="E4258" s="6"/>
      <c r="F4258" s="1"/>
      <c r="K4258" s="1"/>
    </row>
    <row r="4259" spans="5:11" x14ac:dyDescent="0.3">
      <c r="E4259" s="6"/>
      <c r="F4259" s="1"/>
      <c r="K4259" s="1"/>
    </row>
    <row r="4260" spans="5:11" x14ac:dyDescent="0.3">
      <c r="E4260" s="6"/>
      <c r="F4260" s="1"/>
      <c r="K4260" s="1"/>
    </row>
    <row r="4261" spans="5:11" x14ac:dyDescent="0.3">
      <c r="E4261" s="6"/>
      <c r="F4261" s="1"/>
      <c r="K4261" s="1"/>
    </row>
    <row r="4262" spans="5:11" x14ac:dyDescent="0.3">
      <c r="E4262" s="6"/>
      <c r="F4262" s="1"/>
      <c r="K4262" s="1"/>
    </row>
    <row r="4263" spans="5:11" x14ac:dyDescent="0.3">
      <c r="E4263" s="6"/>
      <c r="F4263" s="1"/>
      <c r="K4263" s="1"/>
    </row>
    <row r="4264" spans="5:11" x14ac:dyDescent="0.3">
      <c r="E4264" s="6"/>
      <c r="F4264" s="1"/>
      <c r="K4264" s="1"/>
    </row>
    <row r="4265" spans="5:11" x14ac:dyDescent="0.3">
      <c r="E4265" s="6"/>
      <c r="F4265" s="1"/>
      <c r="K4265" s="1"/>
    </row>
    <row r="4266" spans="5:11" x14ac:dyDescent="0.3">
      <c r="E4266" s="6"/>
      <c r="F4266" s="1"/>
      <c r="K4266" s="1"/>
    </row>
    <row r="4267" spans="5:11" x14ac:dyDescent="0.3">
      <c r="E4267" s="6"/>
      <c r="F4267" s="1"/>
      <c r="K4267" s="1"/>
    </row>
    <row r="4268" spans="5:11" x14ac:dyDescent="0.3">
      <c r="E4268" s="6"/>
      <c r="F4268" s="1"/>
      <c r="K4268" s="1"/>
    </row>
    <row r="4269" spans="5:11" x14ac:dyDescent="0.3">
      <c r="E4269" s="6"/>
      <c r="F4269" s="1"/>
      <c r="K4269" s="1"/>
    </row>
    <row r="4270" spans="5:11" x14ac:dyDescent="0.3">
      <c r="E4270" s="6"/>
      <c r="F4270" s="1"/>
      <c r="K4270" s="1"/>
    </row>
    <row r="4271" spans="5:11" x14ac:dyDescent="0.3">
      <c r="E4271" s="6"/>
      <c r="F4271" s="1"/>
      <c r="K4271" s="1"/>
    </row>
    <row r="4272" spans="5:11" x14ac:dyDescent="0.3">
      <c r="E4272" s="6"/>
      <c r="F4272" s="1"/>
      <c r="K4272" s="1"/>
    </row>
    <row r="4273" spans="5:11" x14ac:dyDescent="0.3">
      <c r="E4273" s="6"/>
      <c r="F4273" s="1"/>
      <c r="K4273" s="1"/>
    </row>
    <row r="4274" spans="5:11" x14ac:dyDescent="0.3">
      <c r="E4274" s="6"/>
      <c r="F4274" s="1"/>
      <c r="K4274" s="1"/>
    </row>
    <row r="4275" spans="5:11" x14ac:dyDescent="0.3">
      <c r="E4275" s="6"/>
      <c r="F4275" s="1"/>
      <c r="K4275" s="1"/>
    </row>
    <row r="4276" spans="5:11" x14ac:dyDescent="0.3">
      <c r="E4276" s="6"/>
      <c r="F4276" s="1"/>
      <c r="K4276" s="1"/>
    </row>
    <row r="4277" spans="5:11" x14ac:dyDescent="0.3">
      <c r="E4277" s="6"/>
      <c r="F4277" s="1"/>
      <c r="K4277" s="1"/>
    </row>
    <row r="4278" spans="5:11" x14ac:dyDescent="0.3">
      <c r="E4278" s="6"/>
      <c r="F4278" s="1"/>
      <c r="K4278" s="1"/>
    </row>
    <row r="4279" spans="5:11" x14ac:dyDescent="0.3">
      <c r="E4279" s="6"/>
      <c r="F4279" s="1"/>
      <c r="K4279" s="1"/>
    </row>
    <row r="4280" spans="5:11" x14ac:dyDescent="0.3">
      <c r="E4280" s="6"/>
      <c r="F4280" s="1"/>
      <c r="K4280" s="1"/>
    </row>
    <row r="4281" spans="5:11" x14ac:dyDescent="0.3">
      <c r="E4281" s="6"/>
      <c r="F4281" s="1"/>
      <c r="K4281" s="1"/>
    </row>
    <row r="4282" spans="5:11" x14ac:dyDescent="0.3">
      <c r="E4282" s="6"/>
      <c r="F4282" s="1"/>
      <c r="K4282" s="1"/>
    </row>
    <row r="4283" spans="5:11" x14ac:dyDescent="0.3">
      <c r="E4283" s="6"/>
      <c r="F4283" s="1"/>
      <c r="K4283" s="1"/>
    </row>
    <row r="4284" spans="5:11" x14ac:dyDescent="0.3">
      <c r="E4284" s="6"/>
      <c r="F4284" s="1"/>
      <c r="K4284" s="1"/>
    </row>
    <row r="4285" spans="5:11" x14ac:dyDescent="0.3">
      <c r="E4285" s="6"/>
      <c r="F4285" s="1"/>
      <c r="K4285" s="1"/>
    </row>
    <row r="4286" spans="5:11" x14ac:dyDescent="0.3">
      <c r="E4286" s="5"/>
      <c r="F4286" s="1"/>
      <c r="K4286" s="1"/>
    </row>
    <row r="4287" spans="5:11" x14ac:dyDescent="0.3">
      <c r="E4287" s="5"/>
      <c r="F4287" s="1"/>
      <c r="K4287" s="1"/>
    </row>
    <row r="4288" spans="5:11" x14ac:dyDescent="0.3">
      <c r="E4288" s="5"/>
      <c r="F4288" s="1"/>
      <c r="K4288" s="1"/>
    </row>
    <row r="4289" spans="5:11" x14ac:dyDescent="0.3">
      <c r="E4289" s="5"/>
      <c r="F4289" s="1"/>
      <c r="K4289" s="1"/>
    </row>
    <row r="4290" spans="5:11" x14ac:dyDescent="0.3">
      <c r="E4290" s="6"/>
      <c r="F4290" s="1"/>
      <c r="K4290" s="1"/>
    </row>
    <row r="4291" spans="5:11" x14ac:dyDescent="0.3">
      <c r="E4291" s="6"/>
      <c r="F4291" s="1"/>
      <c r="K4291" s="1"/>
    </row>
    <row r="4292" spans="5:11" x14ac:dyDescent="0.3">
      <c r="E4292" s="6"/>
      <c r="F4292" s="1"/>
      <c r="K4292" s="1"/>
    </row>
    <row r="4293" spans="5:11" x14ac:dyDescent="0.3">
      <c r="E4293" s="6"/>
      <c r="F4293" s="1"/>
      <c r="K4293" s="1"/>
    </row>
    <row r="4294" spans="5:11" x14ac:dyDescent="0.3">
      <c r="E4294" s="6"/>
      <c r="F4294" s="1"/>
      <c r="K4294" s="1"/>
    </row>
    <row r="4295" spans="5:11" x14ac:dyDescent="0.3">
      <c r="E4295" s="6"/>
      <c r="F4295" s="1"/>
      <c r="K4295" s="1"/>
    </row>
    <row r="4296" spans="5:11" x14ac:dyDescent="0.3">
      <c r="E4296" s="6"/>
      <c r="F4296" s="1"/>
      <c r="K4296" s="1"/>
    </row>
    <row r="4297" spans="5:11" x14ac:dyDescent="0.3">
      <c r="E4297" s="6"/>
      <c r="F4297" s="1"/>
      <c r="K4297" s="1"/>
    </row>
    <row r="4298" spans="5:11" x14ac:dyDescent="0.3">
      <c r="E4298" s="6"/>
      <c r="F4298" s="1"/>
      <c r="K4298" s="1"/>
    </row>
    <row r="4299" spans="5:11" x14ac:dyDescent="0.3">
      <c r="E4299" s="6"/>
      <c r="F4299" s="1"/>
      <c r="K4299" s="1"/>
    </row>
    <row r="4300" spans="5:11" x14ac:dyDescent="0.3">
      <c r="E4300" s="6"/>
      <c r="F4300" s="1"/>
      <c r="K4300" s="1"/>
    </row>
    <row r="4301" spans="5:11" x14ac:dyDescent="0.3">
      <c r="E4301" s="6"/>
      <c r="F4301" s="1"/>
      <c r="K4301" s="1"/>
    </row>
    <row r="4302" spans="5:11" x14ac:dyDescent="0.3">
      <c r="E4302" s="6"/>
      <c r="F4302" s="1"/>
      <c r="K4302" s="1"/>
    </row>
    <row r="4303" spans="5:11" x14ac:dyDescent="0.3">
      <c r="E4303" s="6"/>
      <c r="F4303" s="1"/>
      <c r="K4303" s="1"/>
    </row>
    <row r="4304" spans="5:11" x14ac:dyDescent="0.3">
      <c r="E4304" s="6"/>
      <c r="F4304" s="1"/>
      <c r="K4304" s="1"/>
    </row>
    <row r="4305" spans="5:11" x14ac:dyDescent="0.3">
      <c r="E4305" s="6"/>
      <c r="F4305" s="1"/>
      <c r="K4305" s="1"/>
    </row>
    <row r="4306" spans="5:11" x14ac:dyDescent="0.3">
      <c r="E4306" s="6"/>
      <c r="F4306" s="1"/>
      <c r="K4306" s="1"/>
    </row>
    <row r="4307" spans="5:11" x14ac:dyDescent="0.3">
      <c r="E4307" s="6"/>
      <c r="F4307" s="1"/>
      <c r="K4307" s="1"/>
    </row>
    <row r="4308" spans="5:11" x14ac:dyDescent="0.3">
      <c r="E4308" s="6"/>
      <c r="F4308" s="1"/>
      <c r="K4308" s="1"/>
    </row>
    <row r="4309" spans="5:11" x14ac:dyDescent="0.3">
      <c r="E4309" s="6"/>
      <c r="F4309" s="1"/>
      <c r="K4309" s="1"/>
    </row>
    <row r="4310" spans="5:11" x14ac:dyDescent="0.3">
      <c r="E4310" s="6"/>
      <c r="F4310" s="1"/>
      <c r="K4310" s="1"/>
    </row>
    <row r="4311" spans="5:11" x14ac:dyDescent="0.3">
      <c r="E4311" s="6"/>
      <c r="F4311" s="1"/>
      <c r="K4311" s="1"/>
    </row>
    <row r="4312" spans="5:11" x14ac:dyDescent="0.3">
      <c r="E4312" s="6"/>
      <c r="F4312" s="1"/>
      <c r="K4312" s="1"/>
    </row>
    <row r="4313" spans="5:11" x14ac:dyDescent="0.3">
      <c r="E4313" s="6"/>
      <c r="F4313" s="1"/>
      <c r="K4313" s="1"/>
    </row>
    <row r="4314" spans="5:11" x14ac:dyDescent="0.3">
      <c r="E4314" s="6"/>
      <c r="F4314" s="1"/>
      <c r="K4314" s="1"/>
    </row>
    <row r="4315" spans="5:11" x14ac:dyDescent="0.3">
      <c r="E4315" s="6"/>
      <c r="F4315" s="1"/>
      <c r="K4315" s="1"/>
    </row>
    <row r="4316" spans="5:11" x14ac:dyDescent="0.3">
      <c r="E4316" s="6"/>
      <c r="F4316" s="1"/>
      <c r="K4316" s="1"/>
    </row>
    <row r="4317" spans="5:11" x14ac:dyDescent="0.3">
      <c r="E4317" s="6"/>
      <c r="F4317" s="1"/>
      <c r="K4317" s="1"/>
    </row>
    <row r="4318" spans="5:11" x14ac:dyDescent="0.3">
      <c r="E4318" s="5"/>
      <c r="F4318" s="1"/>
      <c r="K4318" s="1"/>
    </row>
    <row r="4319" spans="5:11" x14ac:dyDescent="0.3">
      <c r="E4319" s="5"/>
      <c r="F4319" s="1"/>
      <c r="K4319" s="1"/>
    </row>
    <row r="4320" spans="5:11" x14ac:dyDescent="0.3">
      <c r="E4320" s="6"/>
      <c r="F4320" s="1"/>
      <c r="K4320" s="1"/>
    </row>
    <row r="4321" spans="5:11" x14ac:dyDescent="0.3">
      <c r="E4321" s="6"/>
      <c r="F4321" s="1"/>
      <c r="K4321" s="1"/>
    </row>
    <row r="4322" spans="5:11" x14ac:dyDescent="0.3">
      <c r="E4322" s="6"/>
      <c r="F4322" s="1"/>
      <c r="K4322" s="1"/>
    </row>
    <row r="4323" spans="5:11" x14ac:dyDescent="0.3">
      <c r="E4323" s="6"/>
      <c r="F4323" s="1"/>
      <c r="K4323" s="1"/>
    </row>
    <row r="4324" spans="5:11" x14ac:dyDescent="0.3">
      <c r="E4324" s="6"/>
      <c r="F4324" s="1"/>
      <c r="K4324" s="1"/>
    </row>
    <row r="4325" spans="5:11" x14ac:dyDescent="0.3">
      <c r="E4325" s="6"/>
      <c r="F4325" s="1"/>
      <c r="K4325" s="1"/>
    </row>
    <row r="4326" spans="5:11" x14ac:dyDescent="0.3">
      <c r="E4326" s="6"/>
      <c r="F4326" s="1"/>
      <c r="K4326" s="1"/>
    </row>
    <row r="4327" spans="5:11" x14ac:dyDescent="0.3">
      <c r="E4327" s="6"/>
      <c r="F4327" s="1"/>
      <c r="K4327" s="1"/>
    </row>
    <row r="4328" spans="5:11" x14ac:dyDescent="0.3">
      <c r="E4328" s="6"/>
      <c r="F4328" s="1"/>
      <c r="K4328" s="1"/>
    </row>
    <row r="4329" spans="5:11" x14ac:dyDescent="0.3">
      <c r="E4329" s="6"/>
      <c r="F4329" s="1"/>
      <c r="K4329" s="1"/>
    </row>
    <row r="4330" spans="5:11" x14ac:dyDescent="0.3">
      <c r="E4330" s="6"/>
      <c r="F4330" s="1"/>
      <c r="K4330" s="1"/>
    </row>
    <row r="4331" spans="5:11" x14ac:dyDescent="0.3">
      <c r="E4331" s="6"/>
      <c r="F4331" s="1"/>
      <c r="K4331" s="1"/>
    </row>
    <row r="4332" spans="5:11" x14ac:dyDescent="0.3">
      <c r="E4332" s="6"/>
      <c r="F4332" s="1"/>
      <c r="K4332" s="1"/>
    </row>
    <row r="4333" spans="5:11" x14ac:dyDescent="0.3">
      <c r="E4333" s="6"/>
      <c r="F4333" s="1"/>
      <c r="K4333" s="1"/>
    </row>
    <row r="4334" spans="5:11" x14ac:dyDescent="0.3">
      <c r="E4334" s="6"/>
      <c r="F4334" s="1"/>
      <c r="K4334" s="1"/>
    </row>
    <row r="4335" spans="5:11" x14ac:dyDescent="0.3">
      <c r="E4335" s="6"/>
      <c r="F4335" s="1"/>
      <c r="K4335" s="1"/>
    </row>
    <row r="4336" spans="5:11" x14ac:dyDescent="0.3">
      <c r="E4336" s="6"/>
      <c r="F4336" s="1"/>
      <c r="K4336" s="1"/>
    </row>
    <row r="4337" spans="5:11" x14ac:dyDescent="0.3">
      <c r="E4337" s="6"/>
      <c r="F4337" s="1"/>
      <c r="K4337" s="1"/>
    </row>
    <row r="4338" spans="5:11" x14ac:dyDescent="0.3">
      <c r="E4338" s="6"/>
      <c r="F4338" s="1"/>
      <c r="K4338" s="1"/>
    </row>
    <row r="4339" spans="5:11" x14ac:dyDescent="0.3">
      <c r="E4339" s="6"/>
      <c r="F4339" s="1"/>
      <c r="K4339" s="1"/>
    </row>
    <row r="4340" spans="5:11" x14ac:dyDescent="0.3">
      <c r="E4340" s="6"/>
      <c r="F4340" s="1"/>
      <c r="K4340" s="1"/>
    </row>
    <row r="4341" spans="5:11" x14ac:dyDescent="0.3">
      <c r="E4341" s="6"/>
      <c r="F4341" s="1"/>
      <c r="K4341" s="1"/>
    </row>
    <row r="4342" spans="5:11" x14ac:dyDescent="0.3">
      <c r="E4342" s="6"/>
      <c r="F4342" s="1"/>
      <c r="K4342" s="1"/>
    </row>
    <row r="4343" spans="5:11" x14ac:dyDescent="0.3">
      <c r="E4343" s="6"/>
      <c r="F4343" s="1"/>
      <c r="K4343" s="1"/>
    </row>
    <row r="4344" spans="5:11" x14ac:dyDescent="0.3">
      <c r="E4344" s="6"/>
      <c r="F4344" s="1"/>
      <c r="K4344" s="1"/>
    </row>
    <row r="4345" spans="5:11" x14ac:dyDescent="0.3">
      <c r="E4345" s="6"/>
      <c r="F4345" s="1"/>
      <c r="K4345" s="1"/>
    </row>
    <row r="4346" spans="5:11" x14ac:dyDescent="0.3">
      <c r="E4346" s="6"/>
      <c r="F4346" s="1"/>
      <c r="K4346" s="1"/>
    </row>
    <row r="4347" spans="5:11" x14ac:dyDescent="0.3">
      <c r="E4347" s="6"/>
      <c r="F4347" s="1"/>
      <c r="K4347" s="1"/>
    </row>
    <row r="4348" spans="5:11" x14ac:dyDescent="0.3">
      <c r="E4348" s="6"/>
      <c r="F4348" s="1"/>
      <c r="K4348" s="1"/>
    </row>
    <row r="4349" spans="5:11" x14ac:dyDescent="0.3">
      <c r="E4349" s="6"/>
      <c r="F4349" s="1"/>
      <c r="K4349" s="1"/>
    </row>
    <row r="4350" spans="5:11" x14ac:dyDescent="0.3">
      <c r="E4350" s="6"/>
      <c r="F4350" s="1"/>
      <c r="K4350" s="1"/>
    </row>
    <row r="4351" spans="5:11" x14ac:dyDescent="0.3">
      <c r="E4351" s="6"/>
      <c r="F4351" s="1"/>
      <c r="K4351" s="1"/>
    </row>
    <row r="4352" spans="5:11" x14ac:dyDescent="0.3">
      <c r="E4352" s="6"/>
      <c r="F4352" s="1"/>
      <c r="K4352" s="1"/>
    </row>
    <row r="4353" spans="5:11" x14ac:dyDescent="0.3">
      <c r="E4353" s="6"/>
      <c r="F4353" s="1"/>
      <c r="K4353" s="1"/>
    </row>
    <row r="4354" spans="5:11" x14ac:dyDescent="0.3">
      <c r="E4354" s="6"/>
      <c r="F4354" s="1"/>
      <c r="K4354" s="1"/>
    </row>
    <row r="4355" spans="5:11" x14ac:dyDescent="0.3">
      <c r="E4355" s="6"/>
      <c r="F4355" s="1"/>
      <c r="K4355" s="1"/>
    </row>
    <row r="4356" spans="5:11" x14ac:dyDescent="0.3">
      <c r="E4356" s="6"/>
      <c r="F4356" s="1"/>
      <c r="K4356" s="1"/>
    </row>
    <row r="4357" spans="5:11" x14ac:dyDescent="0.3">
      <c r="E4357" s="6"/>
      <c r="F4357" s="1"/>
      <c r="K4357" s="1"/>
    </row>
    <row r="4358" spans="5:11" x14ac:dyDescent="0.3">
      <c r="E4358" s="5"/>
      <c r="F4358" s="1"/>
      <c r="K4358" s="1"/>
    </row>
    <row r="4359" spans="5:11" x14ac:dyDescent="0.3">
      <c r="E4359" s="6"/>
      <c r="F4359" s="1"/>
      <c r="K4359" s="1"/>
    </row>
    <row r="4360" spans="5:11" x14ac:dyDescent="0.3">
      <c r="E4360" s="6"/>
      <c r="F4360" s="1"/>
      <c r="K4360" s="1"/>
    </row>
    <row r="4361" spans="5:11" x14ac:dyDescent="0.3">
      <c r="E4361" s="6"/>
      <c r="F4361" s="1"/>
      <c r="K4361" s="1"/>
    </row>
    <row r="4362" spans="5:11" x14ac:dyDescent="0.3">
      <c r="E4362" s="6"/>
      <c r="F4362" s="1"/>
      <c r="K4362" s="1"/>
    </row>
    <row r="4363" spans="5:11" x14ac:dyDescent="0.3">
      <c r="E4363" s="6"/>
      <c r="F4363" s="1"/>
      <c r="K4363" s="1"/>
    </row>
    <row r="4364" spans="5:11" x14ac:dyDescent="0.3">
      <c r="E4364" s="6"/>
      <c r="F4364" s="1"/>
      <c r="K4364" s="1"/>
    </row>
    <row r="4365" spans="5:11" x14ac:dyDescent="0.3">
      <c r="E4365" s="6"/>
      <c r="F4365" s="1"/>
      <c r="K4365" s="1"/>
    </row>
    <row r="4366" spans="5:11" x14ac:dyDescent="0.3">
      <c r="E4366" s="6"/>
      <c r="F4366" s="1"/>
      <c r="K4366" s="1"/>
    </row>
    <row r="4367" spans="5:11" x14ac:dyDescent="0.3">
      <c r="E4367" s="6"/>
      <c r="F4367" s="1"/>
      <c r="K4367" s="1"/>
    </row>
    <row r="4368" spans="5:11" x14ac:dyDescent="0.3">
      <c r="E4368" s="6"/>
      <c r="F4368" s="1"/>
      <c r="K4368" s="1"/>
    </row>
    <row r="4369" spans="5:11" x14ac:dyDescent="0.3">
      <c r="E4369" s="6"/>
      <c r="F4369" s="1"/>
      <c r="K4369" s="1"/>
    </row>
    <row r="4370" spans="5:11" x14ac:dyDescent="0.3">
      <c r="E4370" s="6"/>
      <c r="F4370" s="1"/>
      <c r="K4370" s="1"/>
    </row>
    <row r="4371" spans="5:11" x14ac:dyDescent="0.3">
      <c r="E4371" s="6"/>
      <c r="F4371" s="1"/>
      <c r="K4371" s="1"/>
    </row>
    <row r="4372" spans="5:11" x14ac:dyDescent="0.3">
      <c r="E4372" s="6"/>
      <c r="F4372" s="1"/>
      <c r="K4372" s="1"/>
    </row>
    <row r="4373" spans="5:11" x14ac:dyDescent="0.3">
      <c r="E4373" s="6"/>
      <c r="F4373" s="1"/>
      <c r="K4373" s="1"/>
    </row>
    <row r="4374" spans="5:11" x14ac:dyDescent="0.3">
      <c r="E4374" s="6"/>
      <c r="F4374" s="1"/>
      <c r="K4374" s="1"/>
    </row>
    <row r="4375" spans="5:11" x14ac:dyDescent="0.3">
      <c r="E4375" s="6"/>
      <c r="F4375" s="1"/>
      <c r="K4375" s="1"/>
    </row>
    <row r="4376" spans="5:11" x14ac:dyDescent="0.3">
      <c r="E4376" s="6"/>
      <c r="F4376" s="1"/>
      <c r="K4376" s="1"/>
    </row>
    <row r="4377" spans="5:11" x14ac:dyDescent="0.3">
      <c r="E4377" s="6"/>
      <c r="F4377" s="1"/>
      <c r="K4377" s="1"/>
    </row>
    <row r="4378" spans="5:11" x14ac:dyDescent="0.3">
      <c r="E4378" s="6"/>
      <c r="F4378" s="1"/>
      <c r="K4378" s="1"/>
    </row>
    <row r="4379" spans="5:11" x14ac:dyDescent="0.3">
      <c r="E4379" s="6"/>
      <c r="F4379" s="1"/>
      <c r="K4379" s="1"/>
    </row>
    <row r="4380" spans="5:11" x14ac:dyDescent="0.3">
      <c r="E4380" s="6"/>
      <c r="F4380" s="1"/>
      <c r="K4380" s="1"/>
    </row>
    <row r="4381" spans="5:11" x14ac:dyDescent="0.3">
      <c r="E4381" s="6"/>
      <c r="F4381" s="1"/>
      <c r="K4381" s="1"/>
    </row>
    <row r="4382" spans="5:11" x14ac:dyDescent="0.3">
      <c r="E4382" s="6"/>
      <c r="F4382" s="1"/>
      <c r="K4382" s="1"/>
    </row>
    <row r="4383" spans="5:11" x14ac:dyDescent="0.3">
      <c r="E4383" s="6"/>
      <c r="F4383" s="1"/>
      <c r="K4383" s="1"/>
    </row>
    <row r="4384" spans="5:11" x14ac:dyDescent="0.3">
      <c r="E4384" s="6"/>
      <c r="F4384" s="1"/>
      <c r="K4384" s="1"/>
    </row>
    <row r="4385" spans="5:11" x14ac:dyDescent="0.3">
      <c r="E4385" s="6"/>
      <c r="F4385" s="1"/>
      <c r="K4385" s="1"/>
    </row>
    <row r="4386" spans="5:11" x14ac:dyDescent="0.3">
      <c r="E4386" s="6"/>
      <c r="F4386" s="1"/>
      <c r="K4386" s="1"/>
    </row>
    <row r="4387" spans="5:11" x14ac:dyDescent="0.3">
      <c r="E4387" s="6"/>
      <c r="F4387" s="1"/>
      <c r="K4387" s="1"/>
    </row>
    <row r="4388" spans="5:11" x14ac:dyDescent="0.3">
      <c r="E4388" s="6"/>
      <c r="F4388" s="1"/>
      <c r="K4388" s="1"/>
    </row>
    <row r="4389" spans="5:11" x14ac:dyDescent="0.3">
      <c r="E4389" s="6"/>
      <c r="F4389" s="1"/>
      <c r="K4389" s="1"/>
    </row>
    <row r="4390" spans="5:11" x14ac:dyDescent="0.3">
      <c r="E4390" s="6"/>
      <c r="F4390" s="1"/>
      <c r="K4390" s="1"/>
    </row>
    <row r="4391" spans="5:11" x14ac:dyDescent="0.3">
      <c r="E4391" s="6"/>
      <c r="F4391" s="1"/>
      <c r="K4391" s="1"/>
    </row>
    <row r="4392" spans="5:11" x14ac:dyDescent="0.3">
      <c r="E4392" s="6"/>
      <c r="F4392" s="1"/>
      <c r="K4392" s="1"/>
    </row>
    <row r="4393" spans="5:11" x14ac:dyDescent="0.3">
      <c r="E4393" s="6"/>
      <c r="F4393" s="1"/>
      <c r="K4393" s="1"/>
    </row>
    <row r="4394" spans="5:11" x14ac:dyDescent="0.3">
      <c r="E4394" s="6"/>
      <c r="F4394" s="1"/>
      <c r="K4394" s="1"/>
    </row>
    <row r="4395" spans="5:11" x14ac:dyDescent="0.3">
      <c r="E4395" s="6"/>
      <c r="F4395" s="1"/>
      <c r="K4395" s="1"/>
    </row>
    <row r="4396" spans="5:11" x14ac:dyDescent="0.3">
      <c r="E4396" s="6"/>
      <c r="F4396" s="1"/>
      <c r="K4396" s="1"/>
    </row>
    <row r="4397" spans="5:11" x14ac:dyDescent="0.3">
      <c r="E4397" s="6"/>
      <c r="F4397" s="1"/>
      <c r="K4397" s="1"/>
    </row>
    <row r="4398" spans="5:11" x14ac:dyDescent="0.3">
      <c r="E4398" s="6"/>
      <c r="F4398" s="1"/>
      <c r="K4398" s="1"/>
    </row>
    <row r="4399" spans="5:11" x14ac:dyDescent="0.3">
      <c r="E4399" s="6"/>
      <c r="F4399" s="1"/>
      <c r="K4399" s="1"/>
    </row>
    <row r="4400" spans="5:11" x14ac:dyDescent="0.3">
      <c r="E4400" s="6"/>
      <c r="F4400" s="1"/>
      <c r="K4400" s="1"/>
    </row>
    <row r="4401" spans="5:11" x14ac:dyDescent="0.3">
      <c r="E4401" s="6"/>
      <c r="F4401" s="1"/>
      <c r="K4401" s="1"/>
    </row>
    <row r="4402" spans="5:11" x14ac:dyDescent="0.3">
      <c r="E4402" s="6"/>
      <c r="F4402" s="1"/>
      <c r="K4402" s="1"/>
    </row>
    <row r="4403" spans="5:11" x14ac:dyDescent="0.3">
      <c r="E4403" s="5"/>
      <c r="F4403" s="1"/>
      <c r="K4403" s="1"/>
    </row>
    <row r="4404" spans="5:11" x14ac:dyDescent="0.3">
      <c r="E4404" s="5"/>
      <c r="F4404" s="1"/>
      <c r="K4404" s="1"/>
    </row>
    <row r="4405" spans="5:11" x14ac:dyDescent="0.3">
      <c r="E4405" s="6"/>
      <c r="F4405" s="1"/>
      <c r="K4405" s="1"/>
    </row>
    <row r="4406" spans="5:11" x14ac:dyDescent="0.3">
      <c r="E4406" s="6"/>
      <c r="F4406" s="1"/>
      <c r="K4406" s="1"/>
    </row>
    <row r="4407" spans="5:11" x14ac:dyDescent="0.3">
      <c r="E4407" s="6"/>
      <c r="F4407" s="1"/>
      <c r="K4407" s="1"/>
    </row>
    <row r="4408" spans="5:11" x14ac:dyDescent="0.3">
      <c r="E4408" s="6"/>
      <c r="F4408" s="1"/>
      <c r="K4408" s="1"/>
    </row>
    <row r="4409" spans="5:11" x14ac:dyDescent="0.3">
      <c r="E4409" s="6"/>
      <c r="F4409" s="1"/>
      <c r="K4409" s="1"/>
    </row>
    <row r="4410" spans="5:11" x14ac:dyDescent="0.3">
      <c r="E4410" s="6"/>
      <c r="F4410" s="1"/>
      <c r="K4410" s="1"/>
    </row>
    <row r="4411" spans="5:11" x14ac:dyDescent="0.3">
      <c r="E4411" s="6"/>
      <c r="F4411" s="1"/>
      <c r="K4411" s="1"/>
    </row>
    <row r="4412" spans="5:11" x14ac:dyDescent="0.3">
      <c r="E4412" s="6"/>
      <c r="F4412" s="1"/>
      <c r="K4412" s="1"/>
    </row>
    <row r="4413" spans="5:11" x14ac:dyDescent="0.3">
      <c r="E4413" s="6"/>
      <c r="F4413" s="1"/>
      <c r="K4413" s="1"/>
    </row>
    <row r="4414" spans="5:11" x14ac:dyDescent="0.3">
      <c r="E4414" s="6"/>
      <c r="F4414" s="1"/>
      <c r="K4414" s="1"/>
    </row>
    <row r="4415" spans="5:11" x14ac:dyDescent="0.3">
      <c r="E4415" s="6"/>
      <c r="F4415" s="1"/>
      <c r="K4415" s="1"/>
    </row>
    <row r="4416" spans="5:11" x14ac:dyDescent="0.3">
      <c r="E4416" s="6"/>
      <c r="F4416" s="1"/>
      <c r="K4416" s="1"/>
    </row>
    <row r="4417" spans="5:11" x14ac:dyDescent="0.3">
      <c r="E4417" s="6"/>
      <c r="F4417" s="1"/>
      <c r="K4417" s="1"/>
    </row>
    <row r="4418" spans="5:11" x14ac:dyDescent="0.3">
      <c r="E4418" s="6"/>
      <c r="F4418" s="1"/>
      <c r="K4418" s="1"/>
    </row>
    <row r="4419" spans="5:11" x14ac:dyDescent="0.3">
      <c r="E4419" s="6"/>
      <c r="F4419" s="1"/>
      <c r="K4419" s="1"/>
    </row>
    <row r="4420" spans="5:11" x14ac:dyDescent="0.3">
      <c r="E4420" s="6"/>
      <c r="F4420" s="1"/>
      <c r="K4420" s="1"/>
    </row>
    <row r="4421" spans="5:11" x14ac:dyDescent="0.3">
      <c r="E4421" s="6"/>
      <c r="F4421" s="1"/>
      <c r="K4421" s="1"/>
    </row>
    <row r="4422" spans="5:11" x14ac:dyDescent="0.3">
      <c r="E4422" s="5"/>
      <c r="F4422" s="1"/>
      <c r="K4422" s="1"/>
    </row>
    <row r="4423" spans="5:11" x14ac:dyDescent="0.3">
      <c r="E4423" s="6"/>
      <c r="F4423" s="1"/>
      <c r="K4423" s="1"/>
    </row>
    <row r="4424" spans="5:11" x14ac:dyDescent="0.3">
      <c r="E4424" s="6"/>
      <c r="F4424" s="1"/>
      <c r="K4424" s="1"/>
    </row>
    <row r="4425" spans="5:11" x14ac:dyDescent="0.3">
      <c r="E4425" s="6"/>
      <c r="F4425" s="1"/>
      <c r="K4425" s="1"/>
    </row>
    <row r="4426" spans="5:11" x14ac:dyDescent="0.3">
      <c r="E4426" s="6"/>
      <c r="F4426" s="1"/>
      <c r="K4426" s="1"/>
    </row>
    <row r="4427" spans="5:11" x14ac:dyDescent="0.3">
      <c r="E4427" s="6"/>
      <c r="F4427" s="1"/>
      <c r="K4427" s="1"/>
    </row>
    <row r="4428" spans="5:11" x14ac:dyDescent="0.3">
      <c r="E4428" s="6"/>
      <c r="F4428" s="1"/>
      <c r="K4428" s="1"/>
    </row>
    <row r="4429" spans="5:11" x14ac:dyDescent="0.3">
      <c r="E4429" s="6"/>
      <c r="F4429" s="1"/>
      <c r="K4429" s="1"/>
    </row>
    <row r="4430" spans="5:11" x14ac:dyDescent="0.3">
      <c r="E4430" s="6"/>
      <c r="F4430" s="1"/>
      <c r="K4430" s="1"/>
    </row>
    <row r="4431" spans="5:11" x14ac:dyDescent="0.3">
      <c r="E4431" s="6"/>
      <c r="F4431" s="1"/>
      <c r="K4431" s="1"/>
    </row>
    <row r="4432" spans="5:11" x14ac:dyDescent="0.3">
      <c r="E4432" s="6"/>
      <c r="F4432" s="1"/>
      <c r="K4432" s="1"/>
    </row>
    <row r="4433" spans="5:11" x14ac:dyDescent="0.3">
      <c r="E4433" s="6"/>
      <c r="F4433" s="1"/>
      <c r="K4433" s="1"/>
    </row>
    <row r="4434" spans="5:11" x14ac:dyDescent="0.3">
      <c r="E4434" s="6"/>
      <c r="F4434" s="1"/>
      <c r="K4434" s="1"/>
    </row>
    <row r="4435" spans="5:11" x14ac:dyDescent="0.3">
      <c r="E4435" s="6"/>
      <c r="F4435" s="1"/>
      <c r="K4435" s="1"/>
    </row>
    <row r="4436" spans="5:11" x14ac:dyDescent="0.3">
      <c r="E4436" s="6"/>
      <c r="F4436" s="1"/>
      <c r="K4436" s="1"/>
    </row>
    <row r="4437" spans="5:11" x14ac:dyDescent="0.3">
      <c r="E4437" s="6"/>
      <c r="F4437" s="1"/>
      <c r="K4437" s="1"/>
    </row>
    <row r="4438" spans="5:11" x14ac:dyDescent="0.3">
      <c r="E4438" s="6"/>
      <c r="F4438" s="1"/>
      <c r="K4438" s="1"/>
    </row>
    <row r="4439" spans="5:11" x14ac:dyDescent="0.3">
      <c r="E4439" s="6"/>
      <c r="F4439" s="1"/>
      <c r="K4439" s="1"/>
    </row>
    <row r="4440" spans="5:11" x14ac:dyDescent="0.3">
      <c r="E4440" s="6"/>
      <c r="F4440" s="1"/>
      <c r="K4440" s="1"/>
    </row>
    <row r="4441" spans="5:11" x14ac:dyDescent="0.3">
      <c r="E4441" s="6"/>
      <c r="F4441" s="1"/>
      <c r="K4441" s="1"/>
    </row>
    <row r="4442" spans="5:11" x14ac:dyDescent="0.3">
      <c r="E4442" s="6"/>
      <c r="F4442" s="1"/>
      <c r="K4442" s="1"/>
    </row>
    <row r="4443" spans="5:11" x14ac:dyDescent="0.3">
      <c r="E4443" s="6"/>
      <c r="F4443" s="1"/>
      <c r="K4443" s="1"/>
    </row>
    <row r="4444" spans="5:11" x14ac:dyDescent="0.3">
      <c r="E4444" s="6"/>
      <c r="F4444" s="1"/>
      <c r="K4444" s="1"/>
    </row>
    <row r="4445" spans="5:11" x14ac:dyDescent="0.3">
      <c r="E4445" s="6"/>
      <c r="F4445" s="1"/>
      <c r="K4445" s="1"/>
    </row>
    <row r="4446" spans="5:11" x14ac:dyDescent="0.3">
      <c r="E4446" s="6"/>
      <c r="F4446" s="1"/>
      <c r="K4446" s="1"/>
    </row>
    <row r="4447" spans="5:11" x14ac:dyDescent="0.3">
      <c r="E4447" s="5"/>
      <c r="F4447" s="1"/>
      <c r="K4447" s="1"/>
    </row>
    <row r="4448" spans="5:11" x14ac:dyDescent="0.3">
      <c r="E4448" s="6"/>
      <c r="F4448" s="1"/>
      <c r="K4448" s="1"/>
    </row>
    <row r="4449" spans="5:11" x14ac:dyDescent="0.3">
      <c r="E4449" s="6"/>
      <c r="F4449" s="1"/>
      <c r="K4449" s="1"/>
    </row>
    <row r="4450" spans="5:11" x14ac:dyDescent="0.3">
      <c r="E4450" s="6"/>
      <c r="F4450" s="1"/>
      <c r="K4450" s="1"/>
    </row>
    <row r="4451" spans="5:11" x14ac:dyDescent="0.3">
      <c r="E4451" s="6"/>
      <c r="F4451" s="1"/>
      <c r="K4451" s="1"/>
    </row>
    <row r="4452" spans="5:11" x14ac:dyDescent="0.3">
      <c r="E4452" s="6"/>
      <c r="F4452" s="1"/>
      <c r="K4452" s="1"/>
    </row>
    <row r="4453" spans="5:11" x14ac:dyDescent="0.3">
      <c r="E4453" s="6"/>
      <c r="F4453" s="1"/>
      <c r="K4453" s="1"/>
    </row>
    <row r="4454" spans="5:11" x14ac:dyDescent="0.3">
      <c r="E4454" s="6"/>
      <c r="F4454" s="1"/>
      <c r="K4454" s="1"/>
    </row>
    <row r="4455" spans="5:11" x14ac:dyDescent="0.3">
      <c r="E4455" s="6"/>
      <c r="F4455" s="1"/>
      <c r="K4455" s="1"/>
    </row>
    <row r="4456" spans="5:11" x14ac:dyDescent="0.3">
      <c r="E4456" s="6"/>
      <c r="F4456" s="1"/>
      <c r="K4456" s="1"/>
    </row>
    <row r="4457" spans="5:11" x14ac:dyDescent="0.3">
      <c r="E4457" s="6"/>
      <c r="F4457" s="1"/>
      <c r="K4457" s="1"/>
    </row>
    <row r="4458" spans="5:11" x14ac:dyDescent="0.3">
      <c r="E4458" s="6"/>
      <c r="F4458" s="1"/>
      <c r="K4458" s="1"/>
    </row>
    <row r="4459" spans="5:11" x14ac:dyDescent="0.3">
      <c r="E4459" s="6"/>
      <c r="F4459" s="1"/>
      <c r="K4459" s="1"/>
    </row>
    <row r="4460" spans="5:11" x14ac:dyDescent="0.3">
      <c r="E4460" s="6"/>
      <c r="F4460" s="1"/>
      <c r="K4460" s="1"/>
    </row>
    <row r="4461" spans="5:11" x14ac:dyDescent="0.3">
      <c r="E4461" s="6"/>
      <c r="F4461" s="1"/>
      <c r="K4461" s="1"/>
    </row>
    <row r="4462" spans="5:11" x14ac:dyDescent="0.3">
      <c r="E4462" s="6"/>
      <c r="F4462" s="1"/>
      <c r="K4462" s="1"/>
    </row>
    <row r="4463" spans="5:11" x14ac:dyDescent="0.3">
      <c r="E4463" s="6"/>
      <c r="F4463" s="1"/>
      <c r="K4463" s="1"/>
    </row>
    <row r="4464" spans="5:11" x14ac:dyDescent="0.3">
      <c r="E4464" s="6"/>
      <c r="F4464" s="1"/>
      <c r="K4464" s="1"/>
    </row>
    <row r="4465" spans="5:11" x14ac:dyDescent="0.3">
      <c r="E4465" s="6"/>
      <c r="F4465" s="1"/>
      <c r="K4465" s="1"/>
    </row>
    <row r="4466" spans="5:11" x14ac:dyDescent="0.3">
      <c r="E4466" s="6"/>
      <c r="F4466" s="1"/>
      <c r="K4466" s="1"/>
    </row>
    <row r="4467" spans="5:11" x14ac:dyDescent="0.3">
      <c r="E4467" s="6"/>
      <c r="F4467" s="1"/>
      <c r="K4467" s="1"/>
    </row>
    <row r="4468" spans="5:11" x14ac:dyDescent="0.3">
      <c r="E4468" s="6"/>
      <c r="F4468" s="1"/>
      <c r="K4468" s="1"/>
    </row>
    <row r="4469" spans="5:11" x14ac:dyDescent="0.3">
      <c r="E4469" s="5"/>
      <c r="F4469" s="1"/>
      <c r="K4469" s="1"/>
    </row>
    <row r="4470" spans="5:11" x14ac:dyDescent="0.3">
      <c r="E4470" s="5"/>
      <c r="F4470" s="1"/>
      <c r="K4470" s="1"/>
    </row>
    <row r="4471" spans="5:11" x14ac:dyDescent="0.3">
      <c r="E4471" s="6"/>
      <c r="F4471" s="1"/>
      <c r="K4471" s="1"/>
    </row>
    <row r="4472" spans="5:11" x14ac:dyDescent="0.3">
      <c r="E4472" s="6"/>
      <c r="F4472" s="1"/>
      <c r="K4472" s="1"/>
    </row>
    <row r="4473" spans="5:11" x14ac:dyDescent="0.3">
      <c r="E4473" s="6"/>
      <c r="F4473" s="1"/>
      <c r="K4473" s="1"/>
    </row>
    <row r="4474" spans="5:11" x14ac:dyDescent="0.3">
      <c r="E4474" s="6"/>
      <c r="F4474" s="1"/>
      <c r="K4474" s="1"/>
    </row>
    <row r="4475" spans="5:11" x14ac:dyDescent="0.3">
      <c r="E4475" s="6"/>
      <c r="F4475" s="1"/>
      <c r="K4475" s="1"/>
    </row>
    <row r="4476" spans="5:11" x14ac:dyDescent="0.3">
      <c r="E4476" s="6"/>
      <c r="F4476" s="1"/>
      <c r="K4476" s="1"/>
    </row>
    <row r="4477" spans="5:11" x14ac:dyDescent="0.3">
      <c r="E4477" s="6"/>
      <c r="F4477" s="1"/>
      <c r="K4477" s="1"/>
    </row>
    <row r="4478" spans="5:11" x14ac:dyDescent="0.3">
      <c r="E4478" s="6"/>
      <c r="F4478" s="1"/>
      <c r="K4478" s="1"/>
    </row>
    <row r="4479" spans="5:11" x14ac:dyDescent="0.3">
      <c r="E4479" s="5"/>
      <c r="F4479" s="1"/>
      <c r="K4479" s="1"/>
    </row>
    <row r="4480" spans="5:11" x14ac:dyDescent="0.3">
      <c r="E4480" s="5"/>
      <c r="F4480" s="1"/>
      <c r="K4480" s="1"/>
    </row>
    <row r="4481" spans="5:11" x14ac:dyDescent="0.3">
      <c r="E4481" s="6"/>
      <c r="F4481" s="1"/>
      <c r="K4481" s="1"/>
    </row>
    <row r="4482" spans="5:11" x14ac:dyDescent="0.3">
      <c r="E4482" s="6"/>
      <c r="F4482" s="1"/>
      <c r="K4482" s="1"/>
    </row>
    <row r="4483" spans="5:11" x14ac:dyDescent="0.3">
      <c r="E4483" s="6"/>
      <c r="F4483" s="1"/>
      <c r="K4483" s="1"/>
    </row>
    <row r="4484" spans="5:11" x14ac:dyDescent="0.3">
      <c r="E4484" s="6"/>
      <c r="F4484" s="1"/>
      <c r="K4484" s="1"/>
    </row>
    <row r="4485" spans="5:11" x14ac:dyDescent="0.3">
      <c r="E4485" s="6"/>
      <c r="F4485" s="1"/>
      <c r="K4485" s="1"/>
    </row>
    <row r="4486" spans="5:11" x14ac:dyDescent="0.3">
      <c r="E4486" s="6"/>
      <c r="F4486" s="1"/>
      <c r="K4486" s="1"/>
    </row>
    <row r="4487" spans="5:11" x14ac:dyDescent="0.3">
      <c r="E4487" s="6"/>
      <c r="F4487" s="1"/>
      <c r="K4487" s="1"/>
    </row>
    <row r="4488" spans="5:11" x14ac:dyDescent="0.3">
      <c r="E4488" s="6"/>
      <c r="F4488" s="1"/>
      <c r="K4488" s="1"/>
    </row>
    <row r="4489" spans="5:11" x14ac:dyDescent="0.3">
      <c r="E4489" s="6"/>
      <c r="F4489" s="1"/>
      <c r="K4489" s="1"/>
    </row>
    <row r="4490" spans="5:11" x14ac:dyDescent="0.3">
      <c r="E4490" s="5"/>
      <c r="F4490" s="1"/>
      <c r="K4490" s="1"/>
    </row>
    <row r="4491" spans="5:11" x14ac:dyDescent="0.3">
      <c r="E4491" s="6"/>
      <c r="F4491" s="1"/>
      <c r="K4491" s="1"/>
    </row>
    <row r="4492" spans="5:11" x14ac:dyDescent="0.3">
      <c r="E4492" s="6"/>
      <c r="F4492" s="1"/>
      <c r="K4492" s="1"/>
    </row>
    <row r="4493" spans="5:11" x14ac:dyDescent="0.3">
      <c r="E4493" s="6"/>
      <c r="F4493" s="1"/>
      <c r="K4493" s="1"/>
    </row>
    <row r="4494" spans="5:11" x14ac:dyDescent="0.3">
      <c r="E4494" s="6"/>
      <c r="F4494" s="1"/>
      <c r="K4494" s="1"/>
    </row>
    <row r="4495" spans="5:11" x14ac:dyDescent="0.3">
      <c r="E4495" s="6"/>
      <c r="F4495" s="1"/>
      <c r="K4495" s="1"/>
    </row>
    <row r="4496" spans="5:11" x14ac:dyDescent="0.3">
      <c r="E4496" s="6"/>
      <c r="F4496" s="1"/>
      <c r="K4496" s="1"/>
    </row>
    <row r="4497" spans="5:11" x14ac:dyDescent="0.3">
      <c r="E4497" s="6"/>
      <c r="F4497" s="1"/>
      <c r="K4497" s="1"/>
    </row>
    <row r="4498" spans="5:11" x14ac:dyDescent="0.3">
      <c r="E4498" s="6"/>
      <c r="F4498" s="1"/>
      <c r="K4498" s="1"/>
    </row>
    <row r="4499" spans="5:11" x14ac:dyDescent="0.3">
      <c r="E4499" s="6"/>
      <c r="F4499" s="1"/>
      <c r="K4499" s="1"/>
    </row>
    <row r="4500" spans="5:11" x14ac:dyDescent="0.3">
      <c r="E4500" s="6"/>
      <c r="F4500" s="1"/>
      <c r="K4500" s="1"/>
    </row>
    <row r="4501" spans="5:11" x14ac:dyDescent="0.3">
      <c r="E4501" s="6"/>
      <c r="F4501" s="1"/>
      <c r="K4501" s="1"/>
    </row>
    <row r="4502" spans="5:11" x14ac:dyDescent="0.3">
      <c r="E4502" s="6"/>
      <c r="F4502" s="1"/>
      <c r="K4502" s="1"/>
    </row>
    <row r="4503" spans="5:11" x14ac:dyDescent="0.3">
      <c r="E4503" s="6"/>
      <c r="F4503" s="1"/>
      <c r="K4503" s="1"/>
    </row>
    <row r="4504" spans="5:11" x14ac:dyDescent="0.3">
      <c r="E4504" s="6"/>
      <c r="F4504" s="1"/>
      <c r="K4504" s="1"/>
    </row>
    <row r="4505" spans="5:11" x14ac:dyDescent="0.3">
      <c r="E4505" s="6"/>
      <c r="F4505" s="1"/>
      <c r="K4505" s="1"/>
    </row>
    <row r="4506" spans="5:11" x14ac:dyDescent="0.3">
      <c r="E4506" s="6"/>
      <c r="F4506" s="1"/>
      <c r="K4506" s="1"/>
    </row>
    <row r="4507" spans="5:11" x14ac:dyDescent="0.3">
      <c r="E4507" s="6"/>
      <c r="F4507" s="1"/>
      <c r="K4507" s="1"/>
    </row>
    <row r="4508" spans="5:11" x14ac:dyDescent="0.3">
      <c r="E4508" s="6"/>
      <c r="F4508" s="1"/>
      <c r="K4508" s="1"/>
    </row>
    <row r="4509" spans="5:11" x14ac:dyDescent="0.3">
      <c r="E4509" s="6"/>
      <c r="F4509" s="1"/>
      <c r="K4509" s="1"/>
    </row>
    <row r="4510" spans="5:11" x14ac:dyDescent="0.3">
      <c r="E4510" s="6"/>
      <c r="F4510" s="1"/>
      <c r="K4510" s="1"/>
    </row>
    <row r="4511" spans="5:11" x14ac:dyDescent="0.3">
      <c r="E4511" s="5"/>
      <c r="F4511" s="1"/>
      <c r="K4511" s="1"/>
    </row>
    <row r="4512" spans="5:11" x14ac:dyDescent="0.3">
      <c r="E4512" s="6"/>
      <c r="F4512" s="1"/>
      <c r="K4512" s="1"/>
    </row>
    <row r="4513" spans="5:11" x14ac:dyDescent="0.3">
      <c r="E4513" s="6"/>
      <c r="F4513" s="1"/>
      <c r="K4513" s="1"/>
    </row>
    <row r="4514" spans="5:11" x14ac:dyDescent="0.3">
      <c r="E4514" s="6"/>
      <c r="F4514" s="1"/>
      <c r="K4514" s="1"/>
    </row>
    <row r="4515" spans="5:11" x14ac:dyDescent="0.3">
      <c r="E4515" s="6"/>
      <c r="F4515" s="1"/>
      <c r="K4515" s="1"/>
    </row>
    <row r="4516" spans="5:11" x14ac:dyDescent="0.3">
      <c r="E4516" s="6"/>
      <c r="F4516" s="1"/>
      <c r="K4516" s="1"/>
    </row>
    <row r="4517" spans="5:11" x14ac:dyDescent="0.3">
      <c r="E4517" s="6"/>
      <c r="F4517" s="1"/>
      <c r="K4517" s="1"/>
    </row>
    <row r="4518" spans="5:11" x14ac:dyDescent="0.3">
      <c r="E4518" s="6"/>
      <c r="F4518" s="1"/>
      <c r="K4518" s="1"/>
    </row>
    <row r="4519" spans="5:11" x14ac:dyDescent="0.3">
      <c r="E4519" s="5"/>
      <c r="F4519" s="1"/>
      <c r="K4519" s="1"/>
    </row>
    <row r="4520" spans="5:11" x14ac:dyDescent="0.3">
      <c r="E4520" s="6"/>
      <c r="F4520" s="1"/>
      <c r="K4520" s="1"/>
    </row>
    <row r="4521" spans="5:11" x14ac:dyDescent="0.3">
      <c r="E4521" s="6"/>
      <c r="F4521" s="1"/>
      <c r="K4521" s="1"/>
    </row>
    <row r="4522" spans="5:11" x14ac:dyDescent="0.3">
      <c r="E4522" s="6"/>
      <c r="F4522" s="1"/>
      <c r="K4522" s="1"/>
    </row>
    <row r="4523" spans="5:11" x14ac:dyDescent="0.3">
      <c r="E4523" s="6"/>
      <c r="F4523" s="1"/>
      <c r="K4523" s="1"/>
    </row>
    <row r="4524" spans="5:11" x14ac:dyDescent="0.3">
      <c r="E4524" s="6"/>
      <c r="F4524" s="1"/>
      <c r="K4524" s="1"/>
    </row>
    <row r="4525" spans="5:11" x14ac:dyDescent="0.3">
      <c r="E4525" s="6"/>
      <c r="F4525" s="1"/>
      <c r="K4525" s="1"/>
    </row>
    <row r="4526" spans="5:11" x14ac:dyDescent="0.3">
      <c r="E4526" s="6"/>
      <c r="F4526" s="1"/>
      <c r="K4526" s="1"/>
    </row>
    <row r="4527" spans="5:11" x14ac:dyDescent="0.3">
      <c r="E4527" s="6"/>
      <c r="F4527" s="1"/>
      <c r="K4527" s="1"/>
    </row>
    <row r="4528" spans="5:11" x14ac:dyDescent="0.3">
      <c r="E4528" s="6"/>
      <c r="F4528" s="1"/>
      <c r="K4528" s="1"/>
    </row>
    <row r="4529" spans="5:11" x14ac:dyDescent="0.3">
      <c r="E4529" s="6"/>
      <c r="F4529" s="1"/>
      <c r="K4529" s="1"/>
    </row>
    <row r="4530" spans="5:11" x14ac:dyDescent="0.3">
      <c r="E4530" s="6"/>
      <c r="F4530" s="1"/>
      <c r="K4530" s="1"/>
    </row>
    <row r="4531" spans="5:11" x14ac:dyDescent="0.3">
      <c r="E4531" s="6"/>
      <c r="F4531" s="1"/>
      <c r="K4531" s="1"/>
    </row>
    <row r="4532" spans="5:11" x14ac:dyDescent="0.3">
      <c r="E4532" s="6"/>
      <c r="F4532" s="1"/>
      <c r="K4532" s="1"/>
    </row>
    <row r="4533" spans="5:11" x14ac:dyDescent="0.3">
      <c r="E4533" s="6"/>
      <c r="F4533" s="1"/>
      <c r="K4533" s="1"/>
    </row>
    <row r="4534" spans="5:11" x14ac:dyDescent="0.3">
      <c r="E4534" s="6"/>
      <c r="F4534" s="1"/>
      <c r="K4534" s="1"/>
    </row>
    <row r="4535" spans="5:11" x14ac:dyDescent="0.3">
      <c r="E4535" s="6"/>
      <c r="F4535" s="1"/>
      <c r="K4535" s="1"/>
    </row>
    <row r="4536" spans="5:11" x14ac:dyDescent="0.3">
      <c r="E4536" s="6"/>
      <c r="F4536" s="1"/>
      <c r="K4536" s="1"/>
    </row>
    <row r="4537" spans="5:11" x14ac:dyDescent="0.3">
      <c r="E4537" s="6"/>
      <c r="F4537" s="1"/>
      <c r="K4537" s="1"/>
    </row>
    <row r="4538" spans="5:11" x14ac:dyDescent="0.3">
      <c r="E4538" s="6"/>
      <c r="F4538" s="1"/>
      <c r="K4538" s="1"/>
    </row>
    <row r="4539" spans="5:11" x14ac:dyDescent="0.3">
      <c r="E4539" s="6"/>
      <c r="F4539" s="1"/>
      <c r="K4539" s="1"/>
    </row>
    <row r="4540" spans="5:11" x14ac:dyDescent="0.3">
      <c r="E4540" s="6"/>
      <c r="F4540" s="1"/>
      <c r="K4540" s="1"/>
    </row>
    <row r="4541" spans="5:11" x14ac:dyDescent="0.3">
      <c r="E4541" s="6"/>
      <c r="F4541" s="1"/>
      <c r="K4541" s="1"/>
    </row>
    <row r="4542" spans="5:11" x14ac:dyDescent="0.3">
      <c r="E4542" s="6"/>
      <c r="F4542" s="1"/>
      <c r="K4542" s="1"/>
    </row>
    <row r="4543" spans="5:11" x14ac:dyDescent="0.3">
      <c r="E4543" s="6"/>
      <c r="F4543" s="1"/>
      <c r="K4543" s="1"/>
    </row>
    <row r="4544" spans="5:11" x14ac:dyDescent="0.3">
      <c r="E4544" s="6"/>
      <c r="F4544" s="1"/>
      <c r="K4544" s="1"/>
    </row>
    <row r="4545" spans="5:11" x14ac:dyDescent="0.3">
      <c r="E4545" s="6"/>
      <c r="F4545" s="1"/>
      <c r="K4545" s="1"/>
    </row>
    <row r="4546" spans="5:11" x14ac:dyDescent="0.3">
      <c r="E4546" s="6"/>
      <c r="F4546" s="1"/>
      <c r="K4546" s="1"/>
    </row>
    <row r="4547" spans="5:11" x14ac:dyDescent="0.3">
      <c r="E4547" s="6"/>
      <c r="F4547" s="1"/>
      <c r="K4547" s="1"/>
    </row>
    <row r="4548" spans="5:11" x14ac:dyDescent="0.3">
      <c r="E4548" s="5"/>
      <c r="F4548" s="1"/>
      <c r="K4548" s="1"/>
    </row>
    <row r="4549" spans="5:11" x14ac:dyDescent="0.3">
      <c r="E4549" s="5"/>
      <c r="F4549" s="1"/>
      <c r="K4549" s="1"/>
    </row>
    <row r="4550" spans="5:11" x14ac:dyDescent="0.3">
      <c r="E4550" s="6"/>
      <c r="F4550" s="1"/>
      <c r="K4550" s="1"/>
    </row>
    <row r="4551" spans="5:11" x14ac:dyDescent="0.3">
      <c r="E4551" s="6"/>
      <c r="F4551" s="1"/>
      <c r="K4551" s="1"/>
    </row>
    <row r="4552" spans="5:11" x14ac:dyDescent="0.3">
      <c r="E4552" s="6"/>
      <c r="F4552" s="1"/>
      <c r="K4552" s="1"/>
    </row>
    <row r="4553" spans="5:11" x14ac:dyDescent="0.3">
      <c r="E4553" s="6"/>
      <c r="F4553" s="1"/>
      <c r="K4553" s="1"/>
    </row>
    <row r="4554" spans="5:11" x14ac:dyDescent="0.3">
      <c r="E4554" s="6"/>
      <c r="F4554" s="1"/>
      <c r="K4554" s="1"/>
    </row>
    <row r="4555" spans="5:11" x14ac:dyDescent="0.3">
      <c r="E4555" s="6"/>
      <c r="F4555" s="1"/>
      <c r="K4555" s="1"/>
    </row>
    <row r="4556" spans="5:11" x14ac:dyDescent="0.3">
      <c r="E4556" s="6"/>
      <c r="F4556" s="1"/>
      <c r="K4556" s="1"/>
    </row>
    <row r="4557" spans="5:11" x14ac:dyDescent="0.3">
      <c r="E4557" s="6"/>
      <c r="F4557" s="1"/>
      <c r="K4557" s="1"/>
    </row>
    <row r="4558" spans="5:11" x14ac:dyDescent="0.3">
      <c r="E4558" s="6"/>
      <c r="F4558" s="1"/>
      <c r="K4558" s="1"/>
    </row>
    <row r="4559" spans="5:11" x14ac:dyDescent="0.3">
      <c r="E4559" s="6"/>
      <c r="F4559" s="1"/>
      <c r="K4559" s="1"/>
    </row>
    <row r="4560" spans="5:11" x14ac:dyDescent="0.3">
      <c r="E4560" s="6"/>
      <c r="F4560" s="1"/>
      <c r="K4560" s="1"/>
    </row>
    <row r="4561" spans="5:11" x14ac:dyDescent="0.3">
      <c r="E4561" s="6"/>
      <c r="F4561" s="1"/>
      <c r="K4561" s="1"/>
    </row>
    <row r="4562" spans="5:11" x14ac:dyDescent="0.3">
      <c r="E4562" s="6"/>
      <c r="F4562" s="1"/>
      <c r="K4562" s="1"/>
    </row>
    <row r="4563" spans="5:11" x14ac:dyDescent="0.3">
      <c r="E4563" s="6"/>
      <c r="F4563" s="1"/>
      <c r="K4563" s="1"/>
    </row>
    <row r="4564" spans="5:11" x14ac:dyDescent="0.3">
      <c r="E4564" s="6"/>
      <c r="F4564" s="1"/>
      <c r="K4564" s="1"/>
    </row>
    <row r="4565" spans="5:11" x14ac:dyDescent="0.3">
      <c r="E4565" s="6"/>
      <c r="F4565" s="1"/>
      <c r="K4565" s="1"/>
    </row>
    <row r="4566" spans="5:11" x14ac:dyDescent="0.3">
      <c r="E4566" s="6"/>
      <c r="F4566" s="1"/>
      <c r="K4566" s="1"/>
    </row>
    <row r="4567" spans="5:11" x14ac:dyDescent="0.3">
      <c r="E4567" s="6"/>
      <c r="F4567" s="1"/>
      <c r="K4567" s="1"/>
    </row>
    <row r="4568" spans="5:11" x14ac:dyDescent="0.3">
      <c r="E4568" s="6"/>
      <c r="F4568" s="1"/>
      <c r="K4568" s="1"/>
    </row>
    <row r="4569" spans="5:11" x14ac:dyDescent="0.3">
      <c r="E4569" s="6"/>
      <c r="F4569" s="1"/>
      <c r="K4569" s="1"/>
    </row>
    <row r="4570" spans="5:11" x14ac:dyDescent="0.3">
      <c r="E4570" s="6"/>
      <c r="F4570" s="1"/>
      <c r="K4570" s="1"/>
    </row>
    <row r="4571" spans="5:11" x14ac:dyDescent="0.3">
      <c r="E4571" s="6"/>
      <c r="F4571" s="1"/>
      <c r="K4571" s="1"/>
    </row>
    <row r="4572" spans="5:11" x14ac:dyDescent="0.3">
      <c r="E4572" s="5"/>
      <c r="F4572" s="1"/>
      <c r="K4572" s="1"/>
    </row>
    <row r="4573" spans="5:11" x14ac:dyDescent="0.3">
      <c r="E4573" s="5"/>
      <c r="F4573" s="1"/>
      <c r="K4573" s="1"/>
    </row>
    <row r="4574" spans="5:11" x14ac:dyDescent="0.3">
      <c r="E4574" s="5"/>
      <c r="F4574" s="1"/>
      <c r="K4574" s="1"/>
    </row>
    <row r="4575" spans="5:11" x14ac:dyDescent="0.3">
      <c r="E4575" s="5"/>
      <c r="F4575" s="1"/>
      <c r="K4575" s="1"/>
    </row>
    <row r="4576" spans="5:11" x14ac:dyDescent="0.3">
      <c r="E4576" s="5"/>
      <c r="F4576" s="1"/>
      <c r="K4576" s="1"/>
    </row>
    <row r="4577" spans="5:11" x14ac:dyDescent="0.3">
      <c r="E4577" s="6"/>
      <c r="F4577" s="1"/>
      <c r="K4577" s="1"/>
    </row>
    <row r="4578" spans="5:11" x14ac:dyDescent="0.3">
      <c r="E4578" s="6"/>
      <c r="F4578" s="1"/>
      <c r="K4578" s="1"/>
    </row>
    <row r="4579" spans="5:11" x14ac:dyDescent="0.3">
      <c r="E4579" s="6"/>
      <c r="F4579" s="1"/>
      <c r="K4579" s="1"/>
    </row>
    <row r="4580" spans="5:11" x14ac:dyDescent="0.3">
      <c r="E4580" s="6"/>
      <c r="F4580" s="1"/>
      <c r="K4580" s="1"/>
    </row>
    <row r="4581" spans="5:11" x14ac:dyDescent="0.3">
      <c r="E4581" s="6"/>
      <c r="F4581" s="1"/>
      <c r="K4581" s="1"/>
    </row>
    <row r="4582" spans="5:11" x14ac:dyDescent="0.3">
      <c r="E4582" s="6"/>
      <c r="F4582" s="1"/>
      <c r="K4582" s="1"/>
    </row>
    <row r="4583" spans="5:11" x14ac:dyDescent="0.3">
      <c r="E4583" s="6"/>
      <c r="F4583" s="1"/>
      <c r="K4583" s="1"/>
    </row>
    <row r="4584" spans="5:11" x14ac:dyDescent="0.3">
      <c r="E4584" s="6"/>
      <c r="F4584" s="1"/>
      <c r="K4584" s="1"/>
    </row>
    <row r="4585" spans="5:11" x14ac:dyDescent="0.3">
      <c r="E4585" s="6"/>
      <c r="F4585" s="1"/>
      <c r="K4585" s="1"/>
    </row>
    <row r="4586" spans="5:11" x14ac:dyDescent="0.3">
      <c r="E4586" s="6"/>
      <c r="F4586" s="1"/>
      <c r="K4586" s="1"/>
    </row>
    <row r="4587" spans="5:11" x14ac:dyDescent="0.3">
      <c r="E4587" s="6"/>
      <c r="F4587" s="1"/>
      <c r="K4587" s="1"/>
    </row>
    <row r="4588" spans="5:11" x14ac:dyDescent="0.3">
      <c r="E4588" s="6"/>
      <c r="F4588" s="1"/>
      <c r="K4588" s="1"/>
    </row>
    <row r="4589" spans="5:11" x14ac:dyDescent="0.3">
      <c r="E4589" s="6"/>
      <c r="F4589" s="1"/>
      <c r="K4589" s="1"/>
    </row>
    <row r="4590" spans="5:11" x14ac:dyDescent="0.3">
      <c r="E4590" s="6"/>
      <c r="F4590" s="1"/>
      <c r="K4590" s="1"/>
    </row>
    <row r="4591" spans="5:11" x14ac:dyDescent="0.3">
      <c r="E4591" s="6"/>
      <c r="F4591" s="1"/>
      <c r="K4591" s="1"/>
    </row>
    <row r="4592" spans="5:11" x14ac:dyDescent="0.3">
      <c r="E4592" s="6"/>
      <c r="F4592" s="1"/>
      <c r="K4592" s="1"/>
    </row>
    <row r="4593" spans="5:11" x14ac:dyDescent="0.3">
      <c r="E4593" s="6"/>
      <c r="F4593" s="1"/>
      <c r="K4593" s="1"/>
    </row>
    <row r="4594" spans="5:11" x14ac:dyDescent="0.3">
      <c r="E4594" s="6"/>
      <c r="F4594" s="1"/>
      <c r="K4594" s="1"/>
    </row>
    <row r="4595" spans="5:11" x14ac:dyDescent="0.3">
      <c r="E4595" s="5"/>
      <c r="F4595" s="1"/>
      <c r="K4595" s="1"/>
    </row>
    <row r="4596" spans="5:11" x14ac:dyDescent="0.3">
      <c r="E4596" s="6"/>
      <c r="F4596" s="1"/>
      <c r="K4596" s="1"/>
    </row>
    <row r="4597" spans="5:11" x14ac:dyDescent="0.3">
      <c r="E4597" s="6"/>
      <c r="F4597" s="1"/>
      <c r="K4597" s="1"/>
    </row>
    <row r="4598" spans="5:11" x14ac:dyDescent="0.3">
      <c r="E4598" s="6"/>
      <c r="F4598" s="1"/>
      <c r="K4598" s="1"/>
    </row>
    <row r="4599" spans="5:11" x14ac:dyDescent="0.3">
      <c r="E4599" s="6"/>
      <c r="F4599" s="1"/>
      <c r="K4599" s="1"/>
    </row>
    <row r="4600" spans="5:11" x14ac:dyDescent="0.3">
      <c r="E4600" s="6"/>
      <c r="F4600" s="1"/>
      <c r="K4600" s="1"/>
    </row>
    <row r="4601" spans="5:11" x14ac:dyDescent="0.3">
      <c r="E4601" s="6"/>
      <c r="F4601" s="1"/>
      <c r="K4601" s="1"/>
    </row>
    <row r="4602" spans="5:11" x14ac:dyDescent="0.3">
      <c r="E4602" s="6"/>
      <c r="F4602" s="1"/>
      <c r="K4602" s="1"/>
    </row>
    <row r="4603" spans="5:11" x14ac:dyDescent="0.3">
      <c r="E4603" s="6"/>
      <c r="F4603" s="1"/>
      <c r="K4603" s="1"/>
    </row>
    <row r="4604" spans="5:11" x14ac:dyDescent="0.3">
      <c r="E4604" s="6"/>
      <c r="F4604" s="1"/>
      <c r="K4604" s="1"/>
    </row>
    <row r="4605" spans="5:11" x14ac:dyDescent="0.3">
      <c r="E4605" s="6"/>
      <c r="F4605" s="1"/>
      <c r="K4605" s="1"/>
    </row>
    <row r="4606" spans="5:11" x14ac:dyDescent="0.3">
      <c r="E4606" s="6"/>
      <c r="F4606" s="1"/>
      <c r="K4606" s="1"/>
    </row>
    <row r="4607" spans="5:11" x14ac:dyDescent="0.3">
      <c r="E4607" s="6"/>
      <c r="F4607" s="1"/>
      <c r="K4607" s="1"/>
    </row>
    <row r="4608" spans="5:11" x14ac:dyDescent="0.3">
      <c r="E4608" s="6"/>
      <c r="F4608" s="1"/>
      <c r="K4608" s="1"/>
    </row>
    <row r="4609" spans="5:11" x14ac:dyDescent="0.3">
      <c r="E4609" s="6"/>
      <c r="F4609" s="1"/>
      <c r="K4609" s="1"/>
    </row>
    <row r="4610" spans="5:11" x14ac:dyDescent="0.3">
      <c r="E4610" s="6"/>
      <c r="F4610" s="1"/>
      <c r="K4610" s="1"/>
    </row>
    <row r="4611" spans="5:11" x14ac:dyDescent="0.3">
      <c r="E4611" s="6"/>
      <c r="F4611" s="1"/>
      <c r="K4611" s="1"/>
    </row>
    <row r="4612" spans="5:11" x14ac:dyDescent="0.3">
      <c r="E4612" s="6"/>
      <c r="F4612" s="1"/>
      <c r="K4612" s="1"/>
    </row>
    <row r="4613" spans="5:11" x14ac:dyDescent="0.3">
      <c r="E4613" s="6"/>
      <c r="F4613" s="1"/>
      <c r="K4613" s="1"/>
    </row>
    <row r="4614" spans="5:11" x14ac:dyDescent="0.3">
      <c r="E4614" s="6"/>
      <c r="F4614" s="1"/>
      <c r="K4614" s="1"/>
    </row>
    <row r="4615" spans="5:11" x14ac:dyDescent="0.3">
      <c r="E4615" s="6"/>
      <c r="F4615" s="1"/>
      <c r="K4615" s="1"/>
    </row>
    <row r="4616" spans="5:11" x14ac:dyDescent="0.3">
      <c r="E4616" s="6"/>
      <c r="F4616" s="1"/>
      <c r="K4616" s="1"/>
    </row>
    <row r="4617" spans="5:11" x14ac:dyDescent="0.3">
      <c r="E4617" s="6"/>
      <c r="F4617" s="1"/>
      <c r="K4617" s="1"/>
    </row>
    <row r="4618" spans="5:11" x14ac:dyDescent="0.3">
      <c r="E4618" s="6"/>
      <c r="F4618" s="1"/>
      <c r="K4618" s="1"/>
    </row>
    <row r="4619" spans="5:11" x14ac:dyDescent="0.3">
      <c r="E4619" s="6"/>
      <c r="F4619" s="1"/>
      <c r="K4619" s="1"/>
    </row>
    <row r="4620" spans="5:11" x14ac:dyDescent="0.3">
      <c r="E4620" s="6"/>
      <c r="F4620" s="1"/>
      <c r="K4620" s="1"/>
    </row>
    <row r="4621" spans="5:11" x14ac:dyDescent="0.3">
      <c r="E4621" s="6"/>
      <c r="F4621" s="1"/>
      <c r="K4621" s="1"/>
    </row>
    <row r="4622" spans="5:11" x14ac:dyDescent="0.3">
      <c r="E4622" s="6"/>
      <c r="F4622" s="1"/>
      <c r="K4622" s="1"/>
    </row>
    <row r="4623" spans="5:11" x14ac:dyDescent="0.3">
      <c r="E4623" s="6"/>
      <c r="F4623" s="1"/>
      <c r="K4623" s="1"/>
    </row>
    <row r="4624" spans="5:11" x14ac:dyDescent="0.3">
      <c r="E4624" s="6"/>
      <c r="F4624" s="1"/>
      <c r="K4624" s="1"/>
    </row>
    <row r="4625" spans="5:11" x14ac:dyDescent="0.3">
      <c r="E4625" s="6"/>
      <c r="F4625" s="1"/>
      <c r="K4625" s="1"/>
    </row>
    <row r="4626" spans="5:11" x14ac:dyDescent="0.3">
      <c r="E4626" s="6"/>
      <c r="F4626" s="1"/>
      <c r="K4626" s="1"/>
    </row>
    <row r="4627" spans="5:11" x14ac:dyDescent="0.3">
      <c r="E4627" s="6"/>
      <c r="F4627" s="1"/>
      <c r="K4627" s="1"/>
    </row>
    <row r="4628" spans="5:11" x14ac:dyDescent="0.3">
      <c r="E4628" s="6"/>
      <c r="F4628" s="1"/>
      <c r="K4628" s="1"/>
    </row>
    <row r="4629" spans="5:11" x14ac:dyDescent="0.3">
      <c r="E4629" s="6"/>
      <c r="F4629" s="1"/>
      <c r="K4629" s="1"/>
    </row>
    <row r="4630" spans="5:11" x14ac:dyDescent="0.3">
      <c r="E4630" s="6"/>
      <c r="F4630" s="1"/>
      <c r="K4630" s="1"/>
    </row>
    <row r="4631" spans="5:11" x14ac:dyDescent="0.3">
      <c r="E4631" s="6"/>
      <c r="F4631" s="1"/>
      <c r="K4631" s="1"/>
    </row>
    <row r="4632" spans="5:11" x14ac:dyDescent="0.3">
      <c r="E4632" s="6"/>
      <c r="F4632" s="1"/>
      <c r="K4632" s="1"/>
    </row>
    <row r="4633" spans="5:11" x14ac:dyDescent="0.3">
      <c r="E4633" s="5"/>
      <c r="F4633" s="1"/>
      <c r="K4633" s="1"/>
    </row>
    <row r="4634" spans="5:11" x14ac:dyDescent="0.3">
      <c r="E4634" s="6"/>
      <c r="F4634" s="1"/>
      <c r="K4634" s="1"/>
    </row>
    <row r="4635" spans="5:11" x14ac:dyDescent="0.3">
      <c r="E4635" s="6"/>
      <c r="F4635" s="1"/>
      <c r="K4635" s="1"/>
    </row>
    <row r="4636" spans="5:11" x14ac:dyDescent="0.3">
      <c r="E4636" s="6"/>
      <c r="F4636" s="1"/>
      <c r="K4636" s="1"/>
    </row>
    <row r="4637" spans="5:11" x14ac:dyDescent="0.3">
      <c r="E4637" s="6"/>
      <c r="F4637" s="1"/>
      <c r="K4637" s="1"/>
    </row>
    <row r="4638" spans="5:11" x14ac:dyDescent="0.3">
      <c r="E4638" s="6"/>
      <c r="F4638" s="1"/>
      <c r="K4638" s="1"/>
    </row>
    <row r="4639" spans="5:11" x14ac:dyDescent="0.3">
      <c r="E4639" s="6"/>
      <c r="F4639" s="1"/>
      <c r="K4639" s="1"/>
    </row>
    <row r="4640" spans="5:11" x14ac:dyDescent="0.3">
      <c r="E4640" s="6"/>
      <c r="F4640" s="1"/>
      <c r="K4640" s="1"/>
    </row>
    <row r="4641" spans="5:11" x14ac:dyDescent="0.3">
      <c r="E4641" s="6"/>
      <c r="F4641" s="1"/>
      <c r="K4641" s="1"/>
    </row>
    <row r="4642" spans="5:11" x14ac:dyDescent="0.3">
      <c r="E4642" s="6"/>
      <c r="F4642" s="1"/>
      <c r="K4642" s="1"/>
    </row>
    <row r="4643" spans="5:11" x14ac:dyDescent="0.3">
      <c r="E4643" s="6"/>
      <c r="F4643" s="1"/>
      <c r="K4643" s="1"/>
    </row>
    <row r="4644" spans="5:11" x14ac:dyDescent="0.3">
      <c r="E4644" s="6"/>
      <c r="F4644" s="1"/>
      <c r="K4644" s="1"/>
    </row>
    <row r="4645" spans="5:11" x14ac:dyDescent="0.3">
      <c r="E4645" s="6"/>
      <c r="F4645" s="1"/>
      <c r="K4645" s="1"/>
    </row>
    <row r="4646" spans="5:11" x14ac:dyDescent="0.3">
      <c r="E4646" s="6"/>
      <c r="F4646" s="1"/>
      <c r="K4646" s="1"/>
    </row>
    <row r="4647" spans="5:11" x14ac:dyDescent="0.3">
      <c r="E4647" s="6"/>
      <c r="F4647" s="1"/>
      <c r="K4647" s="1"/>
    </row>
    <row r="4648" spans="5:11" x14ac:dyDescent="0.3">
      <c r="E4648" s="6"/>
      <c r="F4648" s="1"/>
      <c r="K4648" s="1"/>
    </row>
    <row r="4649" spans="5:11" x14ac:dyDescent="0.3">
      <c r="E4649" s="6"/>
      <c r="F4649" s="1"/>
      <c r="K4649" s="1"/>
    </row>
    <row r="4650" spans="5:11" x14ac:dyDescent="0.3">
      <c r="E4650" s="6"/>
      <c r="F4650" s="1"/>
      <c r="K4650" s="1"/>
    </row>
    <row r="4651" spans="5:11" x14ac:dyDescent="0.3">
      <c r="E4651" s="6"/>
      <c r="F4651" s="1"/>
      <c r="K4651" s="1"/>
    </row>
    <row r="4652" spans="5:11" x14ac:dyDescent="0.3">
      <c r="E4652" s="6"/>
      <c r="F4652" s="1"/>
      <c r="K4652" s="1"/>
    </row>
    <row r="4653" spans="5:11" x14ac:dyDescent="0.3">
      <c r="E4653" s="6"/>
      <c r="F4653" s="1"/>
      <c r="K4653" s="1"/>
    </row>
    <row r="4654" spans="5:11" x14ac:dyDescent="0.3">
      <c r="E4654" s="6"/>
      <c r="F4654" s="1"/>
      <c r="K4654" s="1"/>
    </row>
    <row r="4655" spans="5:11" x14ac:dyDescent="0.3">
      <c r="E4655" s="6"/>
      <c r="F4655" s="1"/>
      <c r="K4655" s="1"/>
    </row>
    <row r="4656" spans="5:11" x14ac:dyDescent="0.3">
      <c r="E4656" s="6"/>
      <c r="F4656" s="1"/>
      <c r="K4656" s="1"/>
    </row>
    <row r="4657" spans="5:11" x14ac:dyDescent="0.3">
      <c r="E4657" s="5"/>
      <c r="F4657" s="1"/>
      <c r="K4657" s="1"/>
    </row>
    <row r="4658" spans="5:11" x14ac:dyDescent="0.3">
      <c r="E4658" s="5"/>
      <c r="F4658" s="1"/>
      <c r="K4658" s="1"/>
    </row>
    <row r="4659" spans="5:11" x14ac:dyDescent="0.3">
      <c r="E4659" s="6"/>
      <c r="F4659" s="1"/>
      <c r="K4659" s="1"/>
    </row>
    <row r="4660" spans="5:11" x14ac:dyDescent="0.3">
      <c r="E4660" s="6"/>
      <c r="F4660" s="1"/>
      <c r="K4660" s="1"/>
    </row>
    <row r="4661" spans="5:11" x14ac:dyDescent="0.3">
      <c r="E4661" s="6"/>
      <c r="F4661" s="1"/>
      <c r="K4661" s="1"/>
    </row>
    <row r="4662" spans="5:11" x14ac:dyDescent="0.3">
      <c r="E4662" s="6"/>
      <c r="F4662" s="1"/>
      <c r="K4662" s="1"/>
    </row>
    <row r="4663" spans="5:11" x14ac:dyDescent="0.3">
      <c r="E4663" s="6"/>
      <c r="F4663" s="1"/>
      <c r="K4663" s="1"/>
    </row>
    <row r="4664" spans="5:11" x14ac:dyDescent="0.3">
      <c r="E4664" s="6"/>
      <c r="F4664" s="1"/>
      <c r="K4664" s="1"/>
    </row>
    <row r="4665" spans="5:11" x14ac:dyDescent="0.3">
      <c r="E4665" s="6"/>
      <c r="F4665" s="1"/>
      <c r="K4665" s="1"/>
    </row>
    <row r="4666" spans="5:11" x14ac:dyDescent="0.3">
      <c r="E4666" s="6"/>
      <c r="F4666" s="1"/>
      <c r="K4666" s="1"/>
    </row>
    <row r="4667" spans="5:11" x14ac:dyDescent="0.3">
      <c r="E4667" s="6"/>
      <c r="F4667" s="1"/>
      <c r="K4667" s="1"/>
    </row>
    <row r="4668" spans="5:11" x14ac:dyDescent="0.3">
      <c r="E4668" s="6"/>
      <c r="F4668" s="1"/>
      <c r="K4668" s="1"/>
    </row>
    <row r="4669" spans="5:11" x14ac:dyDescent="0.3">
      <c r="E4669" s="6"/>
      <c r="F4669" s="1"/>
      <c r="K4669" s="1"/>
    </row>
    <row r="4670" spans="5:11" x14ac:dyDescent="0.3">
      <c r="E4670" s="6"/>
      <c r="F4670" s="1"/>
      <c r="K4670" s="1"/>
    </row>
    <row r="4671" spans="5:11" x14ac:dyDescent="0.3">
      <c r="E4671" s="6"/>
      <c r="F4671" s="1"/>
      <c r="K4671" s="1"/>
    </row>
    <row r="4672" spans="5:11" x14ac:dyDescent="0.3">
      <c r="E4672" s="6"/>
      <c r="F4672" s="1"/>
      <c r="K4672" s="1"/>
    </row>
    <row r="4673" spans="5:11" x14ac:dyDescent="0.3">
      <c r="E4673" s="6"/>
      <c r="F4673" s="1"/>
      <c r="K4673" s="1"/>
    </row>
    <row r="4674" spans="5:11" x14ac:dyDescent="0.3">
      <c r="E4674" s="6"/>
      <c r="F4674" s="1"/>
      <c r="K4674" s="1"/>
    </row>
    <row r="4675" spans="5:11" x14ac:dyDescent="0.3">
      <c r="E4675" s="6"/>
      <c r="F4675" s="1"/>
      <c r="K4675" s="1"/>
    </row>
    <row r="4676" spans="5:11" x14ac:dyDescent="0.3">
      <c r="E4676" s="6"/>
      <c r="F4676" s="1"/>
      <c r="K4676" s="1"/>
    </row>
    <row r="4677" spans="5:11" x14ac:dyDescent="0.3">
      <c r="E4677" s="6"/>
      <c r="F4677" s="1"/>
      <c r="K4677" s="1"/>
    </row>
    <row r="4678" spans="5:11" x14ac:dyDescent="0.3">
      <c r="E4678" s="6"/>
      <c r="F4678" s="1"/>
      <c r="K4678" s="1"/>
    </row>
    <row r="4679" spans="5:11" x14ac:dyDescent="0.3">
      <c r="E4679" s="6"/>
      <c r="F4679" s="1"/>
      <c r="K4679" s="1"/>
    </row>
    <row r="4680" spans="5:11" x14ac:dyDescent="0.3">
      <c r="E4680" s="6"/>
      <c r="F4680" s="1"/>
      <c r="K4680" s="1"/>
    </row>
    <row r="4681" spans="5:11" x14ac:dyDescent="0.3">
      <c r="E4681" s="6"/>
      <c r="F4681" s="1"/>
      <c r="K4681" s="1"/>
    </row>
    <row r="4682" spans="5:11" x14ac:dyDescent="0.3">
      <c r="E4682" s="6"/>
      <c r="F4682" s="1"/>
      <c r="K4682" s="1"/>
    </row>
    <row r="4683" spans="5:11" x14ac:dyDescent="0.3">
      <c r="E4683" s="6"/>
      <c r="F4683" s="1"/>
      <c r="K4683" s="1"/>
    </row>
    <row r="4684" spans="5:11" x14ac:dyDescent="0.3">
      <c r="E4684" s="6"/>
      <c r="F4684" s="1"/>
      <c r="K4684" s="1"/>
    </row>
    <row r="4685" spans="5:11" x14ac:dyDescent="0.3">
      <c r="E4685" s="6"/>
      <c r="F4685" s="1"/>
      <c r="K4685" s="1"/>
    </row>
    <row r="4686" spans="5:11" x14ac:dyDescent="0.3">
      <c r="E4686" s="6"/>
      <c r="F4686" s="1"/>
      <c r="K4686" s="1"/>
    </row>
    <row r="4687" spans="5:11" x14ac:dyDescent="0.3">
      <c r="E4687" s="6"/>
      <c r="F4687" s="1"/>
      <c r="K4687" s="1"/>
    </row>
    <row r="4688" spans="5:11" x14ac:dyDescent="0.3">
      <c r="E4688" s="6"/>
      <c r="F4688" s="1"/>
      <c r="K4688" s="1"/>
    </row>
    <row r="4689" spans="5:11" x14ac:dyDescent="0.3">
      <c r="E4689" s="6"/>
      <c r="F4689" s="1"/>
      <c r="K4689" s="1"/>
    </row>
    <row r="4690" spans="5:11" x14ac:dyDescent="0.3">
      <c r="E4690" s="6"/>
      <c r="F4690" s="1"/>
      <c r="K4690" s="1"/>
    </row>
    <row r="4691" spans="5:11" x14ac:dyDescent="0.3">
      <c r="E4691" s="6"/>
      <c r="F4691" s="1"/>
      <c r="K4691" s="1"/>
    </row>
    <row r="4692" spans="5:11" x14ac:dyDescent="0.3">
      <c r="E4692" s="6"/>
      <c r="F4692" s="1"/>
      <c r="K4692" s="1"/>
    </row>
    <row r="4693" spans="5:11" x14ac:dyDescent="0.3">
      <c r="E4693" s="6"/>
      <c r="F4693" s="1"/>
      <c r="K4693" s="1"/>
    </row>
    <row r="4694" spans="5:11" x14ac:dyDescent="0.3">
      <c r="E4694" s="6"/>
      <c r="F4694" s="1"/>
      <c r="K4694" s="1"/>
    </row>
    <row r="4695" spans="5:11" x14ac:dyDescent="0.3">
      <c r="E4695" s="6"/>
      <c r="F4695" s="1"/>
      <c r="K4695" s="1"/>
    </row>
    <row r="4696" spans="5:11" x14ac:dyDescent="0.3">
      <c r="E4696" s="6"/>
      <c r="F4696" s="1"/>
      <c r="K4696" s="1"/>
    </row>
    <row r="4697" spans="5:11" x14ac:dyDescent="0.3">
      <c r="E4697" s="6"/>
      <c r="F4697" s="1"/>
      <c r="K4697" s="1"/>
    </row>
    <row r="4698" spans="5:11" x14ac:dyDescent="0.3">
      <c r="E4698" s="6"/>
      <c r="F4698" s="1"/>
      <c r="K4698" s="1"/>
    </row>
    <row r="4699" spans="5:11" x14ac:dyDescent="0.3">
      <c r="E4699" s="6"/>
      <c r="F4699" s="1"/>
      <c r="K4699" s="1"/>
    </row>
    <row r="4700" spans="5:11" x14ac:dyDescent="0.3">
      <c r="E4700" s="6"/>
      <c r="F4700" s="1"/>
      <c r="K4700" s="1"/>
    </row>
    <row r="4701" spans="5:11" x14ac:dyDescent="0.3">
      <c r="E4701" s="6"/>
      <c r="F4701" s="1"/>
      <c r="K4701" s="1"/>
    </row>
    <row r="4702" spans="5:11" x14ac:dyDescent="0.3">
      <c r="E4702" s="6"/>
      <c r="F4702" s="1"/>
      <c r="K4702" s="1"/>
    </row>
    <row r="4703" spans="5:11" x14ac:dyDescent="0.3">
      <c r="E4703" s="6"/>
      <c r="F4703" s="1"/>
      <c r="K4703" s="1"/>
    </row>
    <row r="4704" spans="5:11" x14ac:dyDescent="0.3">
      <c r="E4704" s="6"/>
      <c r="F4704" s="1"/>
      <c r="K4704" s="1"/>
    </row>
    <row r="4705" spans="5:11" x14ac:dyDescent="0.3">
      <c r="E4705" s="6"/>
      <c r="F4705" s="1"/>
      <c r="K4705" s="1"/>
    </row>
    <row r="4706" spans="5:11" x14ac:dyDescent="0.3">
      <c r="E4706" s="6"/>
      <c r="F4706" s="1"/>
      <c r="K4706" s="1"/>
    </row>
    <row r="4707" spans="5:11" x14ac:dyDescent="0.3">
      <c r="E4707" s="5"/>
      <c r="F4707" s="1"/>
      <c r="K4707" s="1"/>
    </row>
    <row r="4708" spans="5:11" x14ac:dyDescent="0.3">
      <c r="E4708" s="6"/>
      <c r="F4708" s="1"/>
      <c r="K4708" s="1"/>
    </row>
    <row r="4709" spans="5:11" x14ac:dyDescent="0.3">
      <c r="E4709" s="6"/>
      <c r="F4709" s="1"/>
      <c r="K4709" s="1"/>
    </row>
    <row r="4710" spans="5:11" x14ac:dyDescent="0.3">
      <c r="E4710" s="6"/>
      <c r="F4710" s="1"/>
      <c r="K4710" s="1"/>
    </row>
    <row r="4711" spans="5:11" x14ac:dyDescent="0.3">
      <c r="E4711" s="6"/>
      <c r="F4711" s="1"/>
      <c r="K4711" s="1"/>
    </row>
    <row r="4712" spans="5:11" x14ac:dyDescent="0.3">
      <c r="E4712" s="6"/>
      <c r="F4712" s="1"/>
      <c r="K4712" s="1"/>
    </row>
    <row r="4713" spans="5:11" x14ac:dyDescent="0.3">
      <c r="E4713" s="6"/>
      <c r="F4713" s="1"/>
      <c r="K4713" s="1"/>
    </row>
    <row r="4714" spans="5:11" x14ac:dyDescent="0.3">
      <c r="E4714" s="6"/>
      <c r="F4714" s="1"/>
      <c r="K4714" s="1"/>
    </row>
    <row r="4715" spans="5:11" x14ac:dyDescent="0.3">
      <c r="E4715" s="6"/>
      <c r="F4715" s="1"/>
      <c r="K4715" s="1"/>
    </row>
    <row r="4716" spans="5:11" x14ac:dyDescent="0.3">
      <c r="E4716" s="6"/>
      <c r="F4716" s="1"/>
      <c r="K4716" s="1"/>
    </row>
    <row r="4717" spans="5:11" x14ac:dyDescent="0.3">
      <c r="E4717" s="6"/>
      <c r="F4717" s="1"/>
      <c r="K4717" s="1"/>
    </row>
    <row r="4718" spans="5:11" x14ac:dyDescent="0.3">
      <c r="E4718" s="6"/>
      <c r="F4718" s="1"/>
      <c r="K4718" s="1"/>
    </row>
    <row r="4719" spans="5:11" x14ac:dyDescent="0.3">
      <c r="E4719" s="6"/>
      <c r="F4719" s="1"/>
      <c r="K4719" s="1"/>
    </row>
    <row r="4720" spans="5:11" x14ac:dyDescent="0.3">
      <c r="E4720" s="6"/>
      <c r="F4720" s="1"/>
      <c r="K4720" s="1"/>
    </row>
    <row r="4721" spans="5:11" x14ac:dyDescent="0.3">
      <c r="E4721" s="6"/>
      <c r="F4721" s="1"/>
      <c r="K4721" s="1"/>
    </row>
    <row r="4722" spans="5:11" x14ac:dyDescent="0.3">
      <c r="E4722" s="6"/>
      <c r="F4722" s="1"/>
      <c r="K4722" s="1"/>
    </row>
    <row r="4723" spans="5:11" x14ac:dyDescent="0.3">
      <c r="E4723" s="6"/>
      <c r="F4723" s="1"/>
      <c r="K4723" s="1"/>
    </row>
    <row r="4724" spans="5:11" x14ac:dyDescent="0.3">
      <c r="E4724" s="6"/>
      <c r="F4724" s="1"/>
      <c r="K4724" s="1"/>
    </row>
    <row r="4725" spans="5:11" x14ac:dyDescent="0.3">
      <c r="E4725" s="6"/>
      <c r="F4725" s="1"/>
      <c r="K4725" s="1"/>
    </row>
    <row r="4726" spans="5:11" x14ac:dyDescent="0.3">
      <c r="E4726" s="6"/>
      <c r="F4726" s="1"/>
      <c r="K4726" s="1"/>
    </row>
    <row r="4727" spans="5:11" x14ac:dyDescent="0.3">
      <c r="E4727" s="6"/>
      <c r="F4727" s="1"/>
      <c r="K4727" s="1"/>
    </row>
    <row r="4728" spans="5:11" x14ac:dyDescent="0.3">
      <c r="E4728" s="6"/>
      <c r="F4728" s="1"/>
      <c r="K4728" s="1"/>
    </row>
    <row r="4729" spans="5:11" x14ac:dyDescent="0.3">
      <c r="E4729" s="6"/>
      <c r="F4729" s="1"/>
      <c r="K4729" s="1"/>
    </row>
    <row r="4730" spans="5:11" x14ac:dyDescent="0.3">
      <c r="E4730" s="6"/>
      <c r="F4730" s="1"/>
      <c r="K4730" s="1"/>
    </row>
    <row r="4731" spans="5:11" x14ac:dyDescent="0.3">
      <c r="E4731" s="6"/>
      <c r="F4731" s="1"/>
      <c r="K4731" s="1"/>
    </row>
    <row r="4732" spans="5:11" x14ac:dyDescent="0.3">
      <c r="E4732" s="6"/>
      <c r="F4732" s="1"/>
      <c r="K4732" s="1"/>
    </row>
    <row r="4733" spans="5:11" x14ac:dyDescent="0.3">
      <c r="E4733" s="6"/>
      <c r="F4733" s="1"/>
      <c r="K4733" s="1"/>
    </row>
    <row r="4734" spans="5:11" x14ac:dyDescent="0.3">
      <c r="E4734" s="6"/>
      <c r="F4734" s="1"/>
      <c r="K4734" s="1"/>
    </row>
    <row r="4735" spans="5:11" x14ac:dyDescent="0.3">
      <c r="E4735" s="6"/>
      <c r="F4735" s="1"/>
      <c r="K4735" s="1"/>
    </row>
    <row r="4736" spans="5:11" x14ac:dyDescent="0.3">
      <c r="E4736" s="6"/>
      <c r="F4736" s="1"/>
      <c r="K4736" s="1"/>
    </row>
    <row r="4737" spans="5:11" x14ac:dyDescent="0.3">
      <c r="E4737" s="6"/>
      <c r="F4737" s="1"/>
      <c r="K4737" s="1"/>
    </row>
    <row r="4738" spans="5:11" x14ac:dyDescent="0.3">
      <c r="E4738" s="6"/>
      <c r="F4738" s="1"/>
      <c r="K4738" s="1"/>
    </row>
    <row r="4739" spans="5:11" x14ac:dyDescent="0.3">
      <c r="E4739" s="6"/>
      <c r="F4739" s="1"/>
      <c r="K4739" s="1"/>
    </row>
    <row r="4740" spans="5:11" x14ac:dyDescent="0.3">
      <c r="E4740" s="6"/>
      <c r="F4740" s="1"/>
      <c r="K4740" s="1"/>
    </row>
    <row r="4741" spans="5:11" x14ac:dyDescent="0.3">
      <c r="E4741" s="6"/>
      <c r="F4741" s="1"/>
      <c r="K4741" s="1"/>
    </row>
    <row r="4742" spans="5:11" x14ac:dyDescent="0.3">
      <c r="E4742" s="6"/>
      <c r="F4742" s="1"/>
      <c r="K4742" s="1"/>
    </row>
    <row r="4743" spans="5:11" x14ac:dyDescent="0.3">
      <c r="E4743" s="6"/>
      <c r="F4743" s="1"/>
      <c r="K4743" s="1"/>
    </row>
    <row r="4744" spans="5:11" x14ac:dyDescent="0.3">
      <c r="E4744" s="6"/>
      <c r="F4744" s="1"/>
      <c r="K4744" s="1"/>
    </row>
    <row r="4745" spans="5:11" x14ac:dyDescent="0.3">
      <c r="E4745" s="6"/>
      <c r="F4745" s="1"/>
      <c r="K4745" s="1"/>
    </row>
    <row r="4746" spans="5:11" x14ac:dyDescent="0.3">
      <c r="E4746" s="6"/>
      <c r="F4746" s="1"/>
      <c r="K4746" s="1"/>
    </row>
    <row r="4747" spans="5:11" x14ac:dyDescent="0.3">
      <c r="E4747" s="6"/>
      <c r="F4747" s="1"/>
      <c r="K4747" s="1"/>
    </row>
    <row r="4748" spans="5:11" x14ac:dyDescent="0.3">
      <c r="E4748" s="6"/>
      <c r="F4748" s="1"/>
      <c r="K4748" s="1"/>
    </row>
    <row r="4749" spans="5:11" x14ac:dyDescent="0.3">
      <c r="E4749" s="6"/>
      <c r="F4749" s="1"/>
      <c r="K4749" s="1"/>
    </row>
    <row r="4750" spans="5:11" x14ac:dyDescent="0.3">
      <c r="E4750" s="6"/>
      <c r="F4750" s="1"/>
      <c r="K4750" s="1"/>
    </row>
    <row r="4751" spans="5:11" x14ac:dyDescent="0.3">
      <c r="E4751" s="6"/>
      <c r="F4751" s="1"/>
      <c r="K4751" s="1"/>
    </row>
    <row r="4752" spans="5:11" x14ac:dyDescent="0.3">
      <c r="E4752" s="6"/>
      <c r="F4752" s="1"/>
      <c r="K4752" s="1"/>
    </row>
    <row r="4753" spans="5:11" x14ac:dyDescent="0.3">
      <c r="E4753" s="6"/>
      <c r="F4753" s="1"/>
      <c r="K4753" s="1"/>
    </row>
    <row r="4754" spans="5:11" x14ac:dyDescent="0.3">
      <c r="E4754" s="6"/>
      <c r="F4754" s="1"/>
      <c r="K4754" s="1"/>
    </row>
    <row r="4755" spans="5:11" x14ac:dyDescent="0.3">
      <c r="E4755" s="6"/>
      <c r="F4755" s="1"/>
      <c r="K4755" s="1"/>
    </row>
    <row r="4756" spans="5:11" x14ac:dyDescent="0.3">
      <c r="E4756" s="6"/>
      <c r="F4756" s="1"/>
      <c r="K4756" s="1"/>
    </row>
    <row r="4757" spans="5:11" x14ac:dyDescent="0.3">
      <c r="E4757" s="6"/>
      <c r="F4757" s="1"/>
      <c r="K4757" s="1"/>
    </row>
    <row r="4758" spans="5:11" x14ac:dyDescent="0.3">
      <c r="E4758" s="5"/>
      <c r="F4758" s="1"/>
      <c r="K4758" s="1"/>
    </row>
    <row r="4759" spans="5:11" x14ac:dyDescent="0.3">
      <c r="E4759" s="5"/>
      <c r="F4759" s="1"/>
      <c r="K4759" s="1"/>
    </row>
    <row r="4760" spans="5:11" x14ac:dyDescent="0.3">
      <c r="E4760" s="6"/>
      <c r="F4760" s="1"/>
      <c r="K4760" s="1"/>
    </row>
    <row r="4761" spans="5:11" x14ac:dyDescent="0.3">
      <c r="E4761" s="6"/>
      <c r="F4761" s="1"/>
      <c r="K4761" s="1"/>
    </row>
    <row r="4762" spans="5:11" x14ac:dyDescent="0.3">
      <c r="E4762" s="6"/>
      <c r="F4762" s="1"/>
      <c r="K4762" s="1"/>
    </row>
    <row r="4763" spans="5:11" x14ac:dyDescent="0.3">
      <c r="E4763" s="6"/>
      <c r="F4763" s="1"/>
      <c r="K4763" s="1"/>
    </row>
    <row r="4764" spans="5:11" x14ac:dyDescent="0.3">
      <c r="E4764" s="6"/>
      <c r="F4764" s="1"/>
      <c r="K4764" s="1"/>
    </row>
    <row r="4765" spans="5:11" x14ac:dyDescent="0.3">
      <c r="E4765" s="6"/>
      <c r="F4765" s="1"/>
      <c r="K4765" s="1"/>
    </row>
    <row r="4766" spans="5:11" x14ac:dyDescent="0.3">
      <c r="E4766" s="6"/>
      <c r="F4766" s="1"/>
      <c r="K4766" s="1"/>
    </row>
    <row r="4767" spans="5:11" x14ac:dyDescent="0.3">
      <c r="E4767" s="6"/>
      <c r="F4767" s="1"/>
      <c r="K4767" s="1"/>
    </row>
    <row r="4768" spans="5:11" x14ac:dyDescent="0.3">
      <c r="E4768" s="6"/>
      <c r="F4768" s="1"/>
      <c r="K4768" s="1"/>
    </row>
    <row r="4769" spans="5:11" x14ac:dyDescent="0.3">
      <c r="E4769" s="6"/>
      <c r="F4769" s="1"/>
      <c r="K4769" s="1"/>
    </row>
    <row r="4770" spans="5:11" x14ac:dyDescent="0.3">
      <c r="E4770" s="6"/>
      <c r="F4770" s="1"/>
      <c r="K4770" s="1"/>
    </row>
    <row r="4771" spans="5:11" x14ac:dyDescent="0.3">
      <c r="E4771" s="6"/>
      <c r="F4771" s="1"/>
      <c r="K4771" s="1"/>
    </row>
    <row r="4772" spans="5:11" x14ac:dyDescent="0.3">
      <c r="E4772" s="6"/>
      <c r="F4772" s="1"/>
      <c r="K4772" s="1"/>
    </row>
    <row r="4773" spans="5:11" x14ac:dyDescent="0.3">
      <c r="E4773" s="6"/>
      <c r="F4773" s="1"/>
      <c r="K4773" s="1"/>
    </row>
    <row r="4774" spans="5:11" x14ac:dyDescent="0.3">
      <c r="E4774" s="6"/>
      <c r="F4774" s="1"/>
      <c r="K4774" s="1"/>
    </row>
    <row r="4775" spans="5:11" x14ac:dyDescent="0.3">
      <c r="E4775" s="6"/>
      <c r="F4775" s="1"/>
      <c r="K4775" s="1"/>
    </row>
    <row r="4776" spans="5:11" x14ac:dyDescent="0.3">
      <c r="E4776" s="6"/>
      <c r="F4776" s="1"/>
      <c r="K4776" s="1"/>
    </row>
    <row r="4777" spans="5:11" x14ac:dyDescent="0.3">
      <c r="E4777" s="6"/>
      <c r="F4777" s="1"/>
      <c r="K4777" s="1"/>
    </row>
    <row r="4778" spans="5:11" x14ac:dyDescent="0.3">
      <c r="E4778" s="6"/>
      <c r="F4778" s="1"/>
      <c r="K4778" s="1"/>
    </row>
    <row r="4779" spans="5:11" x14ac:dyDescent="0.3">
      <c r="E4779" s="6"/>
      <c r="F4779" s="1"/>
      <c r="K4779" s="1"/>
    </row>
    <row r="4780" spans="5:11" x14ac:dyDescent="0.3">
      <c r="E4780" s="6"/>
      <c r="F4780" s="1"/>
      <c r="K4780" s="1"/>
    </row>
    <row r="4781" spans="5:11" x14ac:dyDescent="0.3">
      <c r="E4781" s="6"/>
      <c r="F4781" s="1"/>
      <c r="K4781" s="1"/>
    </row>
    <row r="4782" spans="5:11" x14ac:dyDescent="0.3">
      <c r="E4782" s="6"/>
      <c r="F4782" s="1"/>
      <c r="K4782" s="1"/>
    </row>
    <row r="4783" spans="5:11" x14ac:dyDescent="0.3">
      <c r="E4783" s="6"/>
      <c r="F4783" s="1"/>
      <c r="K4783" s="1"/>
    </row>
    <row r="4784" spans="5:11" x14ac:dyDescent="0.3">
      <c r="E4784" s="6"/>
      <c r="F4784" s="1"/>
      <c r="K4784" s="1"/>
    </row>
    <row r="4785" spans="5:11" x14ac:dyDescent="0.3">
      <c r="E4785" s="6"/>
      <c r="F4785" s="1"/>
      <c r="K4785" s="1"/>
    </row>
    <row r="4786" spans="5:11" x14ac:dyDescent="0.3">
      <c r="E4786" s="6"/>
      <c r="F4786" s="1"/>
      <c r="K4786" s="1"/>
    </row>
    <row r="4787" spans="5:11" x14ac:dyDescent="0.3">
      <c r="E4787" s="6"/>
      <c r="F4787" s="1"/>
      <c r="K4787" s="1"/>
    </row>
    <row r="4788" spans="5:11" x14ac:dyDescent="0.3">
      <c r="E4788" s="6"/>
      <c r="F4788" s="1"/>
      <c r="K4788" s="1"/>
    </row>
    <row r="4789" spans="5:11" x14ac:dyDescent="0.3">
      <c r="E4789" s="6"/>
      <c r="F4789" s="1"/>
      <c r="K4789" s="1"/>
    </row>
    <row r="4790" spans="5:11" x14ac:dyDescent="0.3">
      <c r="E4790" s="6"/>
      <c r="F4790" s="1"/>
      <c r="K4790" s="1"/>
    </row>
    <row r="4791" spans="5:11" x14ac:dyDescent="0.3">
      <c r="E4791" s="6"/>
      <c r="F4791" s="1"/>
      <c r="K4791" s="1"/>
    </row>
    <row r="4792" spans="5:11" x14ac:dyDescent="0.3">
      <c r="E4792" s="6"/>
      <c r="F4792" s="1"/>
      <c r="K4792" s="1"/>
    </row>
    <row r="4793" spans="5:11" x14ac:dyDescent="0.3">
      <c r="E4793" s="6"/>
      <c r="F4793" s="1"/>
      <c r="K4793" s="1"/>
    </row>
    <row r="4794" spans="5:11" x14ac:dyDescent="0.3">
      <c r="E4794" s="6"/>
      <c r="F4794" s="1"/>
      <c r="K4794" s="1"/>
    </row>
    <row r="4795" spans="5:11" x14ac:dyDescent="0.3">
      <c r="E4795" s="6"/>
      <c r="F4795" s="1"/>
      <c r="K4795" s="1"/>
    </row>
    <row r="4796" spans="5:11" x14ac:dyDescent="0.3">
      <c r="E4796" s="6"/>
      <c r="F4796" s="1"/>
      <c r="K4796" s="1"/>
    </row>
    <row r="4797" spans="5:11" x14ac:dyDescent="0.3">
      <c r="E4797" s="6"/>
      <c r="F4797" s="1"/>
      <c r="K4797" s="1"/>
    </row>
    <row r="4798" spans="5:11" x14ac:dyDescent="0.3">
      <c r="E4798" s="6"/>
      <c r="F4798" s="1"/>
      <c r="K4798" s="1"/>
    </row>
    <row r="4799" spans="5:11" x14ac:dyDescent="0.3">
      <c r="E4799" s="6"/>
      <c r="F4799" s="1"/>
      <c r="K4799" s="1"/>
    </row>
    <row r="4800" spans="5:11" x14ac:dyDescent="0.3">
      <c r="E4800" s="6"/>
      <c r="F4800" s="1"/>
      <c r="K4800" s="1"/>
    </row>
    <row r="4801" spans="5:11" x14ac:dyDescent="0.3">
      <c r="E4801" s="6"/>
      <c r="F4801" s="1"/>
      <c r="K4801" s="1"/>
    </row>
    <row r="4802" spans="5:11" x14ac:dyDescent="0.3">
      <c r="E4802" s="6"/>
      <c r="F4802" s="1"/>
      <c r="K4802" s="1"/>
    </row>
    <row r="4803" spans="5:11" x14ac:dyDescent="0.3">
      <c r="E4803" s="6"/>
      <c r="F4803" s="1"/>
      <c r="K4803" s="1"/>
    </row>
    <row r="4804" spans="5:11" x14ac:dyDescent="0.3">
      <c r="E4804" s="6"/>
      <c r="F4804" s="1"/>
      <c r="K4804" s="1"/>
    </row>
    <row r="4805" spans="5:11" x14ac:dyDescent="0.3">
      <c r="E4805" s="6"/>
      <c r="F4805" s="1"/>
      <c r="K4805" s="1"/>
    </row>
    <row r="4806" spans="5:11" x14ac:dyDescent="0.3">
      <c r="E4806" s="6"/>
      <c r="F4806" s="1"/>
      <c r="K4806" s="1"/>
    </row>
    <row r="4807" spans="5:11" x14ac:dyDescent="0.3">
      <c r="E4807" s="6"/>
      <c r="F4807" s="1"/>
      <c r="K4807" s="1"/>
    </row>
    <row r="4808" spans="5:11" x14ac:dyDescent="0.3">
      <c r="E4808" s="5"/>
      <c r="F4808" s="1"/>
      <c r="K4808" s="1"/>
    </row>
    <row r="4809" spans="5:11" x14ac:dyDescent="0.3">
      <c r="E4809" s="6"/>
      <c r="F4809" s="1"/>
      <c r="K4809" s="1"/>
    </row>
    <row r="4810" spans="5:11" x14ac:dyDescent="0.3">
      <c r="E4810" s="6"/>
      <c r="F4810" s="1"/>
      <c r="K4810" s="1"/>
    </row>
    <row r="4811" spans="5:11" x14ac:dyDescent="0.3">
      <c r="E4811" s="6"/>
      <c r="F4811" s="1"/>
      <c r="K4811" s="1"/>
    </row>
    <row r="4812" spans="5:11" x14ac:dyDescent="0.3">
      <c r="E4812" s="6"/>
      <c r="F4812" s="1"/>
      <c r="K4812" s="1"/>
    </row>
    <row r="4813" spans="5:11" x14ac:dyDescent="0.3">
      <c r="E4813" s="6"/>
      <c r="F4813" s="1"/>
      <c r="K4813" s="1"/>
    </row>
    <row r="4814" spans="5:11" x14ac:dyDescent="0.3">
      <c r="E4814" s="6"/>
      <c r="F4814" s="1"/>
      <c r="K4814" s="1"/>
    </row>
    <row r="4815" spans="5:11" x14ac:dyDescent="0.3">
      <c r="E4815" s="6"/>
      <c r="F4815" s="1"/>
      <c r="K4815" s="1"/>
    </row>
    <row r="4816" spans="5:11" x14ac:dyDescent="0.3">
      <c r="E4816" s="6"/>
      <c r="F4816" s="1"/>
      <c r="K4816" s="1"/>
    </row>
    <row r="4817" spans="5:11" x14ac:dyDescent="0.3">
      <c r="E4817" s="6"/>
      <c r="F4817" s="1"/>
      <c r="K4817" s="1"/>
    </row>
    <row r="4818" spans="5:11" x14ac:dyDescent="0.3">
      <c r="E4818" s="6"/>
      <c r="F4818" s="1"/>
      <c r="K4818" s="1"/>
    </row>
    <row r="4819" spans="5:11" x14ac:dyDescent="0.3">
      <c r="E4819" s="6"/>
      <c r="F4819" s="1"/>
      <c r="K4819" s="1"/>
    </row>
    <row r="4820" spans="5:11" x14ac:dyDescent="0.3">
      <c r="E4820" s="6"/>
      <c r="F4820" s="1"/>
      <c r="K4820" s="1"/>
    </row>
    <row r="4821" spans="5:11" x14ac:dyDescent="0.3">
      <c r="E4821" s="6"/>
      <c r="F4821" s="1"/>
      <c r="K4821" s="1"/>
    </row>
    <row r="4822" spans="5:11" x14ac:dyDescent="0.3">
      <c r="E4822" s="6"/>
      <c r="F4822" s="1"/>
      <c r="K4822" s="1"/>
    </row>
    <row r="4823" spans="5:11" x14ac:dyDescent="0.3">
      <c r="E4823" s="6"/>
      <c r="F4823" s="1"/>
      <c r="K4823" s="1"/>
    </row>
    <row r="4824" spans="5:11" x14ac:dyDescent="0.3">
      <c r="E4824" s="6"/>
      <c r="F4824" s="1"/>
      <c r="K4824" s="1"/>
    </row>
    <row r="4825" spans="5:11" x14ac:dyDescent="0.3">
      <c r="E4825" s="6"/>
      <c r="F4825" s="1"/>
      <c r="K4825" s="1"/>
    </row>
    <row r="4826" spans="5:11" x14ac:dyDescent="0.3">
      <c r="E4826" s="6"/>
      <c r="F4826" s="1"/>
      <c r="K4826" s="1"/>
    </row>
    <row r="4827" spans="5:11" x14ac:dyDescent="0.3">
      <c r="E4827" s="6"/>
      <c r="F4827" s="1"/>
      <c r="K4827" s="1"/>
    </row>
    <row r="4828" spans="5:11" x14ac:dyDescent="0.3">
      <c r="E4828" s="6"/>
      <c r="F4828" s="1"/>
      <c r="K4828" s="1"/>
    </row>
    <row r="4829" spans="5:11" x14ac:dyDescent="0.3">
      <c r="E4829" s="6"/>
      <c r="F4829" s="1"/>
      <c r="K4829" s="1"/>
    </row>
    <row r="4830" spans="5:11" x14ac:dyDescent="0.3">
      <c r="E4830" s="6"/>
      <c r="F4830" s="1"/>
      <c r="K4830" s="1"/>
    </row>
    <row r="4831" spans="5:11" x14ac:dyDescent="0.3">
      <c r="E4831" s="6"/>
      <c r="F4831" s="1"/>
      <c r="K4831" s="1"/>
    </row>
    <row r="4832" spans="5:11" x14ac:dyDescent="0.3">
      <c r="E4832" s="6"/>
      <c r="F4832" s="1"/>
      <c r="K4832" s="1"/>
    </row>
    <row r="4833" spans="5:11" x14ac:dyDescent="0.3">
      <c r="E4833" s="6"/>
      <c r="F4833" s="1"/>
      <c r="K4833" s="1"/>
    </row>
    <row r="4834" spans="5:11" x14ac:dyDescent="0.3">
      <c r="E4834" s="6"/>
      <c r="F4834" s="1"/>
      <c r="K4834" s="1"/>
    </row>
    <row r="4835" spans="5:11" x14ac:dyDescent="0.3">
      <c r="E4835" s="6"/>
      <c r="F4835" s="1"/>
      <c r="K4835" s="1"/>
    </row>
    <row r="4836" spans="5:11" x14ac:dyDescent="0.3">
      <c r="E4836" s="6"/>
      <c r="F4836" s="1"/>
      <c r="K4836" s="1"/>
    </row>
    <row r="4837" spans="5:11" x14ac:dyDescent="0.3">
      <c r="E4837" s="6"/>
      <c r="F4837" s="1"/>
      <c r="K4837" s="1"/>
    </row>
    <row r="4838" spans="5:11" x14ac:dyDescent="0.3">
      <c r="E4838" s="6"/>
      <c r="F4838" s="1"/>
      <c r="K4838" s="1"/>
    </row>
    <row r="4839" spans="5:11" x14ac:dyDescent="0.3">
      <c r="E4839" s="6"/>
      <c r="F4839" s="1"/>
      <c r="K4839" s="1"/>
    </row>
    <row r="4840" spans="5:11" x14ac:dyDescent="0.3">
      <c r="E4840" s="6"/>
      <c r="F4840" s="1"/>
      <c r="K4840" s="1"/>
    </row>
    <row r="4841" spans="5:11" x14ac:dyDescent="0.3">
      <c r="E4841" s="6"/>
      <c r="F4841" s="1"/>
      <c r="K4841" s="1"/>
    </row>
    <row r="4842" spans="5:11" x14ac:dyDescent="0.3">
      <c r="E4842" s="6"/>
      <c r="F4842" s="1"/>
      <c r="K4842" s="1"/>
    </row>
    <row r="4843" spans="5:11" x14ac:dyDescent="0.3">
      <c r="E4843" s="6"/>
      <c r="F4843" s="1"/>
      <c r="K4843" s="1"/>
    </row>
    <row r="4844" spans="5:11" x14ac:dyDescent="0.3">
      <c r="E4844" s="6"/>
      <c r="F4844" s="1"/>
      <c r="K4844" s="1"/>
    </row>
    <row r="4845" spans="5:11" x14ac:dyDescent="0.3">
      <c r="E4845" s="6"/>
      <c r="F4845" s="1"/>
      <c r="K4845" s="1"/>
    </row>
    <row r="4846" spans="5:11" x14ac:dyDescent="0.3">
      <c r="E4846" s="6"/>
      <c r="F4846" s="1"/>
      <c r="K4846" s="1"/>
    </row>
    <row r="4847" spans="5:11" x14ac:dyDescent="0.3">
      <c r="E4847" s="6"/>
      <c r="F4847" s="1"/>
      <c r="K4847" s="1"/>
    </row>
    <row r="4848" spans="5:11" x14ac:dyDescent="0.3">
      <c r="E4848" s="5"/>
      <c r="F4848" s="1"/>
      <c r="K4848" s="1"/>
    </row>
    <row r="4849" spans="5:11" x14ac:dyDescent="0.3">
      <c r="E4849" s="6"/>
      <c r="F4849" s="1"/>
      <c r="K4849" s="1"/>
    </row>
    <row r="4850" spans="5:11" x14ac:dyDescent="0.3">
      <c r="E4850" s="6"/>
      <c r="F4850" s="1"/>
      <c r="K4850" s="1"/>
    </row>
    <row r="4851" spans="5:11" x14ac:dyDescent="0.3">
      <c r="E4851" s="6"/>
      <c r="F4851" s="1"/>
      <c r="K4851" s="1"/>
    </row>
    <row r="4852" spans="5:11" x14ac:dyDescent="0.3">
      <c r="E4852" s="6"/>
      <c r="F4852" s="1"/>
      <c r="K4852" s="1"/>
    </row>
    <row r="4853" spans="5:11" x14ac:dyDescent="0.3">
      <c r="E4853" s="6"/>
      <c r="F4853" s="1"/>
      <c r="K4853" s="1"/>
    </row>
    <row r="4854" spans="5:11" x14ac:dyDescent="0.3">
      <c r="E4854" s="6"/>
      <c r="F4854" s="1"/>
      <c r="K4854" s="1"/>
    </row>
    <row r="4855" spans="5:11" x14ac:dyDescent="0.3">
      <c r="E4855" s="6"/>
      <c r="F4855" s="1"/>
      <c r="K4855" s="1"/>
    </row>
    <row r="4856" spans="5:11" x14ac:dyDescent="0.3">
      <c r="E4856" s="6"/>
      <c r="F4856" s="1"/>
      <c r="K4856" s="1"/>
    </row>
    <row r="4857" spans="5:11" x14ac:dyDescent="0.3">
      <c r="E4857" s="6"/>
      <c r="F4857" s="1"/>
      <c r="K4857" s="1"/>
    </row>
    <row r="4858" spans="5:11" x14ac:dyDescent="0.3">
      <c r="E4858" s="6"/>
      <c r="F4858" s="1"/>
      <c r="K4858" s="1"/>
    </row>
    <row r="4859" spans="5:11" x14ac:dyDescent="0.3">
      <c r="E4859" s="6"/>
      <c r="F4859" s="1"/>
      <c r="K4859" s="1"/>
    </row>
    <row r="4860" spans="5:11" x14ac:dyDescent="0.3">
      <c r="E4860" s="6"/>
      <c r="F4860" s="1"/>
      <c r="K4860" s="1"/>
    </row>
    <row r="4861" spans="5:11" x14ac:dyDescent="0.3">
      <c r="E4861" s="6"/>
      <c r="F4861" s="1"/>
      <c r="K4861" s="1"/>
    </row>
    <row r="4862" spans="5:11" x14ac:dyDescent="0.3">
      <c r="E4862" s="6"/>
      <c r="F4862" s="1"/>
      <c r="K4862" s="1"/>
    </row>
    <row r="4863" spans="5:11" x14ac:dyDescent="0.3">
      <c r="E4863" s="6"/>
      <c r="F4863" s="1"/>
      <c r="K4863" s="1"/>
    </row>
    <row r="4864" spans="5:11" x14ac:dyDescent="0.3">
      <c r="E4864" s="6"/>
      <c r="F4864" s="1"/>
      <c r="K4864" s="1"/>
    </row>
    <row r="4865" spans="5:11" x14ac:dyDescent="0.3">
      <c r="E4865" s="6"/>
      <c r="F4865" s="1"/>
      <c r="K4865" s="1"/>
    </row>
    <row r="4866" spans="5:11" x14ac:dyDescent="0.3">
      <c r="E4866" s="6"/>
      <c r="F4866" s="1"/>
      <c r="K4866" s="1"/>
    </row>
    <row r="4867" spans="5:11" x14ac:dyDescent="0.3">
      <c r="E4867" s="6"/>
      <c r="F4867" s="1"/>
      <c r="K4867" s="1"/>
    </row>
    <row r="4868" spans="5:11" x14ac:dyDescent="0.3">
      <c r="E4868" s="6"/>
      <c r="F4868" s="1"/>
      <c r="K4868" s="1"/>
    </row>
    <row r="4869" spans="5:11" x14ac:dyDescent="0.3">
      <c r="E4869" s="6"/>
      <c r="F4869" s="1"/>
      <c r="K4869" s="1"/>
    </row>
    <row r="4870" spans="5:11" x14ac:dyDescent="0.3">
      <c r="E4870" s="6"/>
      <c r="F4870" s="1"/>
      <c r="K4870" s="1"/>
    </row>
    <row r="4871" spans="5:11" x14ac:dyDescent="0.3">
      <c r="E4871" s="5"/>
      <c r="F4871" s="1"/>
      <c r="K4871" s="1"/>
    </row>
    <row r="4872" spans="5:11" x14ac:dyDescent="0.3">
      <c r="E4872" s="6"/>
      <c r="F4872" s="1"/>
      <c r="K4872" s="1"/>
    </row>
    <row r="4873" spans="5:11" x14ac:dyDescent="0.3">
      <c r="E4873" s="6"/>
      <c r="F4873" s="1"/>
      <c r="K4873" s="1"/>
    </row>
    <row r="4874" spans="5:11" x14ac:dyDescent="0.3">
      <c r="E4874" s="6"/>
      <c r="F4874" s="1"/>
      <c r="K4874" s="1"/>
    </row>
    <row r="4875" spans="5:11" x14ac:dyDescent="0.3">
      <c r="E4875" s="6"/>
      <c r="F4875" s="1"/>
      <c r="K4875" s="1"/>
    </row>
    <row r="4876" spans="5:11" x14ac:dyDescent="0.3">
      <c r="E4876" s="6"/>
      <c r="F4876" s="1"/>
      <c r="K4876" s="1"/>
    </row>
    <row r="4877" spans="5:11" x14ac:dyDescent="0.3">
      <c r="E4877" s="6"/>
      <c r="F4877" s="1"/>
      <c r="K4877" s="1"/>
    </row>
    <row r="4878" spans="5:11" x14ac:dyDescent="0.3">
      <c r="E4878" s="6"/>
      <c r="F4878" s="1"/>
      <c r="K4878" s="1"/>
    </row>
    <row r="4879" spans="5:11" x14ac:dyDescent="0.3">
      <c r="E4879" s="6"/>
      <c r="F4879" s="1"/>
      <c r="K4879" s="1"/>
    </row>
    <row r="4880" spans="5:11" x14ac:dyDescent="0.3">
      <c r="E4880" s="6"/>
      <c r="F4880" s="1"/>
      <c r="K4880" s="1"/>
    </row>
    <row r="4881" spans="5:11" x14ac:dyDescent="0.3">
      <c r="E4881" s="6"/>
      <c r="F4881" s="1"/>
      <c r="K4881" s="1"/>
    </row>
    <row r="4882" spans="5:11" x14ac:dyDescent="0.3">
      <c r="E4882" s="6"/>
      <c r="F4882" s="1"/>
      <c r="K4882" s="1"/>
    </row>
    <row r="4883" spans="5:11" x14ac:dyDescent="0.3">
      <c r="E4883" s="5"/>
      <c r="F4883" s="1"/>
      <c r="K4883" s="1"/>
    </row>
    <row r="4884" spans="5:11" x14ac:dyDescent="0.3">
      <c r="E4884" s="6"/>
      <c r="F4884" s="1"/>
      <c r="K4884" s="1"/>
    </row>
    <row r="4885" spans="5:11" x14ac:dyDescent="0.3">
      <c r="E4885" s="6"/>
      <c r="F4885" s="1"/>
      <c r="K4885" s="1"/>
    </row>
    <row r="4886" spans="5:11" x14ac:dyDescent="0.3">
      <c r="E4886" s="6"/>
      <c r="F4886" s="1"/>
      <c r="K4886" s="1"/>
    </row>
    <row r="4887" spans="5:11" x14ac:dyDescent="0.3">
      <c r="E4887" s="6"/>
      <c r="F4887" s="1"/>
      <c r="K4887" s="1"/>
    </row>
    <row r="4888" spans="5:11" x14ac:dyDescent="0.3">
      <c r="E4888" s="6"/>
      <c r="F4888" s="1"/>
      <c r="K4888" s="1"/>
    </row>
    <row r="4889" spans="5:11" x14ac:dyDescent="0.3">
      <c r="E4889" s="6"/>
      <c r="F4889" s="1"/>
      <c r="K4889" s="1"/>
    </row>
    <row r="4890" spans="5:11" x14ac:dyDescent="0.3">
      <c r="E4890" s="6"/>
      <c r="F4890" s="1"/>
      <c r="K4890" s="1"/>
    </row>
    <row r="4891" spans="5:11" x14ac:dyDescent="0.3">
      <c r="E4891" s="6"/>
      <c r="F4891" s="1"/>
      <c r="K4891" s="1"/>
    </row>
    <row r="4892" spans="5:11" x14ac:dyDescent="0.3">
      <c r="E4892" s="6"/>
      <c r="F4892" s="1"/>
      <c r="K4892" s="1"/>
    </row>
    <row r="4893" spans="5:11" x14ac:dyDescent="0.3">
      <c r="E4893" s="6"/>
      <c r="F4893" s="1"/>
      <c r="K4893" s="1"/>
    </row>
    <row r="4894" spans="5:11" x14ac:dyDescent="0.3">
      <c r="E4894" s="6"/>
      <c r="F4894" s="1"/>
      <c r="K4894" s="1"/>
    </row>
    <row r="4895" spans="5:11" x14ac:dyDescent="0.3">
      <c r="E4895" s="6"/>
      <c r="F4895" s="1"/>
      <c r="K4895" s="1"/>
    </row>
    <row r="4896" spans="5:11" x14ac:dyDescent="0.3">
      <c r="E4896" s="6"/>
      <c r="F4896" s="1"/>
      <c r="K4896" s="1"/>
    </row>
    <row r="4897" spans="5:11" x14ac:dyDescent="0.3">
      <c r="E4897" s="6"/>
      <c r="F4897" s="1"/>
      <c r="K4897" s="1"/>
    </row>
    <row r="4898" spans="5:11" x14ac:dyDescent="0.3">
      <c r="E4898" s="6"/>
      <c r="F4898" s="1"/>
      <c r="K4898" s="1"/>
    </row>
    <row r="4899" spans="5:11" x14ac:dyDescent="0.3">
      <c r="E4899" s="6"/>
      <c r="F4899" s="1"/>
      <c r="K4899" s="1"/>
    </row>
    <row r="4900" spans="5:11" x14ac:dyDescent="0.3">
      <c r="E4900" s="6"/>
      <c r="F4900" s="1"/>
      <c r="K4900" s="1"/>
    </row>
    <row r="4901" spans="5:11" x14ac:dyDescent="0.3">
      <c r="E4901" s="6"/>
      <c r="F4901" s="1"/>
      <c r="K4901" s="1"/>
    </row>
    <row r="4902" spans="5:11" x14ac:dyDescent="0.3">
      <c r="E4902" s="6"/>
      <c r="F4902" s="1"/>
      <c r="K4902" s="1"/>
    </row>
    <row r="4903" spans="5:11" x14ac:dyDescent="0.3">
      <c r="E4903" s="6"/>
      <c r="F4903" s="1"/>
      <c r="K4903" s="1"/>
    </row>
    <row r="4904" spans="5:11" x14ac:dyDescent="0.3">
      <c r="E4904" s="5"/>
      <c r="F4904" s="1"/>
      <c r="K4904" s="1"/>
    </row>
    <row r="4905" spans="5:11" x14ac:dyDescent="0.3">
      <c r="E4905" s="5"/>
      <c r="F4905" s="1"/>
      <c r="K4905" s="1"/>
    </row>
    <row r="4906" spans="5:11" x14ac:dyDescent="0.3">
      <c r="E4906" s="5"/>
      <c r="F4906" s="1"/>
      <c r="K4906" s="1"/>
    </row>
    <row r="4907" spans="5:11" x14ac:dyDescent="0.3">
      <c r="E4907" s="6"/>
      <c r="F4907" s="1"/>
      <c r="K4907" s="1"/>
    </row>
    <row r="4908" spans="5:11" x14ac:dyDescent="0.3">
      <c r="E4908" s="6"/>
      <c r="F4908" s="1"/>
      <c r="K4908" s="1"/>
    </row>
    <row r="4909" spans="5:11" x14ac:dyDescent="0.3">
      <c r="E4909" s="6"/>
      <c r="F4909" s="1"/>
      <c r="K4909" s="1"/>
    </row>
    <row r="4910" spans="5:11" x14ac:dyDescent="0.3">
      <c r="E4910" s="6"/>
      <c r="F4910" s="1"/>
      <c r="K4910" s="1"/>
    </row>
    <row r="4911" spans="5:11" x14ac:dyDescent="0.3">
      <c r="E4911" s="6"/>
      <c r="F4911" s="1"/>
      <c r="K4911" s="1"/>
    </row>
    <row r="4912" spans="5:11" x14ac:dyDescent="0.3">
      <c r="E4912" s="6"/>
      <c r="F4912" s="1"/>
      <c r="K4912" s="1"/>
    </row>
    <row r="4913" spans="5:11" x14ac:dyDescent="0.3">
      <c r="E4913" s="6"/>
      <c r="F4913" s="1"/>
      <c r="K4913" s="1"/>
    </row>
    <row r="4914" spans="5:11" x14ac:dyDescent="0.3">
      <c r="E4914" s="6"/>
      <c r="F4914" s="1"/>
      <c r="K4914" s="1"/>
    </row>
    <row r="4915" spans="5:11" x14ac:dyDescent="0.3">
      <c r="E4915" s="6"/>
      <c r="F4915" s="1"/>
      <c r="K4915" s="1"/>
    </row>
    <row r="4916" spans="5:11" x14ac:dyDescent="0.3">
      <c r="E4916" s="6"/>
      <c r="F4916" s="1"/>
      <c r="K4916" s="1"/>
    </row>
    <row r="4917" spans="5:11" x14ac:dyDescent="0.3">
      <c r="E4917" s="6"/>
      <c r="F4917" s="1"/>
      <c r="K4917" s="1"/>
    </row>
    <row r="4918" spans="5:11" x14ac:dyDescent="0.3">
      <c r="E4918" s="6"/>
      <c r="F4918" s="1"/>
      <c r="K4918" s="1"/>
    </row>
    <row r="4919" spans="5:11" x14ac:dyDescent="0.3">
      <c r="E4919" s="6"/>
      <c r="F4919" s="1"/>
      <c r="K4919" s="1"/>
    </row>
    <row r="4920" spans="5:11" x14ac:dyDescent="0.3">
      <c r="E4920" s="6"/>
      <c r="F4920" s="1"/>
      <c r="K4920" s="1"/>
    </row>
    <row r="4921" spans="5:11" x14ac:dyDescent="0.3">
      <c r="E4921" s="6"/>
      <c r="F4921" s="1"/>
      <c r="K4921" s="1"/>
    </row>
    <row r="4922" spans="5:11" x14ac:dyDescent="0.3">
      <c r="E4922" s="6"/>
      <c r="F4922" s="1"/>
      <c r="K4922" s="1"/>
    </row>
    <row r="4923" spans="5:11" x14ac:dyDescent="0.3">
      <c r="E4923" s="5"/>
      <c r="F4923" s="1"/>
      <c r="K4923" s="1"/>
    </row>
    <row r="4924" spans="5:11" x14ac:dyDescent="0.3">
      <c r="E4924" s="6"/>
      <c r="F4924" s="1"/>
      <c r="K4924" s="1"/>
    </row>
    <row r="4925" spans="5:11" x14ac:dyDescent="0.3">
      <c r="E4925" s="6"/>
      <c r="F4925" s="1"/>
      <c r="K4925" s="1"/>
    </row>
    <row r="4926" spans="5:11" x14ac:dyDescent="0.3">
      <c r="E4926" s="6"/>
      <c r="F4926" s="1"/>
      <c r="K4926" s="1"/>
    </row>
    <row r="4927" spans="5:11" x14ac:dyDescent="0.3">
      <c r="E4927" s="6"/>
      <c r="F4927" s="1"/>
      <c r="K4927" s="1"/>
    </row>
    <row r="4928" spans="5:11" x14ac:dyDescent="0.3">
      <c r="E4928" s="6"/>
      <c r="F4928" s="1"/>
      <c r="K4928" s="1"/>
    </row>
    <row r="4929" spans="5:11" x14ac:dyDescent="0.3">
      <c r="E4929" s="6"/>
      <c r="F4929" s="1"/>
      <c r="K4929" s="1"/>
    </row>
    <row r="4930" spans="5:11" x14ac:dyDescent="0.3">
      <c r="E4930" s="6"/>
      <c r="F4930" s="1"/>
      <c r="K4930" s="1"/>
    </row>
    <row r="4931" spans="5:11" x14ac:dyDescent="0.3">
      <c r="E4931" s="6"/>
      <c r="F4931" s="1"/>
      <c r="K4931" s="1"/>
    </row>
    <row r="4932" spans="5:11" x14ac:dyDescent="0.3">
      <c r="E4932" s="6"/>
      <c r="F4932" s="1"/>
      <c r="K4932" s="1"/>
    </row>
    <row r="4933" spans="5:11" x14ac:dyDescent="0.3">
      <c r="E4933" s="6"/>
      <c r="F4933" s="1"/>
      <c r="K4933" s="1"/>
    </row>
    <row r="4934" spans="5:11" x14ac:dyDescent="0.3">
      <c r="E4934" s="6"/>
      <c r="F4934" s="1"/>
      <c r="K4934" s="1"/>
    </row>
    <row r="4935" spans="5:11" x14ac:dyDescent="0.3">
      <c r="E4935" s="6"/>
      <c r="F4935" s="1"/>
      <c r="K4935" s="1"/>
    </row>
    <row r="4936" spans="5:11" x14ac:dyDescent="0.3">
      <c r="E4936" s="6"/>
      <c r="F4936" s="1"/>
      <c r="K4936" s="1"/>
    </row>
    <row r="4937" spans="5:11" x14ac:dyDescent="0.3">
      <c r="E4937" s="6"/>
      <c r="F4937" s="1"/>
      <c r="K4937" s="1"/>
    </row>
    <row r="4938" spans="5:11" x14ac:dyDescent="0.3">
      <c r="E4938" s="6"/>
      <c r="F4938" s="1"/>
      <c r="K4938" s="1"/>
    </row>
    <row r="4939" spans="5:11" x14ac:dyDescent="0.3">
      <c r="E4939" s="6"/>
      <c r="F4939" s="1"/>
      <c r="K4939" s="1"/>
    </row>
    <row r="4940" spans="5:11" x14ac:dyDescent="0.3">
      <c r="E4940" s="5"/>
      <c r="F4940" s="1"/>
      <c r="K4940" s="1"/>
    </row>
    <row r="4941" spans="5:11" x14ac:dyDescent="0.3">
      <c r="E4941" s="5"/>
      <c r="F4941" s="1"/>
      <c r="K4941" s="1"/>
    </row>
    <row r="4942" spans="5:11" x14ac:dyDescent="0.3">
      <c r="E4942" s="6"/>
      <c r="F4942" s="1"/>
      <c r="K4942" s="1"/>
    </row>
    <row r="4943" spans="5:11" x14ac:dyDescent="0.3">
      <c r="E4943" s="6"/>
      <c r="F4943" s="1"/>
      <c r="K4943" s="1"/>
    </row>
    <row r="4944" spans="5:11" x14ac:dyDescent="0.3">
      <c r="E4944" s="6"/>
      <c r="F4944" s="1"/>
      <c r="K4944" s="1"/>
    </row>
    <row r="4945" spans="5:11" x14ac:dyDescent="0.3">
      <c r="E4945" s="6"/>
      <c r="F4945" s="1"/>
      <c r="K4945" s="1"/>
    </row>
    <row r="4946" spans="5:11" x14ac:dyDescent="0.3">
      <c r="E4946" s="6"/>
      <c r="F4946" s="1"/>
      <c r="K4946" s="1"/>
    </row>
    <row r="4947" spans="5:11" x14ac:dyDescent="0.3">
      <c r="E4947" s="6"/>
      <c r="F4947" s="1"/>
      <c r="K4947" s="1"/>
    </row>
    <row r="4948" spans="5:11" x14ac:dyDescent="0.3">
      <c r="E4948" s="6"/>
      <c r="F4948" s="1"/>
      <c r="K4948" s="1"/>
    </row>
    <row r="4949" spans="5:11" x14ac:dyDescent="0.3">
      <c r="E4949" s="6"/>
      <c r="F4949" s="1"/>
      <c r="K4949" s="1"/>
    </row>
    <row r="4950" spans="5:11" x14ac:dyDescent="0.3">
      <c r="E4950" s="6"/>
      <c r="F4950" s="1"/>
      <c r="K4950" s="1"/>
    </row>
    <row r="4951" spans="5:11" x14ac:dyDescent="0.3">
      <c r="E4951" s="6"/>
      <c r="F4951" s="1"/>
      <c r="K4951" s="1"/>
    </row>
    <row r="4952" spans="5:11" x14ac:dyDescent="0.3">
      <c r="E4952" s="6"/>
      <c r="F4952" s="1"/>
      <c r="K4952" s="1"/>
    </row>
    <row r="4953" spans="5:11" x14ac:dyDescent="0.3">
      <c r="E4953" s="6"/>
      <c r="F4953" s="1"/>
      <c r="K4953" s="1"/>
    </row>
    <row r="4954" spans="5:11" x14ac:dyDescent="0.3">
      <c r="E4954" s="6"/>
      <c r="F4954" s="1"/>
      <c r="K4954" s="1"/>
    </row>
    <row r="4955" spans="5:11" x14ac:dyDescent="0.3">
      <c r="E4955" s="6"/>
      <c r="F4955" s="1"/>
      <c r="K4955" s="1"/>
    </row>
    <row r="4956" spans="5:11" x14ac:dyDescent="0.3">
      <c r="E4956" s="6"/>
      <c r="F4956" s="1"/>
      <c r="K4956" s="1"/>
    </row>
    <row r="4957" spans="5:11" x14ac:dyDescent="0.3">
      <c r="E4957" s="6"/>
      <c r="F4957" s="1"/>
      <c r="K4957" s="1"/>
    </row>
    <row r="4958" spans="5:11" x14ac:dyDescent="0.3">
      <c r="E4958" s="6"/>
      <c r="F4958" s="1"/>
      <c r="K4958" s="1"/>
    </row>
    <row r="4959" spans="5:11" x14ac:dyDescent="0.3">
      <c r="E4959" s="6"/>
      <c r="F4959" s="1"/>
      <c r="K4959" s="1"/>
    </row>
    <row r="4960" spans="5:11" x14ac:dyDescent="0.3">
      <c r="E4960" s="6"/>
      <c r="F4960" s="1"/>
      <c r="K4960" s="1"/>
    </row>
    <row r="4961" spans="5:11" x14ac:dyDescent="0.3">
      <c r="E4961" s="6"/>
      <c r="F4961" s="1"/>
      <c r="K4961" s="1"/>
    </row>
    <row r="4962" spans="5:11" x14ac:dyDescent="0.3">
      <c r="E4962" s="6"/>
      <c r="F4962" s="1"/>
      <c r="K4962" s="1"/>
    </row>
    <row r="4963" spans="5:11" x14ac:dyDescent="0.3">
      <c r="E4963" s="5"/>
      <c r="F4963" s="1"/>
      <c r="K4963" s="1"/>
    </row>
    <row r="4964" spans="5:11" x14ac:dyDescent="0.3">
      <c r="E4964" s="5"/>
      <c r="F4964" s="1"/>
      <c r="K4964" s="1"/>
    </row>
    <row r="4965" spans="5:11" x14ac:dyDescent="0.3">
      <c r="E4965" s="6"/>
      <c r="F4965" s="1"/>
      <c r="K4965" s="1"/>
    </row>
    <row r="4966" spans="5:11" x14ac:dyDescent="0.3">
      <c r="E4966" s="6"/>
      <c r="F4966" s="1"/>
      <c r="K4966" s="1"/>
    </row>
    <row r="4967" spans="5:11" x14ac:dyDescent="0.3">
      <c r="E4967" s="6"/>
      <c r="F4967" s="1"/>
      <c r="K4967" s="1"/>
    </row>
    <row r="4968" spans="5:11" x14ac:dyDescent="0.3">
      <c r="E4968" s="6"/>
      <c r="F4968" s="1"/>
      <c r="K4968" s="1"/>
    </row>
    <row r="4969" spans="5:11" x14ac:dyDescent="0.3">
      <c r="E4969" s="6"/>
      <c r="F4969" s="1"/>
      <c r="K4969" s="1"/>
    </row>
    <row r="4970" spans="5:11" x14ac:dyDescent="0.3">
      <c r="E4970" s="6"/>
      <c r="F4970" s="1"/>
      <c r="K4970" s="1"/>
    </row>
    <row r="4971" spans="5:11" x14ac:dyDescent="0.3">
      <c r="E4971" s="6"/>
      <c r="F4971" s="1"/>
      <c r="K4971" s="1"/>
    </row>
    <row r="4972" spans="5:11" x14ac:dyDescent="0.3">
      <c r="E4972" s="6"/>
      <c r="F4972" s="1"/>
      <c r="K4972" s="1"/>
    </row>
    <row r="4973" spans="5:11" x14ac:dyDescent="0.3">
      <c r="E4973" s="6"/>
      <c r="F4973" s="1"/>
      <c r="K4973" s="1"/>
    </row>
    <row r="4974" spans="5:11" x14ac:dyDescent="0.3">
      <c r="E4974" s="6"/>
      <c r="F4974" s="1"/>
      <c r="K4974" s="1"/>
    </row>
    <row r="4975" spans="5:11" x14ac:dyDescent="0.3">
      <c r="E4975" s="6"/>
      <c r="F4975" s="1"/>
      <c r="K4975" s="1"/>
    </row>
    <row r="4976" spans="5:11" x14ac:dyDescent="0.3">
      <c r="E4976" s="6"/>
      <c r="F4976" s="1"/>
      <c r="K4976" s="1"/>
    </row>
    <row r="4977" spans="5:11" x14ac:dyDescent="0.3">
      <c r="E4977" s="6"/>
      <c r="F4977" s="1"/>
      <c r="K4977" s="1"/>
    </row>
    <row r="4978" spans="5:11" x14ac:dyDescent="0.3">
      <c r="E4978" s="6"/>
      <c r="F4978" s="1"/>
      <c r="K4978" s="1"/>
    </row>
    <row r="4979" spans="5:11" x14ac:dyDescent="0.3">
      <c r="E4979" s="6"/>
      <c r="F4979" s="1"/>
      <c r="K4979" s="1"/>
    </row>
    <row r="4980" spans="5:11" x14ac:dyDescent="0.3">
      <c r="E4980" s="6"/>
      <c r="F4980" s="1"/>
      <c r="K4980" s="1"/>
    </row>
    <row r="4981" spans="5:11" x14ac:dyDescent="0.3">
      <c r="E4981" s="5"/>
      <c r="F4981" s="1"/>
      <c r="K4981" s="1"/>
    </row>
    <row r="4982" spans="5:11" x14ac:dyDescent="0.3">
      <c r="E4982" s="5"/>
      <c r="F4982" s="1"/>
      <c r="K4982" s="1"/>
    </row>
    <row r="4983" spans="5:11" x14ac:dyDescent="0.3">
      <c r="E4983" s="6"/>
      <c r="F4983" s="1"/>
      <c r="K4983" s="1"/>
    </row>
    <row r="4984" spans="5:11" x14ac:dyDescent="0.3">
      <c r="E4984" s="6"/>
      <c r="F4984" s="1"/>
      <c r="K4984" s="1"/>
    </row>
    <row r="4985" spans="5:11" x14ac:dyDescent="0.3">
      <c r="E4985" s="6"/>
      <c r="F4985" s="1"/>
      <c r="K4985" s="1"/>
    </row>
    <row r="4986" spans="5:11" x14ac:dyDescent="0.3">
      <c r="E4986" s="6"/>
      <c r="F4986" s="1"/>
      <c r="K4986" s="1"/>
    </row>
    <row r="4987" spans="5:11" x14ac:dyDescent="0.3">
      <c r="E4987" s="6"/>
      <c r="F4987" s="1"/>
      <c r="K4987" s="1"/>
    </row>
    <row r="4988" spans="5:11" x14ac:dyDescent="0.3">
      <c r="E4988" s="6"/>
      <c r="F4988" s="1"/>
      <c r="K4988" s="1"/>
    </row>
    <row r="4989" spans="5:11" x14ac:dyDescent="0.3">
      <c r="E4989" s="6"/>
      <c r="F4989" s="1"/>
      <c r="K4989" s="1"/>
    </row>
    <row r="4990" spans="5:11" x14ac:dyDescent="0.3">
      <c r="E4990" s="6"/>
      <c r="F4990" s="1"/>
      <c r="K4990" s="1"/>
    </row>
    <row r="4991" spans="5:11" x14ac:dyDescent="0.3">
      <c r="E4991" s="6"/>
      <c r="F4991" s="1"/>
      <c r="K4991" s="1"/>
    </row>
    <row r="4992" spans="5:11" x14ac:dyDescent="0.3">
      <c r="E4992" s="6"/>
      <c r="F4992" s="1"/>
      <c r="K4992" s="1"/>
    </row>
    <row r="4993" spans="5:11" x14ac:dyDescent="0.3">
      <c r="E4993" s="6"/>
      <c r="F4993" s="1"/>
      <c r="K4993" s="1"/>
    </row>
    <row r="4994" spans="5:11" x14ac:dyDescent="0.3">
      <c r="E4994" s="6"/>
      <c r="F4994" s="1"/>
      <c r="K4994" s="1"/>
    </row>
    <row r="4995" spans="5:11" x14ac:dyDescent="0.3">
      <c r="E4995" s="6"/>
      <c r="F4995" s="1"/>
      <c r="K4995" s="1"/>
    </row>
    <row r="4996" spans="5:11" x14ac:dyDescent="0.3">
      <c r="E4996" s="6"/>
      <c r="F4996" s="1"/>
      <c r="K4996" s="1"/>
    </row>
    <row r="4997" spans="5:11" x14ac:dyDescent="0.3">
      <c r="E4997" s="6"/>
      <c r="F4997" s="1"/>
      <c r="K4997" s="1"/>
    </row>
    <row r="4998" spans="5:11" x14ac:dyDescent="0.3">
      <c r="E4998" s="6"/>
      <c r="F4998" s="1"/>
      <c r="K4998" s="1"/>
    </row>
    <row r="4999" spans="5:11" x14ac:dyDescent="0.3">
      <c r="E4999" s="6"/>
      <c r="F4999" s="1"/>
      <c r="K4999" s="1"/>
    </row>
    <row r="5000" spans="5:11" x14ac:dyDescent="0.3">
      <c r="E5000" s="6"/>
      <c r="F5000" s="1"/>
      <c r="K5000" s="1"/>
    </row>
    <row r="5001" spans="5:11" x14ac:dyDescent="0.3">
      <c r="E5001" s="6"/>
      <c r="F5001" s="1"/>
      <c r="K5001" s="1"/>
    </row>
    <row r="5002" spans="5:11" x14ac:dyDescent="0.3">
      <c r="E5002" s="6"/>
      <c r="F5002" s="1"/>
      <c r="K5002" s="1"/>
    </row>
    <row r="5003" spans="5:11" x14ac:dyDescent="0.3">
      <c r="E5003" s="6"/>
      <c r="F5003" s="1"/>
      <c r="K5003" s="1"/>
    </row>
    <row r="5004" spans="5:11" x14ac:dyDescent="0.3">
      <c r="E5004" s="5"/>
      <c r="F5004" s="1"/>
      <c r="K5004" s="1"/>
    </row>
    <row r="5005" spans="5:11" x14ac:dyDescent="0.3">
      <c r="E5005" s="6"/>
      <c r="F5005" s="1"/>
      <c r="K5005" s="1"/>
    </row>
    <row r="5006" spans="5:11" x14ac:dyDescent="0.3">
      <c r="E5006" s="6"/>
      <c r="F5006" s="1"/>
      <c r="K5006" s="1"/>
    </row>
    <row r="5007" spans="5:11" x14ac:dyDescent="0.3">
      <c r="E5007" s="6"/>
      <c r="F5007" s="1"/>
      <c r="K5007" s="1"/>
    </row>
    <row r="5008" spans="5:11" x14ac:dyDescent="0.3">
      <c r="E5008" s="6"/>
      <c r="F5008" s="1"/>
      <c r="K5008" s="1"/>
    </row>
    <row r="5009" spans="5:11" x14ac:dyDescent="0.3">
      <c r="E5009" s="6"/>
      <c r="F5009" s="1"/>
      <c r="K5009" s="1"/>
    </row>
    <row r="5010" spans="5:11" x14ac:dyDescent="0.3">
      <c r="E5010" s="6"/>
      <c r="F5010" s="1"/>
      <c r="K5010" s="1"/>
    </row>
    <row r="5011" spans="5:11" x14ac:dyDescent="0.3">
      <c r="E5011" s="6"/>
      <c r="F5011" s="1"/>
      <c r="K5011" s="1"/>
    </row>
    <row r="5012" spans="5:11" x14ac:dyDescent="0.3">
      <c r="E5012" s="6"/>
      <c r="F5012" s="1"/>
      <c r="K5012" s="1"/>
    </row>
    <row r="5013" spans="5:11" x14ac:dyDescent="0.3">
      <c r="E5013" s="6"/>
      <c r="F5013" s="1"/>
      <c r="K5013" s="1"/>
    </row>
    <row r="5014" spans="5:11" x14ac:dyDescent="0.3">
      <c r="E5014" s="6"/>
      <c r="F5014" s="1"/>
      <c r="K5014" s="1"/>
    </row>
    <row r="5015" spans="5:11" x14ac:dyDescent="0.3">
      <c r="E5015" s="6"/>
      <c r="F5015" s="1"/>
      <c r="K5015" s="1"/>
    </row>
    <row r="5016" spans="5:11" x14ac:dyDescent="0.3">
      <c r="E5016" s="6"/>
      <c r="F5016" s="1"/>
      <c r="K5016" s="1"/>
    </row>
    <row r="5017" spans="5:11" x14ac:dyDescent="0.3">
      <c r="E5017" s="6"/>
      <c r="F5017" s="1"/>
      <c r="K5017" s="1"/>
    </row>
    <row r="5018" spans="5:11" x14ac:dyDescent="0.3">
      <c r="E5018" s="6"/>
      <c r="F5018" s="1"/>
      <c r="K5018" s="1"/>
    </row>
    <row r="5019" spans="5:11" x14ac:dyDescent="0.3">
      <c r="E5019" s="6"/>
      <c r="F5019" s="1"/>
      <c r="K5019" s="1"/>
    </row>
    <row r="5020" spans="5:11" x14ac:dyDescent="0.3">
      <c r="E5020" s="6"/>
      <c r="F5020" s="1"/>
      <c r="K5020" s="1"/>
    </row>
    <row r="5021" spans="5:11" x14ac:dyDescent="0.3">
      <c r="E5021" s="6"/>
      <c r="F5021" s="1"/>
      <c r="K5021" s="1"/>
    </row>
    <row r="5022" spans="5:11" x14ac:dyDescent="0.3">
      <c r="E5022" s="6"/>
      <c r="F5022" s="1"/>
      <c r="K5022" s="1"/>
    </row>
    <row r="5023" spans="5:11" x14ac:dyDescent="0.3">
      <c r="E5023" s="6"/>
      <c r="F5023" s="1"/>
      <c r="K5023" s="1"/>
    </row>
    <row r="5024" spans="5:11" x14ac:dyDescent="0.3">
      <c r="E5024" s="6"/>
      <c r="F5024" s="1"/>
      <c r="K5024" s="1"/>
    </row>
    <row r="5025" spans="5:11" x14ac:dyDescent="0.3">
      <c r="E5025" s="6"/>
      <c r="F5025" s="1"/>
      <c r="K5025" s="1"/>
    </row>
    <row r="5026" spans="5:11" x14ac:dyDescent="0.3">
      <c r="E5026" s="6"/>
      <c r="F5026" s="1"/>
      <c r="K5026" s="1"/>
    </row>
    <row r="5027" spans="5:11" x14ac:dyDescent="0.3">
      <c r="E5027" s="6"/>
      <c r="F5027" s="1"/>
      <c r="K5027" s="1"/>
    </row>
    <row r="5028" spans="5:11" x14ac:dyDescent="0.3">
      <c r="E5028" s="6"/>
      <c r="F5028" s="1"/>
      <c r="K5028" s="1"/>
    </row>
    <row r="5029" spans="5:11" x14ac:dyDescent="0.3">
      <c r="E5029" s="6"/>
      <c r="F5029" s="1"/>
      <c r="K5029" s="1"/>
    </row>
    <row r="5030" spans="5:11" x14ac:dyDescent="0.3">
      <c r="E5030" s="6"/>
      <c r="F5030" s="1"/>
      <c r="K5030" s="1"/>
    </row>
    <row r="5031" spans="5:11" x14ac:dyDescent="0.3">
      <c r="E5031" s="6"/>
      <c r="F5031" s="1"/>
      <c r="K5031" s="1"/>
    </row>
    <row r="5032" spans="5:11" x14ac:dyDescent="0.3">
      <c r="E5032" s="6"/>
      <c r="F5032" s="1"/>
      <c r="K5032" s="1"/>
    </row>
    <row r="5033" spans="5:11" x14ac:dyDescent="0.3">
      <c r="E5033" s="6"/>
      <c r="F5033" s="1"/>
      <c r="K5033" s="1"/>
    </row>
    <row r="5034" spans="5:11" x14ac:dyDescent="0.3">
      <c r="E5034" s="6"/>
      <c r="F5034" s="1"/>
      <c r="K5034" s="1"/>
    </row>
    <row r="5035" spans="5:11" x14ac:dyDescent="0.3">
      <c r="E5035" s="6"/>
      <c r="F5035" s="1"/>
      <c r="K5035" s="1"/>
    </row>
    <row r="5036" spans="5:11" x14ac:dyDescent="0.3">
      <c r="E5036" s="6"/>
      <c r="F5036" s="1"/>
      <c r="K5036" s="1"/>
    </row>
    <row r="5037" spans="5:11" x14ac:dyDescent="0.3">
      <c r="E5037" s="6"/>
      <c r="F5037" s="1"/>
      <c r="K5037" s="1"/>
    </row>
    <row r="5038" spans="5:11" x14ac:dyDescent="0.3">
      <c r="E5038" s="6"/>
      <c r="F5038" s="1"/>
      <c r="K5038" s="1"/>
    </row>
    <row r="5039" spans="5:11" x14ac:dyDescent="0.3">
      <c r="E5039" s="6"/>
      <c r="F5039" s="1"/>
      <c r="K5039" s="1"/>
    </row>
    <row r="5040" spans="5:11" x14ac:dyDescent="0.3">
      <c r="E5040" s="6"/>
      <c r="F5040" s="1"/>
      <c r="K5040" s="1"/>
    </row>
    <row r="5041" spans="5:11" x14ac:dyDescent="0.3">
      <c r="E5041" s="6"/>
      <c r="F5041" s="1"/>
      <c r="K5041" s="1"/>
    </row>
    <row r="5042" spans="5:11" x14ac:dyDescent="0.3">
      <c r="E5042" s="5"/>
      <c r="F5042" s="1"/>
      <c r="K5042" s="1"/>
    </row>
    <row r="5043" spans="5:11" x14ac:dyDescent="0.3">
      <c r="E5043" s="5"/>
      <c r="F5043" s="1"/>
      <c r="K5043" s="1"/>
    </row>
    <row r="5044" spans="5:11" x14ac:dyDescent="0.3">
      <c r="E5044" s="5"/>
      <c r="F5044" s="1"/>
      <c r="K5044" s="1"/>
    </row>
    <row r="5045" spans="5:11" x14ac:dyDescent="0.3">
      <c r="E5045" s="5"/>
      <c r="F5045" s="1"/>
      <c r="K5045" s="1"/>
    </row>
    <row r="5046" spans="5:11" x14ac:dyDescent="0.3">
      <c r="E5046" s="5"/>
      <c r="F5046" s="1"/>
      <c r="K5046" s="1"/>
    </row>
    <row r="5047" spans="5:11" x14ac:dyDescent="0.3">
      <c r="E5047" s="5"/>
      <c r="F5047" s="1"/>
      <c r="K5047" s="1"/>
    </row>
    <row r="5048" spans="5:11" x14ac:dyDescent="0.3">
      <c r="E5048" s="6"/>
      <c r="F5048" s="1"/>
      <c r="K5048" s="1"/>
    </row>
    <row r="5049" spans="5:11" x14ac:dyDescent="0.3">
      <c r="E5049" s="6"/>
      <c r="F5049" s="1"/>
      <c r="K5049" s="1"/>
    </row>
    <row r="5050" spans="5:11" x14ac:dyDescent="0.3">
      <c r="E5050" s="6"/>
      <c r="F5050" s="1"/>
      <c r="K5050" s="1"/>
    </row>
    <row r="5051" spans="5:11" x14ac:dyDescent="0.3">
      <c r="E5051" s="6"/>
      <c r="F5051" s="1"/>
      <c r="K5051" s="1"/>
    </row>
    <row r="5052" spans="5:11" x14ac:dyDescent="0.3">
      <c r="E5052" s="6"/>
      <c r="F5052" s="1"/>
      <c r="K5052" s="1"/>
    </row>
    <row r="5053" spans="5:11" x14ac:dyDescent="0.3">
      <c r="E5053" s="6"/>
      <c r="F5053" s="1"/>
      <c r="K5053" s="1"/>
    </row>
    <row r="5054" spans="5:11" x14ac:dyDescent="0.3">
      <c r="E5054" s="6"/>
      <c r="F5054" s="1"/>
      <c r="K5054" s="1"/>
    </row>
    <row r="5055" spans="5:11" x14ac:dyDescent="0.3">
      <c r="E5055" s="6"/>
      <c r="F5055" s="1"/>
      <c r="K5055" s="1"/>
    </row>
    <row r="5056" spans="5:11" x14ac:dyDescent="0.3">
      <c r="E5056" s="6"/>
      <c r="F5056" s="1"/>
      <c r="K5056" s="1"/>
    </row>
    <row r="5057" spans="5:11" x14ac:dyDescent="0.3">
      <c r="E5057" s="6"/>
      <c r="F5057" s="1"/>
      <c r="K5057" s="1"/>
    </row>
    <row r="5058" spans="5:11" x14ac:dyDescent="0.3">
      <c r="E5058" s="6"/>
      <c r="F5058" s="1"/>
      <c r="K5058" s="1"/>
    </row>
    <row r="5059" spans="5:11" x14ac:dyDescent="0.3">
      <c r="E5059" s="6"/>
      <c r="F5059" s="1"/>
      <c r="K5059" s="1"/>
    </row>
    <row r="5060" spans="5:11" x14ac:dyDescent="0.3">
      <c r="E5060" s="6"/>
      <c r="F5060" s="1"/>
      <c r="K5060" s="1"/>
    </row>
    <row r="5061" spans="5:11" x14ac:dyDescent="0.3">
      <c r="E5061" s="6"/>
      <c r="F5061" s="1"/>
      <c r="K5061" s="1"/>
    </row>
    <row r="5062" spans="5:11" x14ac:dyDescent="0.3">
      <c r="E5062" s="6"/>
      <c r="F5062" s="1"/>
      <c r="K5062" s="1"/>
    </row>
    <row r="5063" spans="5:11" x14ac:dyDescent="0.3">
      <c r="E5063" s="6"/>
      <c r="F5063" s="1"/>
      <c r="K5063" s="1"/>
    </row>
    <row r="5064" spans="5:11" x14ac:dyDescent="0.3">
      <c r="E5064" s="6"/>
      <c r="F5064" s="1"/>
      <c r="K5064" s="1"/>
    </row>
    <row r="5065" spans="5:11" x14ac:dyDescent="0.3">
      <c r="E5065" s="6"/>
      <c r="F5065" s="1"/>
      <c r="K5065" s="1"/>
    </row>
    <row r="5066" spans="5:11" x14ac:dyDescent="0.3">
      <c r="E5066" s="6"/>
      <c r="F5066" s="1"/>
      <c r="K5066" s="1"/>
    </row>
    <row r="5067" spans="5:11" x14ac:dyDescent="0.3">
      <c r="E5067" s="6"/>
      <c r="F5067" s="1"/>
      <c r="K5067" s="1"/>
    </row>
    <row r="5068" spans="5:11" x14ac:dyDescent="0.3">
      <c r="E5068" s="6"/>
      <c r="F5068" s="1"/>
      <c r="K5068" s="1"/>
    </row>
    <row r="5069" spans="5:11" x14ac:dyDescent="0.3">
      <c r="E5069" s="6"/>
      <c r="F5069" s="1"/>
      <c r="K5069" s="1"/>
    </row>
    <row r="5070" spans="5:11" x14ac:dyDescent="0.3">
      <c r="E5070" s="6"/>
      <c r="F5070" s="1"/>
      <c r="K5070" s="1"/>
    </row>
    <row r="5071" spans="5:11" x14ac:dyDescent="0.3">
      <c r="E5071" s="6"/>
      <c r="F5071" s="1"/>
      <c r="K5071" s="1"/>
    </row>
    <row r="5072" spans="5:11" x14ac:dyDescent="0.3">
      <c r="E5072" s="6"/>
      <c r="F5072" s="1"/>
      <c r="K5072" s="1"/>
    </row>
    <row r="5073" spans="5:11" x14ac:dyDescent="0.3">
      <c r="E5073" s="5"/>
      <c r="F5073" s="1"/>
      <c r="K5073" s="1"/>
    </row>
    <row r="5074" spans="5:11" x14ac:dyDescent="0.3">
      <c r="E5074" s="5"/>
      <c r="F5074" s="1"/>
      <c r="K5074" s="1"/>
    </row>
    <row r="5075" spans="5:11" x14ac:dyDescent="0.3">
      <c r="E5075" s="6"/>
      <c r="F5075" s="1"/>
      <c r="K5075" s="1"/>
    </row>
    <row r="5076" spans="5:11" x14ac:dyDescent="0.3">
      <c r="E5076" s="6"/>
      <c r="F5076" s="1"/>
      <c r="K5076" s="1"/>
    </row>
    <row r="5077" spans="5:11" x14ac:dyDescent="0.3">
      <c r="E5077" s="6"/>
      <c r="F5077" s="1"/>
      <c r="K5077" s="1"/>
    </row>
    <row r="5078" spans="5:11" x14ac:dyDescent="0.3">
      <c r="E5078" s="6"/>
      <c r="F5078" s="1"/>
      <c r="K5078" s="1"/>
    </row>
    <row r="5079" spans="5:11" x14ac:dyDescent="0.3">
      <c r="E5079" s="6"/>
      <c r="F5079" s="1"/>
      <c r="K5079" s="1"/>
    </row>
    <row r="5080" spans="5:11" x14ac:dyDescent="0.3">
      <c r="E5080" s="6"/>
      <c r="F5080" s="1"/>
      <c r="K5080" s="1"/>
    </row>
    <row r="5081" spans="5:11" x14ac:dyDescent="0.3">
      <c r="E5081" s="6"/>
      <c r="F5081" s="1"/>
      <c r="K5081" s="1"/>
    </row>
    <row r="5082" spans="5:11" x14ac:dyDescent="0.3">
      <c r="E5082" s="6"/>
      <c r="F5082" s="1"/>
      <c r="K5082" s="1"/>
    </row>
    <row r="5083" spans="5:11" x14ac:dyDescent="0.3">
      <c r="E5083" s="6"/>
      <c r="F5083" s="1"/>
      <c r="K5083" s="1"/>
    </row>
    <row r="5084" spans="5:11" x14ac:dyDescent="0.3">
      <c r="E5084" s="6"/>
      <c r="F5084" s="1"/>
      <c r="K5084" s="1"/>
    </row>
    <row r="5085" spans="5:11" x14ac:dyDescent="0.3">
      <c r="E5085" s="6"/>
      <c r="F5085" s="1"/>
      <c r="K5085" s="1"/>
    </row>
    <row r="5086" spans="5:11" x14ac:dyDescent="0.3">
      <c r="E5086" s="6"/>
      <c r="F5086" s="1"/>
      <c r="K5086" s="1"/>
    </row>
    <row r="5087" spans="5:11" x14ac:dyDescent="0.3">
      <c r="E5087" s="6"/>
      <c r="F5087" s="1"/>
      <c r="K5087" s="1"/>
    </row>
    <row r="5088" spans="5:11" x14ac:dyDescent="0.3">
      <c r="E5088" s="6"/>
      <c r="F5088" s="1"/>
      <c r="K5088" s="1"/>
    </row>
    <row r="5089" spans="5:11" x14ac:dyDescent="0.3">
      <c r="E5089" s="6"/>
      <c r="F5089" s="1"/>
      <c r="K5089" s="1"/>
    </row>
    <row r="5090" spans="5:11" x14ac:dyDescent="0.3">
      <c r="E5090" s="6"/>
      <c r="F5090" s="1"/>
      <c r="K5090" s="1"/>
    </row>
    <row r="5091" spans="5:11" x14ac:dyDescent="0.3">
      <c r="E5091" s="6"/>
      <c r="F5091" s="1"/>
      <c r="K5091" s="1"/>
    </row>
    <row r="5092" spans="5:11" x14ac:dyDescent="0.3">
      <c r="E5092" s="6"/>
      <c r="F5092" s="1"/>
      <c r="K5092" s="1"/>
    </row>
    <row r="5093" spans="5:11" x14ac:dyDescent="0.3">
      <c r="E5093" s="6"/>
      <c r="F5093" s="1"/>
      <c r="K5093" s="1"/>
    </row>
    <row r="5094" spans="5:11" x14ac:dyDescent="0.3">
      <c r="E5094" s="6"/>
      <c r="F5094" s="1"/>
      <c r="K5094" s="1"/>
    </row>
    <row r="5095" spans="5:11" x14ac:dyDescent="0.3">
      <c r="E5095" s="6"/>
      <c r="F5095" s="1"/>
      <c r="K5095" s="1"/>
    </row>
    <row r="5096" spans="5:11" x14ac:dyDescent="0.3">
      <c r="E5096" s="6"/>
      <c r="F5096" s="1"/>
      <c r="K5096" s="1"/>
    </row>
    <row r="5097" spans="5:11" x14ac:dyDescent="0.3">
      <c r="E5097" s="6"/>
      <c r="F5097" s="1"/>
      <c r="K5097" s="1"/>
    </row>
    <row r="5098" spans="5:11" x14ac:dyDescent="0.3">
      <c r="E5098" s="6"/>
      <c r="F5098" s="1"/>
      <c r="K5098" s="1"/>
    </row>
    <row r="5099" spans="5:11" x14ac:dyDescent="0.3">
      <c r="E5099" s="6"/>
      <c r="F5099" s="1"/>
      <c r="K5099" s="1"/>
    </row>
    <row r="5100" spans="5:11" x14ac:dyDescent="0.3">
      <c r="E5100" s="6"/>
      <c r="F5100" s="1"/>
      <c r="K5100" s="1"/>
    </row>
    <row r="5101" spans="5:11" x14ac:dyDescent="0.3">
      <c r="E5101" s="6"/>
      <c r="F5101" s="1"/>
      <c r="K5101" s="1"/>
    </row>
    <row r="5102" spans="5:11" x14ac:dyDescent="0.3">
      <c r="E5102" s="6"/>
      <c r="F5102" s="1"/>
      <c r="K5102" s="1"/>
    </row>
    <row r="5103" spans="5:11" x14ac:dyDescent="0.3">
      <c r="E5103" s="6"/>
      <c r="F5103" s="1"/>
      <c r="K5103" s="1"/>
    </row>
    <row r="5104" spans="5:11" x14ac:dyDescent="0.3">
      <c r="E5104" s="6"/>
      <c r="F5104" s="1"/>
      <c r="K5104" s="1"/>
    </row>
    <row r="5105" spans="5:11" x14ac:dyDescent="0.3">
      <c r="E5105" s="6"/>
      <c r="F5105" s="1"/>
      <c r="K5105" s="1"/>
    </row>
    <row r="5106" spans="5:11" x14ac:dyDescent="0.3">
      <c r="E5106" s="5"/>
      <c r="F5106" s="1"/>
      <c r="K5106" s="1"/>
    </row>
    <row r="5107" spans="5:11" x14ac:dyDescent="0.3">
      <c r="E5107" s="5"/>
      <c r="F5107" s="1"/>
      <c r="K5107" s="1"/>
    </row>
    <row r="5108" spans="5:11" x14ac:dyDescent="0.3">
      <c r="E5108" s="6"/>
      <c r="F5108" s="1"/>
      <c r="K5108" s="1"/>
    </row>
    <row r="5109" spans="5:11" x14ac:dyDescent="0.3">
      <c r="E5109" s="6"/>
      <c r="F5109" s="1"/>
      <c r="K5109" s="1"/>
    </row>
    <row r="5110" spans="5:11" x14ac:dyDescent="0.3">
      <c r="E5110" s="6"/>
      <c r="F5110" s="1"/>
      <c r="K5110" s="1"/>
    </row>
    <row r="5111" spans="5:11" x14ac:dyDescent="0.3">
      <c r="E5111" s="6"/>
      <c r="F5111" s="1"/>
      <c r="K5111" s="1"/>
    </row>
    <row r="5112" spans="5:11" x14ac:dyDescent="0.3">
      <c r="E5112" s="6"/>
      <c r="F5112" s="1"/>
      <c r="K5112" s="1"/>
    </row>
    <row r="5113" spans="5:11" x14ac:dyDescent="0.3">
      <c r="E5113" s="6"/>
      <c r="F5113" s="1"/>
      <c r="K5113" s="1"/>
    </row>
    <row r="5114" spans="5:11" x14ac:dyDescent="0.3">
      <c r="E5114" s="6"/>
      <c r="F5114" s="1"/>
      <c r="K5114" s="1"/>
    </row>
    <row r="5115" spans="5:11" x14ac:dyDescent="0.3">
      <c r="E5115" s="6"/>
      <c r="F5115" s="1"/>
      <c r="K5115" s="1"/>
    </row>
    <row r="5116" spans="5:11" x14ac:dyDescent="0.3">
      <c r="E5116" s="6"/>
      <c r="F5116" s="1"/>
      <c r="K5116" s="1"/>
    </row>
    <row r="5117" spans="5:11" x14ac:dyDescent="0.3">
      <c r="E5117" s="6"/>
      <c r="F5117" s="1"/>
      <c r="K5117" s="1"/>
    </row>
    <row r="5118" spans="5:11" x14ac:dyDescent="0.3">
      <c r="E5118" s="6"/>
      <c r="F5118" s="1"/>
      <c r="K5118" s="1"/>
    </row>
    <row r="5119" spans="5:11" x14ac:dyDescent="0.3">
      <c r="E5119" s="6"/>
      <c r="F5119" s="1"/>
      <c r="K5119" s="1"/>
    </row>
    <row r="5120" spans="5:11" x14ac:dyDescent="0.3">
      <c r="E5120" s="6"/>
      <c r="F5120" s="1"/>
      <c r="K5120" s="1"/>
    </row>
    <row r="5121" spans="5:11" x14ac:dyDescent="0.3">
      <c r="E5121" s="6"/>
      <c r="F5121" s="1"/>
      <c r="K5121" s="1"/>
    </row>
    <row r="5122" spans="5:11" x14ac:dyDescent="0.3">
      <c r="E5122" s="6"/>
      <c r="F5122" s="1"/>
      <c r="K5122" s="1"/>
    </row>
    <row r="5123" spans="5:11" x14ac:dyDescent="0.3">
      <c r="E5123" s="6"/>
      <c r="F5123" s="1"/>
      <c r="K5123" s="1"/>
    </row>
    <row r="5124" spans="5:11" x14ac:dyDescent="0.3">
      <c r="E5124" s="6"/>
      <c r="F5124" s="1"/>
      <c r="K5124" s="1"/>
    </row>
    <row r="5125" spans="5:11" x14ac:dyDescent="0.3">
      <c r="E5125" s="6"/>
      <c r="F5125" s="1"/>
      <c r="K5125" s="1"/>
    </row>
    <row r="5126" spans="5:11" x14ac:dyDescent="0.3">
      <c r="E5126" s="6"/>
      <c r="F5126" s="1"/>
      <c r="K5126" s="1"/>
    </row>
    <row r="5127" spans="5:11" x14ac:dyDescent="0.3">
      <c r="E5127" s="6"/>
      <c r="F5127" s="1"/>
      <c r="K5127" s="1"/>
    </row>
    <row r="5128" spans="5:11" x14ac:dyDescent="0.3">
      <c r="E5128" s="6"/>
      <c r="F5128" s="1"/>
      <c r="K5128" s="1"/>
    </row>
    <row r="5129" spans="5:11" x14ac:dyDescent="0.3">
      <c r="E5129" s="6"/>
      <c r="F5129" s="1"/>
      <c r="K5129" s="1"/>
    </row>
    <row r="5130" spans="5:11" x14ac:dyDescent="0.3">
      <c r="E5130" s="6"/>
      <c r="F5130" s="1"/>
      <c r="K5130" s="1"/>
    </row>
    <row r="5131" spans="5:11" x14ac:dyDescent="0.3">
      <c r="E5131" s="6"/>
      <c r="F5131" s="1"/>
      <c r="K5131" s="1"/>
    </row>
    <row r="5132" spans="5:11" x14ac:dyDescent="0.3">
      <c r="E5132" s="6"/>
      <c r="F5132" s="1"/>
      <c r="K5132" s="1"/>
    </row>
    <row r="5133" spans="5:11" x14ac:dyDescent="0.3">
      <c r="E5133" s="6"/>
      <c r="F5133" s="1"/>
      <c r="K5133" s="1"/>
    </row>
    <row r="5134" spans="5:11" x14ac:dyDescent="0.3">
      <c r="E5134" s="6"/>
      <c r="F5134" s="1"/>
      <c r="K5134" s="1"/>
    </row>
    <row r="5135" spans="5:11" x14ac:dyDescent="0.3">
      <c r="E5135" s="6"/>
      <c r="F5135" s="1"/>
      <c r="K5135" s="1"/>
    </row>
    <row r="5136" spans="5:11" x14ac:dyDescent="0.3">
      <c r="E5136" s="6"/>
      <c r="F5136" s="1"/>
      <c r="K5136" s="1"/>
    </row>
    <row r="5137" spans="5:11" x14ac:dyDescent="0.3">
      <c r="E5137" s="6"/>
      <c r="F5137" s="1"/>
      <c r="K5137" s="1"/>
    </row>
    <row r="5138" spans="5:11" x14ac:dyDescent="0.3">
      <c r="E5138" s="6"/>
      <c r="F5138" s="1"/>
      <c r="K5138" s="1"/>
    </row>
    <row r="5139" spans="5:11" x14ac:dyDescent="0.3">
      <c r="E5139" s="6"/>
      <c r="F5139" s="1"/>
      <c r="K5139" s="1"/>
    </row>
    <row r="5140" spans="5:11" x14ac:dyDescent="0.3">
      <c r="E5140" s="6"/>
      <c r="F5140" s="1"/>
      <c r="K5140" s="1"/>
    </row>
    <row r="5141" spans="5:11" x14ac:dyDescent="0.3">
      <c r="E5141" s="6"/>
      <c r="F5141" s="1"/>
      <c r="K5141" s="1"/>
    </row>
    <row r="5142" spans="5:11" x14ac:dyDescent="0.3">
      <c r="E5142" s="6"/>
      <c r="F5142" s="1"/>
      <c r="K5142" s="1"/>
    </row>
    <row r="5143" spans="5:11" x14ac:dyDescent="0.3">
      <c r="E5143" s="6"/>
      <c r="F5143" s="1"/>
      <c r="K5143" s="1"/>
    </row>
    <row r="5144" spans="5:11" x14ac:dyDescent="0.3">
      <c r="E5144" s="5"/>
      <c r="F5144" s="1"/>
      <c r="K5144" s="1"/>
    </row>
    <row r="5145" spans="5:11" x14ac:dyDescent="0.3">
      <c r="E5145" s="6"/>
      <c r="F5145" s="1"/>
      <c r="K5145" s="1"/>
    </row>
    <row r="5146" spans="5:11" x14ac:dyDescent="0.3">
      <c r="E5146" s="6"/>
      <c r="F5146" s="1"/>
      <c r="K5146" s="1"/>
    </row>
    <row r="5147" spans="5:11" x14ac:dyDescent="0.3">
      <c r="E5147" s="6"/>
      <c r="F5147" s="1"/>
      <c r="K5147" s="1"/>
    </row>
    <row r="5148" spans="5:11" x14ac:dyDescent="0.3">
      <c r="E5148" s="6"/>
      <c r="F5148" s="1"/>
      <c r="K5148" s="1"/>
    </row>
    <row r="5149" spans="5:11" x14ac:dyDescent="0.3">
      <c r="E5149" s="6"/>
      <c r="F5149" s="1"/>
      <c r="K5149" s="1"/>
    </row>
    <row r="5150" spans="5:11" x14ac:dyDescent="0.3">
      <c r="E5150" s="6"/>
      <c r="F5150" s="1"/>
      <c r="K5150" s="1"/>
    </row>
    <row r="5151" spans="5:11" x14ac:dyDescent="0.3">
      <c r="E5151" s="6"/>
      <c r="F5151" s="1"/>
      <c r="K5151" s="1"/>
    </row>
    <row r="5152" spans="5:11" x14ac:dyDescent="0.3">
      <c r="E5152" s="6"/>
      <c r="F5152" s="1"/>
      <c r="K5152" s="1"/>
    </row>
    <row r="5153" spans="5:11" x14ac:dyDescent="0.3">
      <c r="E5153" s="6"/>
      <c r="F5153" s="1"/>
      <c r="K5153" s="1"/>
    </row>
    <row r="5154" spans="5:11" x14ac:dyDescent="0.3">
      <c r="E5154" s="6"/>
      <c r="F5154" s="1"/>
      <c r="K5154" s="1"/>
    </row>
    <row r="5155" spans="5:11" x14ac:dyDescent="0.3">
      <c r="E5155" s="6"/>
      <c r="F5155" s="1"/>
      <c r="K5155" s="1"/>
    </row>
    <row r="5156" spans="5:11" x14ac:dyDescent="0.3">
      <c r="E5156" s="6"/>
      <c r="F5156" s="1"/>
      <c r="K5156" s="1"/>
    </row>
    <row r="5157" spans="5:11" x14ac:dyDescent="0.3">
      <c r="E5157" s="6"/>
      <c r="F5157" s="1"/>
      <c r="K5157" s="1"/>
    </row>
    <row r="5158" spans="5:11" x14ac:dyDescent="0.3">
      <c r="E5158" s="6"/>
      <c r="F5158" s="1"/>
      <c r="K5158" s="1"/>
    </row>
    <row r="5159" spans="5:11" x14ac:dyDescent="0.3">
      <c r="E5159" s="6"/>
      <c r="F5159" s="1"/>
      <c r="K5159" s="1"/>
    </row>
    <row r="5160" spans="5:11" x14ac:dyDescent="0.3">
      <c r="E5160" s="6"/>
      <c r="F5160" s="1"/>
      <c r="K5160" s="1"/>
    </row>
    <row r="5161" spans="5:11" x14ac:dyDescent="0.3">
      <c r="E5161" s="6"/>
      <c r="F5161" s="1"/>
      <c r="K5161" s="1"/>
    </row>
    <row r="5162" spans="5:11" x14ac:dyDescent="0.3">
      <c r="E5162" s="6"/>
      <c r="F5162" s="1"/>
      <c r="K5162" s="1"/>
    </row>
    <row r="5163" spans="5:11" x14ac:dyDescent="0.3">
      <c r="E5163" s="6"/>
      <c r="F5163" s="1"/>
      <c r="K5163" s="1"/>
    </row>
    <row r="5164" spans="5:11" x14ac:dyDescent="0.3">
      <c r="E5164" s="6"/>
      <c r="F5164" s="1"/>
      <c r="K5164" s="1"/>
    </row>
    <row r="5165" spans="5:11" x14ac:dyDescent="0.3">
      <c r="E5165" s="6"/>
      <c r="F5165" s="1"/>
      <c r="K5165" s="1"/>
    </row>
    <row r="5166" spans="5:11" x14ac:dyDescent="0.3">
      <c r="E5166" s="6"/>
      <c r="F5166" s="1"/>
      <c r="K5166" s="1"/>
    </row>
    <row r="5167" spans="5:11" x14ac:dyDescent="0.3">
      <c r="E5167" s="6"/>
      <c r="F5167" s="1"/>
      <c r="K5167" s="1"/>
    </row>
    <row r="5168" spans="5:11" x14ac:dyDescent="0.3">
      <c r="E5168" s="6"/>
      <c r="F5168" s="1"/>
      <c r="K5168" s="1"/>
    </row>
    <row r="5169" spans="5:11" x14ac:dyDescent="0.3">
      <c r="E5169" s="6"/>
      <c r="F5169" s="1"/>
      <c r="K5169" s="1"/>
    </row>
    <row r="5170" spans="5:11" x14ac:dyDescent="0.3">
      <c r="E5170" s="6"/>
      <c r="F5170" s="1"/>
      <c r="K5170" s="1"/>
    </row>
    <row r="5171" spans="5:11" x14ac:dyDescent="0.3">
      <c r="E5171" s="6"/>
      <c r="F5171" s="1"/>
      <c r="K5171" s="1"/>
    </row>
    <row r="5172" spans="5:11" x14ac:dyDescent="0.3">
      <c r="E5172" s="6"/>
      <c r="F5172" s="1"/>
      <c r="K5172" s="1"/>
    </row>
    <row r="5173" spans="5:11" x14ac:dyDescent="0.3">
      <c r="E5173" s="6"/>
      <c r="F5173" s="1"/>
      <c r="K5173" s="1"/>
    </row>
    <row r="5174" spans="5:11" x14ac:dyDescent="0.3">
      <c r="E5174" s="6"/>
      <c r="F5174" s="1"/>
      <c r="K5174" s="1"/>
    </row>
    <row r="5175" spans="5:11" x14ac:dyDescent="0.3">
      <c r="E5175" s="6"/>
      <c r="F5175" s="1"/>
      <c r="K5175" s="1"/>
    </row>
    <row r="5176" spans="5:11" x14ac:dyDescent="0.3">
      <c r="E5176" s="6"/>
      <c r="F5176" s="1"/>
      <c r="K5176" s="1"/>
    </row>
    <row r="5177" spans="5:11" x14ac:dyDescent="0.3">
      <c r="E5177" s="6"/>
      <c r="F5177" s="1"/>
      <c r="K5177" s="1"/>
    </row>
    <row r="5178" spans="5:11" x14ac:dyDescent="0.3">
      <c r="E5178" s="6"/>
      <c r="F5178" s="1"/>
      <c r="K5178" s="1"/>
    </row>
    <row r="5179" spans="5:11" x14ac:dyDescent="0.3">
      <c r="E5179" s="6"/>
      <c r="F5179" s="1"/>
      <c r="K5179" s="1"/>
    </row>
    <row r="5180" spans="5:11" x14ac:dyDescent="0.3">
      <c r="E5180" s="6"/>
      <c r="F5180" s="1"/>
      <c r="K5180" s="1"/>
    </row>
    <row r="5181" spans="5:11" x14ac:dyDescent="0.3">
      <c r="E5181" s="6"/>
      <c r="F5181" s="1"/>
      <c r="K5181" s="1"/>
    </row>
    <row r="5182" spans="5:11" x14ac:dyDescent="0.3">
      <c r="E5182" s="6"/>
      <c r="F5182" s="1"/>
      <c r="K5182" s="1"/>
    </row>
    <row r="5183" spans="5:11" x14ac:dyDescent="0.3">
      <c r="E5183" s="6"/>
      <c r="F5183" s="1"/>
      <c r="K5183" s="1"/>
    </row>
    <row r="5184" spans="5:11" x14ac:dyDescent="0.3">
      <c r="E5184" s="6"/>
      <c r="F5184" s="1"/>
      <c r="K5184" s="1"/>
    </row>
    <row r="5185" spans="5:11" x14ac:dyDescent="0.3">
      <c r="E5185" s="5"/>
      <c r="F5185" s="1"/>
      <c r="K5185" s="1"/>
    </row>
    <row r="5186" spans="5:11" x14ac:dyDescent="0.3">
      <c r="E5186" s="5"/>
      <c r="F5186" s="1"/>
      <c r="K5186" s="1"/>
    </row>
    <row r="5187" spans="5:11" x14ac:dyDescent="0.3">
      <c r="E5187" s="5"/>
      <c r="F5187" s="1"/>
      <c r="K5187" s="1"/>
    </row>
    <row r="5188" spans="5:11" x14ac:dyDescent="0.3">
      <c r="E5188" s="6"/>
      <c r="F5188" s="1"/>
      <c r="K5188" s="1"/>
    </row>
    <row r="5189" spans="5:11" x14ac:dyDescent="0.3">
      <c r="E5189" s="6"/>
      <c r="F5189" s="1"/>
      <c r="K5189" s="1"/>
    </row>
    <row r="5190" spans="5:11" x14ac:dyDescent="0.3">
      <c r="E5190" s="6"/>
      <c r="F5190" s="1"/>
      <c r="K5190" s="1"/>
    </row>
    <row r="5191" spans="5:11" x14ac:dyDescent="0.3">
      <c r="E5191" s="6"/>
      <c r="F5191" s="1"/>
      <c r="K5191" s="1"/>
    </row>
    <row r="5192" spans="5:11" x14ac:dyDescent="0.3">
      <c r="E5192" s="6"/>
      <c r="F5192" s="1"/>
      <c r="K5192" s="1"/>
    </row>
    <row r="5193" spans="5:11" x14ac:dyDescent="0.3">
      <c r="E5193" s="6"/>
      <c r="F5193" s="1"/>
      <c r="K5193" s="1"/>
    </row>
    <row r="5194" spans="5:11" x14ac:dyDescent="0.3">
      <c r="E5194" s="6"/>
      <c r="F5194" s="1"/>
      <c r="K5194" s="1"/>
    </row>
    <row r="5195" spans="5:11" x14ac:dyDescent="0.3">
      <c r="E5195" s="6"/>
      <c r="F5195" s="1"/>
      <c r="K5195" s="1"/>
    </row>
    <row r="5196" spans="5:11" x14ac:dyDescent="0.3">
      <c r="E5196" s="6"/>
      <c r="F5196" s="1"/>
      <c r="K5196" s="1"/>
    </row>
    <row r="5197" spans="5:11" x14ac:dyDescent="0.3">
      <c r="E5197" s="6"/>
      <c r="F5197" s="1"/>
      <c r="K5197" s="1"/>
    </row>
    <row r="5198" spans="5:11" x14ac:dyDescent="0.3">
      <c r="E5198" s="6"/>
      <c r="F5198" s="1"/>
      <c r="K5198" s="1"/>
    </row>
    <row r="5199" spans="5:11" x14ac:dyDescent="0.3">
      <c r="E5199" s="6"/>
      <c r="F5199" s="1"/>
      <c r="K5199" s="1"/>
    </row>
    <row r="5200" spans="5:11" x14ac:dyDescent="0.3">
      <c r="E5200" s="6"/>
      <c r="F5200" s="1"/>
      <c r="K5200" s="1"/>
    </row>
    <row r="5201" spans="5:11" x14ac:dyDescent="0.3">
      <c r="E5201" s="6"/>
      <c r="F5201" s="1"/>
      <c r="K5201" s="1"/>
    </row>
    <row r="5202" spans="5:11" x14ac:dyDescent="0.3">
      <c r="E5202" s="6"/>
      <c r="F5202" s="1"/>
      <c r="K5202" s="1"/>
    </row>
    <row r="5203" spans="5:11" x14ac:dyDescent="0.3">
      <c r="E5203" s="6"/>
      <c r="F5203" s="1"/>
      <c r="K5203" s="1"/>
    </row>
    <row r="5204" spans="5:11" x14ac:dyDescent="0.3">
      <c r="E5204" s="6"/>
      <c r="F5204" s="1"/>
      <c r="K5204" s="1"/>
    </row>
    <row r="5205" spans="5:11" x14ac:dyDescent="0.3">
      <c r="E5205" s="6"/>
      <c r="F5205" s="1"/>
      <c r="K5205" s="1"/>
    </row>
    <row r="5206" spans="5:11" x14ac:dyDescent="0.3">
      <c r="E5206" s="6"/>
      <c r="F5206" s="1"/>
      <c r="K5206" s="1"/>
    </row>
    <row r="5207" spans="5:11" x14ac:dyDescent="0.3">
      <c r="E5207" s="6"/>
      <c r="F5207" s="1"/>
      <c r="K5207" s="1"/>
    </row>
    <row r="5208" spans="5:11" x14ac:dyDescent="0.3">
      <c r="E5208" s="6"/>
      <c r="F5208" s="1"/>
      <c r="K5208" s="1"/>
    </row>
    <row r="5209" spans="5:11" x14ac:dyDescent="0.3">
      <c r="E5209" s="6"/>
      <c r="F5209" s="1"/>
      <c r="K5209" s="1"/>
    </row>
    <row r="5210" spans="5:11" x14ac:dyDescent="0.3">
      <c r="E5210" s="6"/>
      <c r="F5210" s="1"/>
      <c r="K5210" s="1"/>
    </row>
    <row r="5211" spans="5:11" x14ac:dyDescent="0.3">
      <c r="E5211" s="6"/>
      <c r="F5211" s="1"/>
      <c r="K5211" s="1"/>
    </row>
    <row r="5212" spans="5:11" x14ac:dyDescent="0.3">
      <c r="E5212" s="6"/>
      <c r="F5212" s="1"/>
      <c r="K5212" s="1"/>
    </row>
    <row r="5213" spans="5:11" x14ac:dyDescent="0.3">
      <c r="E5213" s="6"/>
      <c r="F5213" s="1"/>
      <c r="K5213" s="1"/>
    </row>
    <row r="5214" spans="5:11" x14ac:dyDescent="0.3">
      <c r="E5214" s="6"/>
      <c r="F5214" s="1"/>
      <c r="K5214" s="1"/>
    </row>
    <row r="5215" spans="5:11" x14ac:dyDescent="0.3">
      <c r="E5215" s="6"/>
      <c r="F5215" s="1"/>
      <c r="K5215" s="1"/>
    </row>
    <row r="5216" spans="5:11" x14ac:dyDescent="0.3">
      <c r="E5216" s="6"/>
      <c r="F5216" s="1"/>
      <c r="K5216" s="1"/>
    </row>
    <row r="5217" spans="5:11" x14ac:dyDescent="0.3">
      <c r="E5217" s="6"/>
      <c r="F5217" s="1"/>
      <c r="K5217" s="1"/>
    </row>
    <row r="5218" spans="5:11" x14ac:dyDescent="0.3">
      <c r="E5218" s="6"/>
      <c r="F5218" s="1"/>
      <c r="K5218" s="1"/>
    </row>
    <row r="5219" spans="5:11" x14ac:dyDescent="0.3">
      <c r="E5219" s="6"/>
      <c r="F5219" s="1"/>
      <c r="K5219" s="1"/>
    </row>
    <row r="5220" spans="5:11" x14ac:dyDescent="0.3">
      <c r="E5220" s="6"/>
      <c r="F5220" s="1"/>
      <c r="K5220" s="1"/>
    </row>
    <row r="5221" spans="5:11" x14ac:dyDescent="0.3">
      <c r="E5221" s="6"/>
      <c r="F5221" s="1"/>
      <c r="K5221" s="1"/>
    </row>
    <row r="5222" spans="5:11" x14ac:dyDescent="0.3">
      <c r="E5222" s="6"/>
      <c r="F5222" s="1"/>
      <c r="K5222" s="1"/>
    </row>
    <row r="5223" spans="5:11" x14ac:dyDescent="0.3">
      <c r="E5223" s="6"/>
      <c r="F5223" s="1"/>
      <c r="K5223" s="1"/>
    </row>
    <row r="5224" spans="5:11" x14ac:dyDescent="0.3">
      <c r="E5224" s="6"/>
      <c r="F5224" s="1"/>
      <c r="K5224" s="1"/>
    </row>
    <row r="5225" spans="5:11" x14ac:dyDescent="0.3">
      <c r="E5225" s="6"/>
      <c r="F5225" s="1"/>
      <c r="K5225" s="1"/>
    </row>
    <row r="5226" spans="5:11" x14ac:dyDescent="0.3">
      <c r="E5226" s="6"/>
      <c r="F5226" s="1"/>
      <c r="K5226" s="1"/>
    </row>
    <row r="5227" spans="5:11" x14ac:dyDescent="0.3">
      <c r="E5227" s="6"/>
      <c r="F5227" s="1"/>
      <c r="K5227" s="1"/>
    </row>
    <row r="5228" spans="5:11" x14ac:dyDescent="0.3">
      <c r="E5228" s="5"/>
      <c r="F5228" s="1"/>
      <c r="K5228" s="1"/>
    </row>
    <row r="5229" spans="5:11" x14ac:dyDescent="0.3">
      <c r="E5229" s="5"/>
      <c r="F5229" s="1"/>
      <c r="K5229" s="1"/>
    </row>
    <row r="5230" spans="5:11" x14ac:dyDescent="0.3">
      <c r="E5230" s="5"/>
      <c r="F5230" s="1"/>
      <c r="K5230" s="1"/>
    </row>
    <row r="5231" spans="5:11" x14ac:dyDescent="0.3">
      <c r="E5231" s="6"/>
      <c r="F5231" s="1"/>
      <c r="K5231" s="1"/>
    </row>
    <row r="5232" spans="5:11" x14ac:dyDescent="0.3">
      <c r="E5232" s="6"/>
      <c r="F5232" s="1"/>
      <c r="K5232" s="1"/>
    </row>
    <row r="5233" spans="5:11" x14ac:dyDescent="0.3">
      <c r="E5233" s="6"/>
      <c r="F5233" s="1"/>
      <c r="K5233" s="1"/>
    </row>
    <row r="5234" spans="5:11" x14ac:dyDescent="0.3">
      <c r="E5234" s="6"/>
      <c r="F5234" s="1"/>
      <c r="K5234" s="1"/>
    </row>
    <row r="5235" spans="5:11" x14ac:dyDescent="0.3">
      <c r="E5235" s="6"/>
      <c r="F5235" s="1"/>
      <c r="K5235" s="1"/>
    </row>
    <row r="5236" spans="5:11" x14ac:dyDescent="0.3">
      <c r="E5236" s="6"/>
      <c r="F5236" s="1"/>
      <c r="K5236" s="1"/>
    </row>
    <row r="5237" spans="5:11" x14ac:dyDescent="0.3">
      <c r="E5237" s="6"/>
      <c r="F5237" s="1"/>
      <c r="K5237" s="1"/>
    </row>
    <row r="5238" spans="5:11" x14ac:dyDescent="0.3">
      <c r="E5238" s="6"/>
      <c r="F5238" s="1"/>
      <c r="K5238" s="1"/>
    </row>
    <row r="5239" spans="5:11" x14ac:dyDescent="0.3">
      <c r="E5239" s="6"/>
      <c r="F5239" s="1"/>
      <c r="K5239" s="1"/>
    </row>
    <row r="5240" spans="5:11" x14ac:dyDescent="0.3">
      <c r="E5240" s="6"/>
      <c r="F5240" s="1"/>
      <c r="K5240" s="1"/>
    </row>
    <row r="5241" spans="5:11" x14ac:dyDescent="0.3">
      <c r="E5241" s="6"/>
      <c r="F5241" s="1"/>
      <c r="K5241" s="1"/>
    </row>
    <row r="5242" spans="5:11" x14ac:dyDescent="0.3">
      <c r="E5242" s="6"/>
      <c r="F5242" s="1"/>
      <c r="K5242" s="1"/>
    </row>
    <row r="5243" spans="5:11" x14ac:dyDescent="0.3">
      <c r="E5243" s="6"/>
      <c r="F5243" s="1"/>
      <c r="K5243" s="1"/>
    </row>
    <row r="5244" spans="5:11" x14ac:dyDescent="0.3">
      <c r="E5244" s="6"/>
      <c r="F5244" s="1"/>
      <c r="K5244" s="1"/>
    </row>
    <row r="5245" spans="5:11" x14ac:dyDescent="0.3">
      <c r="E5245" s="6"/>
      <c r="F5245" s="1"/>
      <c r="K5245" s="1"/>
    </row>
    <row r="5246" spans="5:11" x14ac:dyDescent="0.3">
      <c r="E5246" s="6"/>
      <c r="F5246" s="1"/>
      <c r="K5246" s="1"/>
    </row>
    <row r="5247" spans="5:11" x14ac:dyDescent="0.3">
      <c r="E5247" s="6"/>
      <c r="F5247" s="1"/>
      <c r="K5247" s="1"/>
    </row>
    <row r="5248" spans="5:11" x14ac:dyDescent="0.3">
      <c r="E5248" s="6"/>
      <c r="F5248" s="1"/>
      <c r="K5248" s="1"/>
    </row>
    <row r="5249" spans="5:11" x14ac:dyDescent="0.3">
      <c r="E5249" s="6"/>
      <c r="F5249" s="1"/>
      <c r="K5249" s="1"/>
    </row>
    <row r="5250" spans="5:11" x14ac:dyDescent="0.3">
      <c r="E5250" s="6"/>
      <c r="F5250" s="1"/>
      <c r="K5250" s="1"/>
    </row>
    <row r="5251" spans="5:11" x14ac:dyDescent="0.3">
      <c r="E5251" s="6"/>
      <c r="F5251" s="1"/>
      <c r="K5251" s="1"/>
    </row>
    <row r="5252" spans="5:11" x14ac:dyDescent="0.3">
      <c r="E5252" s="6"/>
      <c r="F5252" s="1"/>
      <c r="K5252" s="1"/>
    </row>
    <row r="5253" spans="5:11" x14ac:dyDescent="0.3">
      <c r="E5253" s="6"/>
      <c r="F5253" s="1"/>
      <c r="K5253" s="1"/>
    </row>
    <row r="5254" spans="5:11" x14ac:dyDescent="0.3">
      <c r="E5254" s="6"/>
      <c r="F5254" s="1"/>
      <c r="K5254" s="1"/>
    </row>
    <row r="5255" spans="5:11" x14ac:dyDescent="0.3">
      <c r="E5255" s="6"/>
      <c r="F5255" s="1"/>
      <c r="K5255" s="1"/>
    </row>
    <row r="5256" spans="5:11" x14ac:dyDescent="0.3">
      <c r="E5256" s="6"/>
      <c r="F5256" s="1"/>
      <c r="K5256" s="1"/>
    </row>
    <row r="5257" spans="5:11" x14ac:dyDescent="0.3">
      <c r="E5257" s="6"/>
      <c r="F5257" s="1"/>
      <c r="K5257" s="1"/>
    </row>
    <row r="5258" spans="5:11" x14ac:dyDescent="0.3">
      <c r="E5258" s="6"/>
      <c r="F5258" s="1"/>
      <c r="K5258" s="1"/>
    </row>
    <row r="5259" spans="5:11" x14ac:dyDescent="0.3">
      <c r="E5259" s="6"/>
      <c r="F5259" s="1"/>
      <c r="K5259" s="1"/>
    </row>
    <row r="5260" spans="5:11" x14ac:dyDescent="0.3">
      <c r="E5260" s="6"/>
      <c r="F5260" s="1"/>
      <c r="K5260" s="1"/>
    </row>
    <row r="5261" spans="5:11" x14ac:dyDescent="0.3">
      <c r="E5261" s="6"/>
      <c r="F5261" s="1"/>
      <c r="K5261" s="1"/>
    </row>
    <row r="5262" spans="5:11" x14ac:dyDescent="0.3">
      <c r="E5262" s="6"/>
      <c r="F5262" s="1"/>
      <c r="K5262" s="1"/>
    </row>
    <row r="5263" spans="5:11" x14ac:dyDescent="0.3">
      <c r="E5263" s="6"/>
      <c r="F5263" s="1"/>
      <c r="K5263" s="1"/>
    </row>
    <row r="5264" spans="5:11" x14ac:dyDescent="0.3">
      <c r="E5264" s="6"/>
      <c r="F5264" s="1"/>
      <c r="K5264" s="1"/>
    </row>
    <row r="5265" spans="5:11" x14ac:dyDescent="0.3">
      <c r="E5265" s="6"/>
      <c r="F5265" s="1"/>
      <c r="K5265" s="1"/>
    </row>
    <row r="5266" spans="5:11" x14ac:dyDescent="0.3">
      <c r="E5266" s="6"/>
      <c r="F5266" s="1"/>
      <c r="K5266" s="1"/>
    </row>
    <row r="5267" spans="5:11" x14ac:dyDescent="0.3">
      <c r="E5267" s="6"/>
      <c r="F5267" s="1"/>
      <c r="K5267" s="1"/>
    </row>
    <row r="5268" spans="5:11" x14ac:dyDescent="0.3">
      <c r="E5268" s="6"/>
      <c r="F5268" s="1"/>
      <c r="K5268" s="1"/>
    </row>
    <row r="5269" spans="5:11" x14ac:dyDescent="0.3">
      <c r="E5269" s="6"/>
      <c r="F5269" s="1"/>
      <c r="K5269" s="1"/>
    </row>
    <row r="5270" spans="5:11" x14ac:dyDescent="0.3">
      <c r="E5270" s="6"/>
      <c r="F5270" s="1"/>
      <c r="K5270" s="1"/>
    </row>
    <row r="5271" spans="5:11" x14ac:dyDescent="0.3">
      <c r="E5271" s="6"/>
      <c r="F5271" s="1"/>
      <c r="K5271" s="1"/>
    </row>
    <row r="5272" spans="5:11" x14ac:dyDescent="0.3">
      <c r="E5272" s="6"/>
      <c r="F5272" s="1"/>
      <c r="K5272" s="1"/>
    </row>
    <row r="5273" spans="5:11" x14ac:dyDescent="0.3">
      <c r="E5273" s="6"/>
      <c r="F5273" s="1"/>
      <c r="K5273" s="1"/>
    </row>
    <row r="5274" spans="5:11" x14ac:dyDescent="0.3">
      <c r="E5274" s="6"/>
      <c r="F5274" s="1"/>
      <c r="K5274" s="1"/>
    </row>
    <row r="5275" spans="5:11" x14ac:dyDescent="0.3">
      <c r="E5275" s="6"/>
      <c r="F5275" s="1"/>
      <c r="K5275" s="1"/>
    </row>
    <row r="5276" spans="5:11" x14ac:dyDescent="0.3">
      <c r="E5276" s="6"/>
      <c r="F5276" s="1"/>
      <c r="K5276" s="1"/>
    </row>
    <row r="5277" spans="5:11" x14ac:dyDescent="0.3">
      <c r="E5277" s="6"/>
      <c r="F5277" s="1"/>
      <c r="K5277" s="1"/>
    </row>
    <row r="5278" spans="5:11" x14ac:dyDescent="0.3">
      <c r="E5278" s="6"/>
      <c r="F5278" s="1"/>
      <c r="K5278" s="1"/>
    </row>
    <row r="5279" spans="5:11" x14ac:dyDescent="0.3">
      <c r="E5279" s="6"/>
      <c r="F5279" s="1"/>
      <c r="K5279" s="1"/>
    </row>
    <row r="5280" spans="5:11" x14ac:dyDescent="0.3">
      <c r="E5280" s="6"/>
      <c r="F5280" s="1"/>
      <c r="K5280" s="1"/>
    </row>
    <row r="5281" spans="5:11" x14ac:dyDescent="0.3">
      <c r="E5281" s="6"/>
      <c r="F5281" s="1"/>
      <c r="K5281" s="1"/>
    </row>
    <row r="5282" spans="5:11" x14ac:dyDescent="0.3">
      <c r="E5282" s="6"/>
      <c r="F5282" s="1"/>
      <c r="K5282" s="1"/>
    </row>
    <row r="5283" spans="5:11" x14ac:dyDescent="0.3">
      <c r="E5283" s="6"/>
      <c r="F5283" s="1"/>
      <c r="K5283" s="1"/>
    </row>
    <row r="5284" spans="5:11" x14ac:dyDescent="0.3">
      <c r="E5284" s="6"/>
      <c r="F5284" s="1"/>
      <c r="K5284" s="1"/>
    </row>
    <row r="5285" spans="5:11" x14ac:dyDescent="0.3">
      <c r="E5285" s="6"/>
      <c r="F5285" s="1"/>
      <c r="K5285" s="1"/>
    </row>
    <row r="5286" spans="5:11" x14ac:dyDescent="0.3">
      <c r="E5286" s="5"/>
      <c r="F5286" s="1"/>
      <c r="K5286" s="1"/>
    </row>
    <row r="5287" spans="5:11" x14ac:dyDescent="0.3">
      <c r="E5287" s="6"/>
      <c r="F5287" s="1"/>
      <c r="K5287" s="1"/>
    </row>
    <row r="5288" spans="5:11" x14ac:dyDescent="0.3">
      <c r="E5288" s="6"/>
      <c r="F5288" s="1"/>
      <c r="K5288" s="1"/>
    </row>
    <row r="5289" spans="5:11" x14ac:dyDescent="0.3">
      <c r="E5289" s="6"/>
      <c r="F5289" s="1"/>
      <c r="K5289" s="1"/>
    </row>
    <row r="5290" spans="5:11" x14ac:dyDescent="0.3">
      <c r="E5290" s="6"/>
      <c r="F5290" s="1"/>
      <c r="K5290" s="1"/>
    </row>
    <row r="5291" spans="5:11" x14ac:dyDescent="0.3">
      <c r="E5291" s="6"/>
      <c r="F5291" s="1"/>
      <c r="K5291" s="1"/>
    </row>
    <row r="5292" spans="5:11" x14ac:dyDescent="0.3">
      <c r="E5292" s="6"/>
      <c r="F5292" s="1"/>
      <c r="K5292" s="1"/>
    </row>
    <row r="5293" spans="5:11" x14ac:dyDescent="0.3">
      <c r="E5293" s="6"/>
      <c r="F5293" s="1"/>
      <c r="K5293" s="1"/>
    </row>
    <row r="5294" spans="5:11" x14ac:dyDescent="0.3">
      <c r="E5294" s="6"/>
      <c r="F5294" s="1"/>
      <c r="K5294" s="1"/>
    </row>
    <row r="5295" spans="5:11" x14ac:dyDescent="0.3">
      <c r="E5295" s="6"/>
      <c r="F5295" s="1"/>
      <c r="K5295" s="1"/>
    </row>
    <row r="5296" spans="5:11" x14ac:dyDescent="0.3">
      <c r="E5296" s="6"/>
      <c r="F5296" s="1"/>
      <c r="K5296" s="1"/>
    </row>
    <row r="5297" spans="5:11" x14ac:dyDescent="0.3">
      <c r="E5297" s="6"/>
      <c r="F5297" s="1"/>
      <c r="K5297" s="1"/>
    </row>
    <row r="5298" spans="5:11" x14ac:dyDescent="0.3">
      <c r="E5298" s="6"/>
      <c r="F5298" s="1"/>
      <c r="K5298" s="1"/>
    </row>
    <row r="5299" spans="5:11" x14ac:dyDescent="0.3">
      <c r="E5299" s="6"/>
      <c r="F5299" s="1"/>
      <c r="K5299" s="1"/>
    </row>
    <row r="5300" spans="5:11" x14ac:dyDescent="0.3">
      <c r="E5300" s="6"/>
      <c r="F5300" s="1"/>
      <c r="K5300" s="1"/>
    </row>
    <row r="5301" spans="5:11" x14ac:dyDescent="0.3">
      <c r="E5301" s="6"/>
      <c r="F5301" s="1"/>
      <c r="K5301" s="1"/>
    </row>
    <row r="5302" spans="5:11" x14ac:dyDescent="0.3">
      <c r="E5302" s="6"/>
      <c r="F5302" s="1"/>
      <c r="K5302" s="1"/>
    </row>
    <row r="5303" spans="5:11" x14ac:dyDescent="0.3">
      <c r="E5303" s="5"/>
      <c r="F5303" s="1"/>
      <c r="K5303" s="1"/>
    </row>
    <row r="5304" spans="5:11" x14ac:dyDescent="0.3">
      <c r="E5304" s="5"/>
      <c r="F5304" s="1"/>
      <c r="K5304" s="1"/>
    </row>
    <row r="5305" spans="5:11" x14ac:dyDescent="0.3">
      <c r="E5305" s="6"/>
      <c r="F5305" s="1"/>
      <c r="K5305" s="1"/>
    </row>
    <row r="5306" spans="5:11" x14ac:dyDescent="0.3">
      <c r="E5306" s="6"/>
      <c r="F5306" s="1"/>
      <c r="K5306" s="1"/>
    </row>
    <row r="5307" spans="5:11" x14ac:dyDescent="0.3">
      <c r="E5307" s="6"/>
      <c r="F5307" s="1"/>
      <c r="K5307" s="1"/>
    </row>
    <row r="5308" spans="5:11" x14ac:dyDescent="0.3">
      <c r="E5308" s="6"/>
      <c r="F5308" s="1"/>
      <c r="K5308" s="1"/>
    </row>
    <row r="5309" spans="5:11" x14ac:dyDescent="0.3">
      <c r="E5309" s="6"/>
      <c r="F5309" s="1"/>
      <c r="K5309" s="1"/>
    </row>
    <row r="5310" spans="5:11" x14ac:dyDescent="0.3">
      <c r="E5310" s="6"/>
      <c r="F5310" s="1"/>
      <c r="K5310" s="1"/>
    </row>
    <row r="5311" spans="5:11" x14ac:dyDescent="0.3">
      <c r="E5311" s="6"/>
      <c r="F5311" s="1"/>
      <c r="K5311" s="1"/>
    </row>
    <row r="5312" spans="5:11" x14ac:dyDescent="0.3">
      <c r="E5312" s="6"/>
      <c r="F5312" s="1"/>
      <c r="K5312" s="1"/>
    </row>
    <row r="5313" spans="5:11" x14ac:dyDescent="0.3">
      <c r="E5313" s="6"/>
      <c r="F5313" s="1"/>
      <c r="K5313" s="1"/>
    </row>
    <row r="5314" spans="5:11" x14ac:dyDescent="0.3">
      <c r="E5314" s="6"/>
      <c r="F5314" s="1"/>
      <c r="K5314" s="1"/>
    </row>
    <row r="5315" spans="5:11" x14ac:dyDescent="0.3">
      <c r="E5315" s="6"/>
      <c r="F5315" s="1"/>
      <c r="K5315" s="1"/>
    </row>
    <row r="5316" spans="5:11" x14ac:dyDescent="0.3">
      <c r="E5316" s="6"/>
      <c r="F5316" s="1"/>
      <c r="K5316" s="1"/>
    </row>
    <row r="5317" spans="5:11" x14ac:dyDescent="0.3">
      <c r="E5317" s="6"/>
      <c r="F5317" s="1"/>
      <c r="K5317" s="1"/>
    </row>
    <row r="5318" spans="5:11" x14ac:dyDescent="0.3">
      <c r="E5318" s="6"/>
      <c r="F5318" s="1"/>
      <c r="K5318" s="1"/>
    </row>
    <row r="5319" spans="5:11" x14ac:dyDescent="0.3">
      <c r="E5319" s="6"/>
      <c r="F5319" s="1"/>
      <c r="K5319" s="1"/>
    </row>
    <row r="5320" spans="5:11" x14ac:dyDescent="0.3">
      <c r="E5320" s="6"/>
      <c r="F5320" s="1"/>
      <c r="K5320" s="1"/>
    </row>
    <row r="5321" spans="5:11" x14ac:dyDescent="0.3">
      <c r="E5321" s="6"/>
      <c r="F5321" s="1"/>
      <c r="K5321" s="1"/>
    </row>
    <row r="5322" spans="5:11" x14ac:dyDescent="0.3">
      <c r="E5322" s="5"/>
      <c r="F5322" s="1"/>
      <c r="K5322" s="1"/>
    </row>
    <row r="5323" spans="5:11" x14ac:dyDescent="0.3">
      <c r="E5323" s="5"/>
      <c r="F5323" s="1"/>
      <c r="K5323" s="1"/>
    </row>
    <row r="5324" spans="5:11" x14ac:dyDescent="0.3">
      <c r="E5324" s="6"/>
      <c r="F5324" s="1"/>
      <c r="K5324" s="1"/>
    </row>
    <row r="5325" spans="5:11" x14ac:dyDescent="0.3">
      <c r="E5325" s="6"/>
      <c r="F5325" s="1"/>
      <c r="K5325" s="1"/>
    </row>
    <row r="5326" spans="5:11" x14ac:dyDescent="0.3">
      <c r="E5326" s="6"/>
      <c r="F5326" s="1"/>
      <c r="K5326" s="1"/>
    </row>
    <row r="5327" spans="5:11" x14ac:dyDescent="0.3">
      <c r="E5327" s="6"/>
      <c r="F5327" s="1"/>
      <c r="K5327" s="1"/>
    </row>
    <row r="5328" spans="5:11" x14ac:dyDescent="0.3">
      <c r="E5328" s="6"/>
      <c r="F5328" s="1"/>
      <c r="K5328" s="1"/>
    </row>
    <row r="5329" spans="5:11" x14ac:dyDescent="0.3">
      <c r="E5329" s="6"/>
      <c r="F5329" s="1"/>
      <c r="K5329" s="1"/>
    </row>
    <row r="5330" spans="5:11" x14ac:dyDescent="0.3">
      <c r="E5330" s="6"/>
      <c r="F5330" s="1"/>
      <c r="K5330" s="1"/>
    </row>
    <row r="5331" spans="5:11" x14ac:dyDescent="0.3">
      <c r="E5331" s="6"/>
      <c r="F5331" s="1"/>
      <c r="K5331" s="1"/>
    </row>
    <row r="5332" spans="5:11" x14ac:dyDescent="0.3">
      <c r="E5332" s="6"/>
      <c r="F5332" s="1"/>
      <c r="K5332" s="1"/>
    </row>
    <row r="5333" spans="5:11" x14ac:dyDescent="0.3">
      <c r="E5333" s="6"/>
      <c r="F5333" s="1"/>
      <c r="K5333" s="1"/>
    </row>
    <row r="5334" spans="5:11" x14ac:dyDescent="0.3">
      <c r="E5334" s="6"/>
      <c r="F5334" s="1"/>
      <c r="K5334" s="1"/>
    </row>
    <row r="5335" spans="5:11" x14ac:dyDescent="0.3">
      <c r="E5335" s="6"/>
      <c r="F5335" s="1"/>
      <c r="K5335" s="1"/>
    </row>
    <row r="5336" spans="5:11" x14ac:dyDescent="0.3">
      <c r="E5336" s="6"/>
      <c r="F5336" s="1"/>
      <c r="K5336" s="1"/>
    </row>
    <row r="5337" spans="5:11" x14ac:dyDescent="0.3">
      <c r="E5337" s="6"/>
      <c r="F5337" s="1"/>
      <c r="K5337" s="1"/>
    </row>
    <row r="5338" spans="5:11" x14ac:dyDescent="0.3">
      <c r="E5338" s="6"/>
      <c r="F5338" s="1"/>
      <c r="K5338" s="1"/>
    </row>
    <row r="5339" spans="5:11" x14ac:dyDescent="0.3">
      <c r="E5339" s="6"/>
      <c r="F5339" s="1"/>
      <c r="K5339" s="1"/>
    </row>
    <row r="5340" spans="5:11" x14ac:dyDescent="0.3">
      <c r="E5340" s="6"/>
      <c r="F5340" s="1"/>
      <c r="K5340" s="1"/>
    </row>
    <row r="5341" spans="5:11" x14ac:dyDescent="0.3">
      <c r="E5341" s="6"/>
      <c r="F5341" s="1"/>
      <c r="K5341" s="1"/>
    </row>
    <row r="5342" spans="5:11" x14ac:dyDescent="0.3">
      <c r="E5342" s="6"/>
      <c r="F5342" s="1"/>
      <c r="K5342" s="1"/>
    </row>
    <row r="5343" spans="5:11" x14ac:dyDescent="0.3">
      <c r="E5343" s="6"/>
      <c r="F5343" s="1"/>
      <c r="K5343" s="1"/>
    </row>
    <row r="5344" spans="5:11" x14ac:dyDescent="0.3">
      <c r="E5344" s="6"/>
      <c r="F5344" s="1"/>
      <c r="K5344" s="1"/>
    </row>
    <row r="5345" spans="5:11" x14ac:dyDescent="0.3">
      <c r="E5345" s="6"/>
      <c r="F5345" s="1"/>
      <c r="K5345" s="1"/>
    </row>
    <row r="5346" spans="5:11" x14ac:dyDescent="0.3">
      <c r="E5346" s="6"/>
      <c r="F5346" s="1"/>
      <c r="K5346" s="1"/>
    </row>
    <row r="5347" spans="5:11" x14ac:dyDescent="0.3">
      <c r="E5347" s="6"/>
      <c r="F5347" s="1"/>
      <c r="K5347" s="1"/>
    </row>
    <row r="5348" spans="5:11" x14ac:dyDescent="0.3">
      <c r="E5348" s="6"/>
      <c r="F5348" s="1"/>
      <c r="K5348" s="1"/>
    </row>
    <row r="5349" spans="5:11" x14ac:dyDescent="0.3">
      <c r="E5349" s="6"/>
      <c r="F5349" s="1"/>
      <c r="K5349" s="1"/>
    </row>
    <row r="5350" spans="5:11" x14ac:dyDescent="0.3">
      <c r="E5350" s="6"/>
      <c r="F5350" s="1"/>
      <c r="K5350" s="1"/>
    </row>
    <row r="5351" spans="5:11" x14ac:dyDescent="0.3">
      <c r="E5351" s="6"/>
      <c r="F5351" s="1"/>
      <c r="K5351" s="1"/>
    </row>
    <row r="5352" spans="5:11" x14ac:dyDescent="0.3">
      <c r="E5352" s="6"/>
      <c r="F5352" s="1"/>
      <c r="K5352" s="1"/>
    </row>
    <row r="5353" spans="5:11" x14ac:dyDescent="0.3">
      <c r="E5353" s="6"/>
      <c r="F5353" s="1"/>
      <c r="K5353" s="1"/>
    </row>
    <row r="5354" spans="5:11" x14ac:dyDescent="0.3">
      <c r="E5354" s="6"/>
      <c r="F5354" s="1"/>
      <c r="K5354" s="1"/>
    </row>
    <row r="5355" spans="5:11" x14ac:dyDescent="0.3">
      <c r="E5355" s="6"/>
      <c r="F5355" s="1"/>
      <c r="K5355" s="1"/>
    </row>
    <row r="5356" spans="5:11" x14ac:dyDescent="0.3">
      <c r="E5356" s="6"/>
      <c r="F5356" s="1"/>
      <c r="K5356" s="1"/>
    </row>
    <row r="5357" spans="5:11" x14ac:dyDescent="0.3">
      <c r="E5357" s="6"/>
      <c r="F5357" s="1"/>
      <c r="K5357" s="1"/>
    </row>
    <row r="5358" spans="5:11" x14ac:dyDescent="0.3">
      <c r="E5358" s="6"/>
      <c r="F5358" s="1"/>
      <c r="K5358" s="1"/>
    </row>
    <row r="5359" spans="5:11" x14ac:dyDescent="0.3">
      <c r="E5359" s="6"/>
      <c r="F5359" s="1"/>
      <c r="K5359" s="1"/>
    </row>
    <row r="5360" spans="5:11" x14ac:dyDescent="0.3">
      <c r="E5360" s="6"/>
      <c r="F5360" s="1"/>
      <c r="K5360" s="1"/>
    </row>
    <row r="5361" spans="5:11" x14ac:dyDescent="0.3">
      <c r="E5361" s="6"/>
      <c r="F5361" s="1"/>
      <c r="K5361" s="1"/>
    </row>
    <row r="5362" spans="5:11" x14ac:dyDescent="0.3">
      <c r="E5362" s="6"/>
      <c r="F5362" s="1"/>
      <c r="K5362" s="1"/>
    </row>
    <row r="5363" spans="5:11" x14ac:dyDescent="0.3">
      <c r="E5363" s="5"/>
      <c r="F5363" s="1"/>
      <c r="K5363" s="1"/>
    </row>
    <row r="5364" spans="5:11" x14ac:dyDescent="0.3">
      <c r="E5364" s="6"/>
      <c r="F5364" s="1"/>
      <c r="K5364" s="1"/>
    </row>
    <row r="5365" spans="5:11" x14ac:dyDescent="0.3">
      <c r="E5365" s="6"/>
      <c r="F5365" s="1"/>
      <c r="K5365" s="1"/>
    </row>
    <row r="5366" spans="5:11" x14ac:dyDescent="0.3">
      <c r="E5366" s="6"/>
      <c r="F5366" s="1"/>
      <c r="K5366" s="1"/>
    </row>
    <row r="5367" spans="5:11" x14ac:dyDescent="0.3">
      <c r="E5367" s="6"/>
      <c r="F5367" s="1"/>
      <c r="K5367" s="1"/>
    </row>
    <row r="5368" spans="5:11" x14ac:dyDescent="0.3">
      <c r="E5368" s="6"/>
      <c r="F5368" s="1"/>
      <c r="K5368" s="1"/>
    </row>
    <row r="5369" spans="5:11" x14ac:dyDescent="0.3">
      <c r="E5369" s="6"/>
      <c r="F5369" s="1"/>
      <c r="K5369" s="1"/>
    </row>
    <row r="5370" spans="5:11" x14ac:dyDescent="0.3">
      <c r="E5370" s="6"/>
      <c r="F5370" s="1"/>
      <c r="K5370" s="1"/>
    </row>
    <row r="5371" spans="5:11" x14ac:dyDescent="0.3">
      <c r="E5371" s="6"/>
      <c r="F5371" s="1"/>
      <c r="K5371" s="1"/>
    </row>
    <row r="5372" spans="5:11" x14ac:dyDescent="0.3">
      <c r="E5372" s="6"/>
      <c r="F5372" s="1"/>
      <c r="K5372" s="1"/>
    </row>
    <row r="5373" spans="5:11" x14ac:dyDescent="0.3">
      <c r="E5373" s="6"/>
      <c r="F5373" s="1"/>
      <c r="K5373" s="1"/>
    </row>
    <row r="5374" spans="5:11" x14ac:dyDescent="0.3">
      <c r="E5374" s="6"/>
      <c r="F5374" s="1"/>
      <c r="K5374" s="1"/>
    </row>
    <row r="5375" spans="5:11" x14ac:dyDescent="0.3">
      <c r="E5375" s="6"/>
      <c r="F5375" s="1"/>
      <c r="K5375" s="1"/>
    </row>
    <row r="5376" spans="5:11" x14ac:dyDescent="0.3">
      <c r="E5376" s="6"/>
      <c r="F5376" s="1"/>
      <c r="K5376" s="1"/>
    </row>
    <row r="5377" spans="5:11" x14ac:dyDescent="0.3">
      <c r="E5377" s="6"/>
      <c r="F5377" s="1"/>
      <c r="K5377" s="1"/>
    </row>
    <row r="5378" spans="5:11" x14ac:dyDescent="0.3">
      <c r="E5378" s="6"/>
      <c r="F5378" s="1"/>
      <c r="K5378" s="1"/>
    </row>
    <row r="5379" spans="5:11" x14ac:dyDescent="0.3">
      <c r="E5379" s="6"/>
      <c r="F5379" s="1"/>
      <c r="K5379" s="1"/>
    </row>
    <row r="5380" spans="5:11" x14ac:dyDescent="0.3">
      <c r="E5380" s="6"/>
      <c r="F5380" s="1"/>
      <c r="K5380" s="1"/>
    </row>
    <row r="5381" spans="5:11" x14ac:dyDescent="0.3">
      <c r="E5381" s="6"/>
      <c r="F5381" s="1"/>
      <c r="K5381" s="1"/>
    </row>
    <row r="5382" spans="5:11" x14ac:dyDescent="0.3">
      <c r="E5382" s="6"/>
      <c r="F5382" s="1"/>
      <c r="K5382" s="1"/>
    </row>
    <row r="5383" spans="5:11" x14ac:dyDescent="0.3">
      <c r="E5383" s="6"/>
      <c r="F5383" s="1"/>
      <c r="K5383" s="1"/>
    </row>
    <row r="5384" spans="5:11" x14ac:dyDescent="0.3">
      <c r="E5384" s="6"/>
      <c r="F5384" s="1"/>
      <c r="K5384" s="1"/>
    </row>
    <row r="5385" spans="5:11" x14ac:dyDescent="0.3">
      <c r="E5385" s="6"/>
      <c r="F5385" s="1"/>
      <c r="K5385" s="1"/>
    </row>
    <row r="5386" spans="5:11" x14ac:dyDescent="0.3">
      <c r="E5386" s="6"/>
      <c r="F5386" s="1"/>
      <c r="K5386" s="1"/>
    </row>
    <row r="5387" spans="5:11" x14ac:dyDescent="0.3">
      <c r="E5387" s="6"/>
      <c r="F5387" s="1"/>
      <c r="K5387" s="1"/>
    </row>
    <row r="5388" spans="5:11" x14ac:dyDescent="0.3">
      <c r="E5388" s="6"/>
      <c r="F5388" s="1"/>
      <c r="K5388" s="1"/>
    </row>
    <row r="5389" spans="5:11" x14ac:dyDescent="0.3">
      <c r="E5389" s="6"/>
      <c r="F5389" s="1"/>
      <c r="K5389" s="1"/>
    </row>
    <row r="5390" spans="5:11" x14ac:dyDescent="0.3">
      <c r="E5390" s="6"/>
      <c r="F5390" s="1"/>
      <c r="K5390" s="1"/>
    </row>
    <row r="5391" spans="5:11" x14ac:dyDescent="0.3">
      <c r="E5391" s="6"/>
      <c r="F5391" s="1"/>
      <c r="K5391" s="1"/>
    </row>
    <row r="5392" spans="5:11" x14ac:dyDescent="0.3">
      <c r="E5392" s="6"/>
      <c r="F5392" s="1"/>
      <c r="K5392" s="1"/>
    </row>
    <row r="5393" spans="5:11" x14ac:dyDescent="0.3">
      <c r="E5393" s="6"/>
      <c r="F5393" s="1"/>
      <c r="K5393" s="1"/>
    </row>
    <row r="5394" spans="5:11" x14ac:dyDescent="0.3">
      <c r="E5394" s="6"/>
      <c r="F5394" s="1"/>
      <c r="K5394" s="1"/>
    </row>
    <row r="5395" spans="5:11" x14ac:dyDescent="0.3">
      <c r="E5395" s="6"/>
      <c r="F5395" s="1"/>
      <c r="K5395" s="1"/>
    </row>
    <row r="5396" spans="5:11" x14ac:dyDescent="0.3">
      <c r="E5396" s="6"/>
      <c r="F5396" s="1"/>
      <c r="K5396" s="1"/>
    </row>
    <row r="5397" spans="5:11" x14ac:dyDescent="0.3">
      <c r="E5397" s="6"/>
      <c r="F5397" s="1"/>
      <c r="K5397" s="1"/>
    </row>
    <row r="5398" spans="5:11" x14ac:dyDescent="0.3">
      <c r="E5398" s="6"/>
      <c r="F5398" s="1"/>
      <c r="K5398" s="1"/>
    </row>
    <row r="5399" spans="5:11" x14ac:dyDescent="0.3">
      <c r="E5399" s="6"/>
      <c r="F5399" s="1"/>
      <c r="K5399" s="1"/>
    </row>
    <row r="5400" spans="5:11" x14ac:dyDescent="0.3">
      <c r="E5400" s="6"/>
      <c r="F5400" s="1"/>
      <c r="K5400" s="1"/>
    </row>
    <row r="5401" spans="5:11" x14ac:dyDescent="0.3">
      <c r="E5401" s="5"/>
      <c r="F5401" s="1"/>
      <c r="K5401" s="1"/>
    </row>
    <row r="5402" spans="5:11" x14ac:dyDescent="0.3">
      <c r="E5402" s="5"/>
      <c r="F5402" s="1"/>
      <c r="K5402" s="1"/>
    </row>
    <row r="5403" spans="5:11" x14ac:dyDescent="0.3">
      <c r="E5403" s="6"/>
      <c r="F5403" s="1"/>
      <c r="K5403" s="1"/>
    </row>
    <row r="5404" spans="5:11" x14ac:dyDescent="0.3">
      <c r="E5404" s="6"/>
      <c r="F5404" s="1"/>
      <c r="K5404" s="1"/>
    </row>
    <row r="5405" spans="5:11" x14ac:dyDescent="0.3">
      <c r="E5405" s="6"/>
      <c r="F5405" s="1"/>
      <c r="K5405" s="1"/>
    </row>
    <row r="5406" spans="5:11" x14ac:dyDescent="0.3">
      <c r="E5406" s="6"/>
      <c r="F5406" s="1"/>
      <c r="K5406" s="1"/>
    </row>
    <row r="5407" spans="5:11" x14ac:dyDescent="0.3">
      <c r="E5407" s="6"/>
      <c r="F5407" s="1"/>
      <c r="K5407" s="1"/>
    </row>
    <row r="5408" spans="5:11" x14ac:dyDescent="0.3">
      <c r="E5408" s="6"/>
      <c r="F5408" s="1"/>
      <c r="K5408" s="1"/>
    </row>
    <row r="5409" spans="5:11" x14ac:dyDescent="0.3">
      <c r="E5409" s="6"/>
      <c r="F5409" s="1"/>
      <c r="K5409" s="1"/>
    </row>
    <row r="5410" spans="5:11" x14ac:dyDescent="0.3">
      <c r="E5410" s="6"/>
      <c r="F5410" s="1"/>
      <c r="K5410" s="1"/>
    </row>
    <row r="5411" spans="5:11" x14ac:dyDescent="0.3">
      <c r="E5411" s="6"/>
      <c r="F5411" s="1"/>
      <c r="K5411" s="1"/>
    </row>
    <row r="5412" spans="5:11" x14ac:dyDescent="0.3">
      <c r="E5412" s="6"/>
      <c r="F5412" s="1"/>
      <c r="K5412" s="1"/>
    </row>
    <row r="5413" spans="5:11" x14ac:dyDescent="0.3">
      <c r="E5413" s="6"/>
      <c r="F5413" s="1"/>
      <c r="K5413" s="1"/>
    </row>
    <row r="5414" spans="5:11" x14ac:dyDescent="0.3">
      <c r="E5414" s="6"/>
      <c r="F5414" s="1"/>
      <c r="K5414" s="1"/>
    </row>
    <row r="5415" spans="5:11" x14ac:dyDescent="0.3">
      <c r="E5415" s="6"/>
      <c r="F5415" s="1"/>
      <c r="K5415" s="1"/>
    </row>
    <row r="5416" spans="5:11" x14ac:dyDescent="0.3">
      <c r="E5416" s="6"/>
      <c r="F5416" s="1"/>
      <c r="K5416" s="1"/>
    </row>
    <row r="5417" spans="5:11" x14ac:dyDescent="0.3">
      <c r="E5417" s="6"/>
      <c r="F5417" s="1"/>
      <c r="K5417" s="1"/>
    </row>
    <row r="5418" spans="5:11" x14ac:dyDescent="0.3">
      <c r="E5418" s="6"/>
      <c r="F5418" s="1"/>
      <c r="K5418" s="1"/>
    </row>
    <row r="5419" spans="5:11" x14ac:dyDescent="0.3">
      <c r="E5419" s="6"/>
      <c r="F5419" s="1"/>
      <c r="K5419" s="1"/>
    </row>
    <row r="5420" spans="5:11" x14ac:dyDescent="0.3">
      <c r="E5420" s="6"/>
      <c r="F5420" s="1"/>
      <c r="K5420" s="1"/>
    </row>
    <row r="5421" spans="5:11" x14ac:dyDescent="0.3">
      <c r="E5421" s="6"/>
      <c r="F5421" s="1"/>
      <c r="K5421" s="1"/>
    </row>
    <row r="5422" spans="5:11" x14ac:dyDescent="0.3">
      <c r="E5422" s="6"/>
      <c r="F5422" s="1"/>
      <c r="K5422" s="1"/>
    </row>
    <row r="5423" spans="5:11" x14ac:dyDescent="0.3">
      <c r="E5423" s="6"/>
      <c r="F5423" s="1"/>
      <c r="K5423" s="1"/>
    </row>
    <row r="5424" spans="5:11" x14ac:dyDescent="0.3">
      <c r="E5424" s="5"/>
      <c r="F5424" s="1"/>
      <c r="K5424" s="1"/>
    </row>
    <row r="5425" spans="5:11" x14ac:dyDescent="0.3">
      <c r="E5425" s="5"/>
      <c r="F5425" s="1"/>
      <c r="K5425" s="1"/>
    </row>
    <row r="5426" spans="5:11" x14ac:dyDescent="0.3">
      <c r="E5426" s="6"/>
      <c r="F5426" s="1"/>
      <c r="K5426" s="1"/>
    </row>
    <row r="5427" spans="5:11" x14ac:dyDescent="0.3">
      <c r="E5427" s="6"/>
      <c r="F5427" s="1"/>
      <c r="K5427" s="1"/>
    </row>
    <row r="5428" spans="5:11" x14ac:dyDescent="0.3">
      <c r="E5428" s="6"/>
      <c r="F5428" s="1"/>
      <c r="K5428" s="1"/>
    </row>
    <row r="5429" spans="5:11" x14ac:dyDescent="0.3">
      <c r="E5429" s="6"/>
      <c r="F5429" s="1"/>
      <c r="K5429" s="1"/>
    </row>
    <row r="5430" spans="5:11" x14ac:dyDescent="0.3">
      <c r="E5430" s="6"/>
      <c r="F5430" s="1"/>
      <c r="K5430" s="1"/>
    </row>
    <row r="5431" spans="5:11" x14ac:dyDescent="0.3">
      <c r="E5431" s="6"/>
      <c r="F5431" s="1"/>
      <c r="K5431" s="1"/>
    </row>
    <row r="5432" spans="5:11" x14ac:dyDescent="0.3">
      <c r="E5432" s="6"/>
      <c r="F5432" s="1"/>
      <c r="K5432" s="1"/>
    </row>
    <row r="5433" spans="5:11" x14ac:dyDescent="0.3">
      <c r="E5433" s="6"/>
      <c r="F5433" s="1"/>
      <c r="K5433" s="1"/>
    </row>
    <row r="5434" spans="5:11" x14ac:dyDescent="0.3">
      <c r="E5434" s="6"/>
      <c r="F5434" s="1"/>
      <c r="K5434" s="1"/>
    </row>
    <row r="5435" spans="5:11" x14ac:dyDescent="0.3">
      <c r="E5435" s="6"/>
      <c r="F5435" s="1"/>
      <c r="K5435" s="1"/>
    </row>
    <row r="5436" spans="5:11" x14ac:dyDescent="0.3">
      <c r="E5436" s="6"/>
      <c r="F5436" s="1"/>
      <c r="K5436" s="1"/>
    </row>
    <row r="5437" spans="5:11" x14ac:dyDescent="0.3">
      <c r="E5437" s="6"/>
      <c r="F5437" s="1"/>
      <c r="K5437" s="1"/>
    </row>
    <row r="5438" spans="5:11" x14ac:dyDescent="0.3">
      <c r="E5438" s="6"/>
      <c r="F5438" s="1"/>
      <c r="K5438" s="1"/>
    </row>
    <row r="5439" spans="5:11" x14ac:dyDescent="0.3">
      <c r="E5439" s="6"/>
      <c r="F5439" s="1"/>
      <c r="K5439" s="1"/>
    </row>
    <row r="5440" spans="5:11" x14ac:dyDescent="0.3">
      <c r="E5440" s="6"/>
      <c r="F5440" s="1"/>
      <c r="K5440" s="1"/>
    </row>
    <row r="5441" spans="5:11" x14ac:dyDescent="0.3">
      <c r="E5441" s="6"/>
      <c r="F5441" s="1"/>
      <c r="K5441" s="1"/>
    </row>
    <row r="5442" spans="5:11" x14ac:dyDescent="0.3">
      <c r="E5442" s="6"/>
      <c r="F5442" s="1"/>
      <c r="K5442" s="1"/>
    </row>
    <row r="5443" spans="5:11" x14ac:dyDescent="0.3">
      <c r="E5443" s="6"/>
      <c r="F5443" s="1"/>
      <c r="K5443" s="1"/>
    </row>
    <row r="5444" spans="5:11" x14ac:dyDescent="0.3">
      <c r="E5444" s="6"/>
      <c r="F5444" s="1"/>
      <c r="K5444" s="1"/>
    </row>
    <row r="5445" spans="5:11" x14ac:dyDescent="0.3">
      <c r="E5445" s="6"/>
      <c r="F5445" s="1"/>
      <c r="K5445" s="1"/>
    </row>
    <row r="5446" spans="5:11" x14ac:dyDescent="0.3">
      <c r="E5446" s="6"/>
      <c r="F5446" s="1"/>
      <c r="K5446" s="1"/>
    </row>
    <row r="5447" spans="5:11" x14ac:dyDescent="0.3">
      <c r="E5447" s="6"/>
      <c r="F5447" s="1"/>
      <c r="K5447" s="1"/>
    </row>
    <row r="5448" spans="5:11" x14ac:dyDescent="0.3">
      <c r="E5448" s="6"/>
      <c r="F5448" s="1"/>
      <c r="K5448" s="1"/>
    </row>
    <row r="5449" spans="5:11" x14ac:dyDescent="0.3">
      <c r="E5449" s="6"/>
      <c r="F5449" s="1"/>
      <c r="K5449" s="1"/>
    </row>
    <row r="5450" spans="5:11" x14ac:dyDescent="0.3">
      <c r="E5450" s="5"/>
      <c r="F5450" s="1"/>
      <c r="K5450" s="1"/>
    </row>
    <row r="5451" spans="5:11" x14ac:dyDescent="0.3">
      <c r="E5451" s="5"/>
      <c r="F5451" s="1"/>
      <c r="K5451" s="1"/>
    </row>
    <row r="5452" spans="5:11" x14ac:dyDescent="0.3">
      <c r="E5452" s="5"/>
      <c r="F5452" s="1"/>
      <c r="K5452" s="1"/>
    </row>
    <row r="5453" spans="5:11" x14ac:dyDescent="0.3">
      <c r="E5453" s="6"/>
      <c r="F5453" s="1"/>
      <c r="K5453" s="1"/>
    </row>
    <row r="5454" spans="5:11" x14ac:dyDescent="0.3">
      <c r="E5454" s="6"/>
      <c r="F5454" s="1"/>
      <c r="K5454" s="1"/>
    </row>
    <row r="5455" spans="5:11" x14ac:dyDescent="0.3">
      <c r="E5455" s="6"/>
      <c r="F5455" s="1"/>
      <c r="K5455" s="1"/>
    </row>
    <row r="5456" spans="5:11" x14ac:dyDescent="0.3">
      <c r="E5456" s="6"/>
      <c r="F5456" s="1"/>
      <c r="K5456" s="1"/>
    </row>
    <row r="5457" spans="5:11" x14ac:dyDescent="0.3">
      <c r="E5457" s="6"/>
      <c r="F5457" s="1"/>
      <c r="K5457" s="1"/>
    </row>
    <row r="5458" spans="5:11" x14ac:dyDescent="0.3">
      <c r="E5458" s="6"/>
      <c r="F5458" s="1"/>
      <c r="K5458" s="1"/>
    </row>
    <row r="5459" spans="5:11" x14ac:dyDescent="0.3">
      <c r="E5459" s="6"/>
      <c r="F5459" s="1"/>
      <c r="K5459" s="1"/>
    </row>
    <row r="5460" spans="5:11" x14ac:dyDescent="0.3">
      <c r="E5460" s="6"/>
      <c r="F5460" s="1"/>
      <c r="K5460" s="1"/>
    </row>
    <row r="5461" spans="5:11" x14ac:dyDescent="0.3">
      <c r="E5461" s="6"/>
      <c r="F5461" s="1"/>
      <c r="K5461" s="1"/>
    </row>
    <row r="5462" spans="5:11" x14ac:dyDescent="0.3">
      <c r="E5462" s="6"/>
      <c r="F5462" s="1"/>
      <c r="K5462" s="1"/>
    </row>
    <row r="5463" spans="5:11" x14ac:dyDescent="0.3">
      <c r="E5463" s="6"/>
      <c r="F5463" s="1"/>
      <c r="K5463" s="1"/>
    </row>
    <row r="5464" spans="5:11" x14ac:dyDescent="0.3">
      <c r="E5464" s="6"/>
      <c r="F5464" s="1"/>
      <c r="K5464" s="1"/>
    </row>
    <row r="5465" spans="5:11" x14ac:dyDescent="0.3">
      <c r="E5465" s="6"/>
      <c r="F5465" s="1"/>
      <c r="K5465" s="1"/>
    </row>
    <row r="5466" spans="5:11" x14ac:dyDescent="0.3">
      <c r="E5466" s="6"/>
      <c r="F5466" s="1"/>
      <c r="K5466" s="1"/>
    </row>
    <row r="5467" spans="5:11" x14ac:dyDescent="0.3">
      <c r="E5467" s="6"/>
      <c r="F5467" s="1"/>
      <c r="K5467" s="1"/>
    </row>
    <row r="5468" spans="5:11" x14ac:dyDescent="0.3">
      <c r="E5468" s="6"/>
      <c r="F5468" s="1"/>
      <c r="K5468" s="1"/>
    </row>
    <row r="5469" spans="5:11" x14ac:dyDescent="0.3">
      <c r="E5469" s="6"/>
      <c r="F5469" s="1"/>
      <c r="K5469" s="1"/>
    </row>
    <row r="5470" spans="5:11" x14ac:dyDescent="0.3">
      <c r="E5470" s="6"/>
      <c r="F5470" s="1"/>
      <c r="K5470" s="1"/>
    </row>
    <row r="5471" spans="5:11" x14ac:dyDescent="0.3">
      <c r="E5471" s="6"/>
      <c r="F5471" s="1"/>
      <c r="K5471" s="1"/>
    </row>
    <row r="5472" spans="5:11" x14ac:dyDescent="0.3">
      <c r="E5472" s="6"/>
      <c r="F5472" s="1"/>
      <c r="K5472" s="1"/>
    </row>
    <row r="5473" spans="5:11" x14ac:dyDescent="0.3">
      <c r="E5473" s="6"/>
      <c r="F5473" s="1"/>
      <c r="K5473" s="1"/>
    </row>
    <row r="5474" spans="5:11" x14ac:dyDescent="0.3">
      <c r="E5474" s="6"/>
      <c r="F5474" s="1"/>
      <c r="K5474" s="1"/>
    </row>
    <row r="5475" spans="5:11" x14ac:dyDescent="0.3">
      <c r="E5475" s="6"/>
      <c r="F5475" s="1"/>
      <c r="K5475" s="1"/>
    </row>
    <row r="5476" spans="5:11" x14ac:dyDescent="0.3">
      <c r="E5476" s="6"/>
      <c r="F5476" s="1"/>
      <c r="K5476" s="1"/>
    </row>
    <row r="5477" spans="5:11" x14ac:dyDescent="0.3">
      <c r="E5477" s="6"/>
      <c r="F5477" s="1"/>
      <c r="K5477" s="1"/>
    </row>
    <row r="5478" spans="5:11" x14ac:dyDescent="0.3">
      <c r="E5478" s="6"/>
      <c r="F5478" s="1"/>
      <c r="K5478" s="1"/>
    </row>
    <row r="5479" spans="5:11" x14ac:dyDescent="0.3">
      <c r="E5479" s="5"/>
      <c r="F5479" s="1"/>
      <c r="K5479" s="1"/>
    </row>
    <row r="5480" spans="5:11" x14ac:dyDescent="0.3">
      <c r="E5480" s="5"/>
      <c r="F5480" s="1"/>
      <c r="K5480" s="1"/>
    </row>
    <row r="5481" spans="5:11" x14ac:dyDescent="0.3">
      <c r="E5481" s="5"/>
      <c r="F5481" s="1"/>
      <c r="K5481" s="1"/>
    </row>
    <row r="5482" spans="5:11" x14ac:dyDescent="0.3">
      <c r="E5482" s="5"/>
      <c r="F5482" s="1"/>
      <c r="K5482" s="1"/>
    </row>
    <row r="5483" spans="5:11" x14ac:dyDescent="0.3">
      <c r="E5483" s="6"/>
      <c r="F5483" s="1"/>
      <c r="K5483" s="1"/>
    </row>
    <row r="5484" spans="5:11" x14ac:dyDescent="0.3">
      <c r="E5484" s="6"/>
      <c r="F5484" s="1"/>
      <c r="K5484" s="1"/>
    </row>
    <row r="5485" spans="5:11" x14ac:dyDescent="0.3">
      <c r="E5485" s="6"/>
      <c r="F5485" s="1"/>
      <c r="K5485" s="1"/>
    </row>
    <row r="5486" spans="5:11" x14ac:dyDescent="0.3">
      <c r="E5486" s="6"/>
      <c r="F5486" s="1"/>
      <c r="K5486" s="1"/>
    </row>
    <row r="5487" spans="5:11" x14ac:dyDescent="0.3">
      <c r="E5487" s="6"/>
      <c r="F5487" s="1"/>
      <c r="K5487" s="1"/>
    </row>
    <row r="5488" spans="5:11" x14ac:dyDescent="0.3">
      <c r="E5488" s="6"/>
      <c r="F5488" s="1"/>
      <c r="K5488" s="1"/>
    </row>
    <row r="5489" spans="5:11" x14ac:dyDescent="0.3">
      <c r="E5489" s="6"/>
      <c r="F5489" s="1"/>
      <c r="K5489" s="1"/>
    </row>
    <row r="5490" spans="5:11" x14ac:dyDescent="0.3">
      <c r="E5490" s="6"/>
      <c r="F5490" s="1"/>
      <c r="K5490" s="1"/>
    </row>
    <row r="5491" spans="5:11" x14ac:dyDescent="0.3">
      <c r="E5491" s="6"/>
      <c r="F5491" s="1"/>
      <c r="K5491" s="1"/>
    </row>
    <row r="5492" spans="5:11" x14ac:dyDescent="0.3">
      <c r="E5492" s="6"/>
      <c r="F5492" s="1"/>
      <c r="K5492" s="1"/>
    </row>
    <row r="5493" spans="5:11" x14ac:dyDescent="0.3">
      <c r="E5493" s="6"/>
      <c r="F5493" s="1"/>
      <c r="K5493" s="1"/>
    </row>
    <row r="5494" spans="5:11" x14ac:dyDescent="0.3">
      <c r="E5494" s="6"/>
      <c r="F5494" s="1"/>
      <c r="K5494" s="1"/>
    </row>
    <row r="5495" spans="5:11" x14ac:dyDescent="0.3">
      <c r="E5495" s="6"/>
      <c r="F5495" s="1"/>
      <c r="K5495" s="1"/>
    </row>
    <row r="5496" spans="5:11" x14ac:dyDescent="0.3">
      <c r="E5496" s="6"/>
      <c r="F5496" s="1"/>
      <c r="K5496" s="1"/>
    </row>
    <row r="5497" spans="5:11" x14ac:dyDescent="0.3">
      <c r="E5497" s="6"/>
      <c r="F5497" s="1"/>
      <c r="K5497" s="1"/>
    </row>
    <row r="5498" spans="5:11" x14ac:dyDescent="0.3">
      <c r="E5498" s="6"/>
      <c r="F5498" s="1"/>
      <c r="K5498" s="1"/>
    </row>
    <row r="5499" spans="5:11" x14ac:dyDescent="0.3">
      <c r="E5499" s="6"/>
      <c r="F5499" s="1"/>
      <c r="K5499" s="1"/>
    </row>
    <row r="5500" spans="5:11" x14ac:dyDescent="0.3">
      <c r="E5500" s="6"/>
      <c r="F5500" s="1"/>
      <c r="K5500" s="1"/>
    </row>
    <row r="5501" spans="5:11" x14ac:dyDescent="0.3">
      <c r="E5501" s="6"/>
      <c r="F5501" s="1"/>
      <c r="K5501" s="1"/>
    </row>
    <row r="5502" spans="5:11" x14ac:dyDescent="0.3">
      <c r="E5502" s="6"/>
      <c r="F5502" s="1"/>
      <c r="K5502" s="1"/>
    </row>
    <row r="5503" spans="5:11" x14ac:dyDescent="0.3">
      <c r="E5503" s="6"/>
      <c r="F5503" s="1"/>
      <c r="K5503" s="1"/>
    </row>
    <row r="5504" spans="5:11" x14ac:dyDescent="0.3">
      <c r="E5504" s="6"/>
      <c r="F5504" s="1"/>
      <c r="K5504" s="1"/>
    </row>
    <row r="5505" spans="5:11" x14ac:dyDescent="0.3">
      <c r="E5505" s="6"/>
      <c r="F5505" s="1"/>
      <c r="K5505" s="1"/>
    </row>
    <row r="5506" spans="5:11" x14ac:dyDescent="0.3">
      <c r="E5506" s="6"/>
      <c r="F5506" s="1"/>
      <c r="K5506" s="1"/>
    </row>
    <row r="5507" spans="5:11" x14ac:dyDescent="0.3">
      <c r="E5507" s="6"/>
      <c r="F5507" s="1"/>
      <c r="K5507" s="1"/>
    </row>
    <row r="5508" spans="5:11" x14ac:dyDescent="0.3">
      <c r="E5508" s="6"/>
      <c r="F5508" s="1"/>
      <c r="K5508" s="1"/>
    </row>
    <row r="5509" spans="5:11" x14ac:dyDescent="0.3">
      <c r="E5509" s="6"/>
      <c r="F5509" s="1"/>
      <c r="K5509" s="1"/>
    </row>
    <row r="5510" spans="5:11" x14ac:dyDescent="0.3">
      <c r="E5510" s="6"/>
      <c r="F5510" s="1"/>
      <c r="K5510" s="1"/>
    </row>
    <row r="5511" spans="5:11" x14ac:dyDescent="0.3">
      <c r="E5511" s="6"/>
      <c r="F5511" s="1"/>
      <c r="K5511" s="1"/>
    </row>
    <row r="5512" spans="5:11" x14ac:dyDescent="0.3">
      <c r="E5512" s="6"/>
      <c r="F5512" s="1"/>
      <c r="K5512" s="1"/>
    </row>
    <row r="5513" spans="5:11" x14ac:dyDescent="0.3">
      <c r="E5513" s="6"/>
      <c r="F5513" s="1"/>
      <c r="K5513" s="1"/>
    </row>
    <row r="5514" spans="5:11" x14ac:dyDescent="0.3">
      <c r="E5514" s="6"/>
      <c r="F5514" s="1"/>
      <c r="K5514" s="1"/>
    </row>
    <row r="5515" spans="5:11" x14ac:dyDescent="0.3">
      <c r="E5515" s="6"/>
      <c r="F5515" s="1"/>
      <c r="K5515" s="1"/>
    </row>
    <row r="5516" spans="5:11" x14ac:dyDescent="0.3">
      <c r="E5516" s="6"/>
      <c r="F5516" s="1"/>
      <c r="K5516" s="1"/>
    </row>
    <row r="5517" spans="5:11" x14ac:dyDescent="0.3">
      <c r="E5517" s="6"/>
      <c r="F5517" s="1"/>
      <c r="K5517" s="1"/>
    </row>
    <row r="5518" spans="5:11" x14ac:dyDescent="0.3">
      <c r="E5518" s="6"/>
      <c r="F5518" s="1"/>
      <c r="K5518" s="1"/>
    </row>
    <row r="5519" spans="5:11" x14ac:dyDescent="0.3">
      <c r="E5519" s="6"/>
      <c r="F5519" s="1"/>
      <c r="K5519" s="1"/>
    </row>
    <row r="5520" spans="5:11" x14ac:dyDescent="0.3">
      <c r="E5520" s="6"/>
      <c r="F5520" s="1"/>
      <c r="K5520" s="1"/>
    </row>
    <row r="5521" spans="5:11" x14ac:dyDescent="0.3">
      <c r="E5521" s="6"/>
      <c r="F5521" s="1"/>
      <c r="K5521" s="1"/>
    </row>
    <row r="5522" spans="5:11" x14ac:dyDescent="0.3">
      <c r="E5522" s="6"/>
      <c r="F5522" s="1"/>
      <c r="K5522" s="1"/>
    </row>
    <row r="5523" spans="5:11" x14ac:dyDescent="0.3">
      <c r="E5523" s="6"/>
      <c r="F5523" s="1"/>
      <c r="K5523" s="1"/>
    </row>
    <row r="5524" spans="5:11" x14ac:dyDescent="0.3">
      <c r="E5524" s="6"/>
      <c r="F5524" s="1"/>
      <c r="K5524" s="1"/>
    </row>
    <row r="5525" spans="5:11" x14ac:dyDescent="0.3">
      <c r="E5525" s="6"/>
      <c r="F5525" s="1"/>
      <c r="K5525" s="1"/>
    </row>
    <row r="5526" spans="5:11" x14ac:dyDescent="0.3">
      <c r="E5526" s="6"/>
      <c r="F5526" s="1"/>
      <c r="K5526" s="1"/>
    </row>
    <row r="5527" spans="5:11" x14ac:dyDescent="0.3">
      <c r="E5527" s="6"/>
      <c r="F5527" s="1"/>
      <c r="K5527" s="1"/>
    </row>
    <row r="5528" spans="5:11" x14ac:dyDescent="0.3">
      <c r="E5528" s="6"/>
      <c r="F5528" s="1"/>
      <c r="K5528" s="1"/>
    </row>
    <row r="5529" spans="5:11" x14ac:dyDescent="0.3">
      <c r="E5529" s="6"/>
      <c r="F5529" s="1"/>
      <c r="K5529" s="1"/>
    </row>
    <row r="5530" spans="5:11" x14ac:dyDescent="0.3">
      <c r="E5530" s="6"/>
      <c r="F5530" s="1"/>
      <c r="K5530" s="1"/>
    </row>
    <row r="5531" spans="5:11" x14ac:dyDescent="0.3">
      <c r="E5531" s="6"/>
      <c r="F5531" s="1"/>
      <c r="K5531" s="1"/>
    </row>
    <row r="5532" spans="5:11" x14ac:dyDescent="0.3">
      <c r="E5532" s="6"/>
      <c r="F5532" s="1"/>
      <c r="K5532" s="1"/>
    </row>
    <row r="5533" spans="5:11" x14ac:dyDescent="0.3">
      <c r="E5533" s="6"/>
      <c r="F5533" s="1"/>
      <c r="K5533" s="1"/>
    </row>
    <row r="5534" spans="5:11" x14ac:dyDescent="0.3">
      <c r="E5534" s="6"/>
      <c r="F5534" s="1"/>
      <c r="K5534" s="1"/>
    </row>
    <row r="5535" spans="5:11" x14ac:dyDescent="0.3">
      <c r="E5535" s="6"/>
      <c r="F5535" s="1"/>
      <c r="K5535" s="1"/>
    </row>
    <row r="5536" spans="5:11" x14ac:dyDescent="0.3">
      <c r="E5536" s="6"/>
      <c r="F5536" s="1"/>
      <c r="K5536" s="1"/>
    </row>
    <row r="5537" spans="5:11" x14ac:dyDescent="0.3">
      <c r="E5537" s="6"/>
      <c r="F5537" s="1"/>
      <c r="K5537" s="1"/>
    </row>
    <row r="5538" spans="5:11" x14ac:dyDescent="0.3">
      <c r="E5538" s="6"/>
      <c r="F5538" s="1"/>
      <c r="K5538" s="1"/>
    </row>
    <row r="5539" spans="5:11" x14ac:dyDescent="0.3">
      <c r="E5539" s="6"/>
      <c r="F5539" s="1"/>
      <c r="K5539" s="1"/>
    </row>
    <row r="5540" spans="5:11" x14ac:dyDescent="0.3">
      <c r="E5540" s="6"/>
      <c r="F5540" s="1"/>
      <c r="K5540" s="1"/>
    </row>
    <row r="5541" spans="5:11" x14ac:dyDescent="0.3">
      <c r="E5541" s="6"/>
      <c r="F5541" s="1"/>
      <c r="K5541" s="1"/>
    </row>
    <row r="5542" spans="5:11" x14ac:dyDescent="0.3">
      <c r="E5542" s="6"/>
      <c r="F5542" s="1"/>
      <c r="K5542" s="1"/>
    </row>
    <row r="5543" spans="5:11" x14ac:dyDescent="0.3">
      <c r="E5543" s="6"/>
      <c r="F5543" s="1"/>
      <c r="K5543" s="1"/>
    </row>
    <row r="5544" spans="5:11" x14ac:dyDescent="0.3">
      <c r="E5544" s="6"/>
      <c r="F5544" s="1"/>
      <c r="K5544" s="1"/>
    </row>
    <row r="5545" spans="5:11" x14ac:dyDescent="0.3">
      <c r="E5545" s="6"/>
      <c r="F5545" s="1"/>
      <c r="K5545" s="1"/>
    </row>
    <row r="5546" spans="5:11" x14ac:dyDescent="0.3">
      <c r="E5546" s="6"/>
      <c r="F5546" s="1"/>
      <c r="K5546" s="1"/>
    </row>
    <row r="5547" spans="5:11" x14ac:dyDescent="0.3">
      <c r="E5547" s="6"/>
      <c r="F5547" s="1"/>
      <c r="K5547" s="1"/>
    </row>
    <row r="5548" spans="5:11" x14ac:dyDescent="0.3">
      <c r="E5548" s="6"/>
      <c r="F5548" s="1"/>
      <c r="K5548" s="1"/>
    </row>
    <row r="5549" spans="5:11" x14ac:dyDescent="0.3">
      <c r="E5549" s="6"/>
      <c r="F5549" s="1"/>
      <c r="K5549" s="1"/>
    </row>
    <row r="5550" spans="5:11" x14ac:dyDescent="0.3">
      <c r="E5550" s="6"/>
      <c r="F5550" s="1"/>
      <c r="K5550" s="1"/>
    </row>
    <row r="5551" spans="5:11" x14ac:dyDescent="0.3">
      <c r="E5551" s="6"/>
      <c r="F5551" s="1"/>
      <c r="K5551" s="1"/>
    </row>
    <row r="5552" spans="5:11" x14ac:dyDescent="0.3">
      <c r="E5552" s="6"/>
      <c r="F5552" s="1"/>
      <c r="K5552" s="1"/>
    </row>
    <row r="5553" spans="5:11" x14ac:dyDescent="0.3">
      <c r="E5553" s="6"/>
      <c r="F5553" s="1"/>
      <c r="K5553" s="1"/>
    </row>
    <row r="5554" spans="5:11" x14ac:dyDescent="0.3">
      <c r="E5554" s="6"/>
      <c r="F5554" s="1"/>
      <c r="K5554" s="1"/>
    </row>
    <row r="5555" spans="5:11" x14ac:dyDescent="0.3">
      <c r="E5555" s="6"/>
      <c r="F5555" s="1"/>
      <c r="K5555" s="1"/>
    </row>
    <row r="5556" spans="5:11" x14ac:dyDescent="0.3">
      <c r="E5556" s="6"/>
      <c r="F5556" s="1"/>
      <c r="K5556" s="1"/>
    </row>
    <row r="5557" spans="5:11" x14ac:dyDescent="0.3">
      <c r="E5557" s="6"/>
      <c r="F5557" s="1"/>
      <c r="K5557" s="1"/>
    </row>
    <row r="5558" spans="5:11" x14ac:dyDescent="0.3">
      <c r="E5558" s="5"/>
      <c r="F5558" s="1"/>
      <c r="K5558" s="1"/>
    </row>
    <row r="5559" spans="5:11" x14ac:dyDescent="0.3">
      <c r="E5559" s="6"/>
      <c r="F5559" s="1"/>
      <c r="K5559" s="1"/>
    </row>
    <row r="5560" spans="5:11" x14ac:dyDescent="0.3">
      <c r="E5560" s="6"/>
      <c r="F5560" s="1"/>
      <c r="K5560" s="1"/>
    </row>
    <row r="5561" spans="5:11" x14ac:dyDescent="0.3">
      <c r="E5561" s="6"/>
      <c r="F5561" s="1"/>
      <c r="K5561" s="1"/>
    </row>
    <row r="5562" spans="5:11" x14ac:dyDescent="0.3">
      <c r="E5562" s="6"/>
      <c r="F5562" s="1"/>
      <c r="K5562" s="1"/>
    </row>
    <row r="5563" spans="5:11" x14ac:dyDescent="0.3">
      <c r="E5563" s="6"/>
      <c r="F5563" s="1"/>
      <c r="K5563" s="1"/>
    </row>
    <row r="5564" spans="5:11" x14ac:dyDescent="0.3">
      <c r="E5564" s="6"/>
      <c r="F5564" s="1"/>
      <c r="K5564" s="1"/>
    </row>
    <row r="5565" spans="5:11" x14ac:dyDescent="0.3">
      <c r="E5565" s="6"/>
      <c r="F5565" s="1"/>
      <c r="K5565" s="1"/>
    </row>
    <row r="5566" spans="5:11" x14ac:dyDescent="0.3">
      <c r="E5566" s="6"/>
      <c r="F5566" s="1"/>
      <c r="K5566" s="1"/>
    </row>
    <row r="5567" spans="5:11" x14ac:dyDescent="0.3">
      <c r="E5567" s="6"/>
      <c r="F5567" s="1"/>
      <c r="K5567" s="1"/>
    </row>
    <row r="5568" spans="5:11" x14ac:dyDescent="0.3">
      <c r="E5568" s="6"/>
      <c r="F5568" s="1"/>
      <c r="K5568" s="1"/>
    </row>
    <row r="5569" spans="5:11" x14ac:dyDescent="0.3">
      <c r="E5569" s="6"/>
      <c r="F5569" s="1"/>
      <c r="K5569" s="1"/>
    </row>
    <row r="5570" spans="5:11" x14ac:dyDescent="0.3">
      <c r="E5570" s="6"/>
      <c r="F5570" s="1"/>
      <c r="K5570" s="1"/>
    </row>
    <row r="5571" spans="5:11" x14ac:dyDescent="0.3">
      <c r="E5571" s="6"/>
      <c r="F5571" s="1"/>
      <c r="K5571" s="1"/>
    </row>
    <row r="5572" spans="5:11" x14ac:dyDescent="0.3">
      <c r="E5572" s="6"/>
      <c r="F5572" s="1"/>
      <c r="K5572" s="1"/>
    </row>
    <row r="5573" spans="5:11" x14ac:dyDescent="0.3">
      <c r="E5573" s="6"/>
      <c r="F5573" s="1"/>
      <c r="K5573" s="1"/>
    </row>
    <row r="5574" spans="5:11" x14ac:dyDescent="0.3">
      <c r="E5574" s="6"/>
      <c r="F5574" s="1"/>
      <c r="K5574" s="1"/>
    </row>
    <row r="5575" spans="5:11" x14ac:dyDescent="0.3">
      <c r="E5575" s="6"/>
      <c r="F5575" s="1"/>
      <c r="K5575" s="1"/>
    </row>
    <row r="5576" spans="5:11" x14ac:dyDescent="0.3">
      <c r="E5576" s="6"/>
      <c r="F5576" s="1"/>
      <c r="K5576" s="1"/>
    </row>
    <row r="5577" spans="5:11" x14ac:dyDescent="0.3">
      <c r="E5577" s="6"/>
      <c r="F5577" s="1"/>
      <c r="K5577" s="1"/>
    </row>
    <row r="5578" spans="5:11" x14ac:dyDescent="0.3">
      <c r="E5578" s="6"/>
      <c r="F5578" s="1"/>
      <c r="K5578" s="1"/>
    </row>
    <row r="5579" spans="5:11" x14ac:dyDescent="0.3">
      <c r="E5579" s="6"/>
      <c r="F5579" s="1"/>
      <c r="K5579" s="1"/>
    </row>
    <row r="5580" spans="5:11" x14ac:dyDescent="0.3">
      <c r="E5580" s="6"/>
      <c r="F5580" s="1"/>
      <c r="K5580" s="1"/>
    </row>
    <row r="5581" spans="5:11" x14ac:dyDescent="0.3">
      <c r="E5581" s="6"/>
      <c r="F5581" s="1"/>
      <c r="K5581" s="1"/>
    </row>
    <row r="5582" spans="5:11" x14ac:dyDescent="0.3">
      <c r="E5582" s="6"/>
      <c r="F5582" s="1"/>
      <c r="K5582" s="1"/>
    </row>
    <row r="5583" spans="5:11" x14ac:dyDescent="0.3">
      <c r="E5583" s="6"/>
      <c r="F5583" s="1"/>
      <c r="K5583" s="1"/>
    </row>
    <row r="5584" spans="5:11" x14ac:dyDescent="0.3">
      <c r="E5584" s="6"/>
      <c r="F5584" s="1"/>
      <c r="K5584" s="1"/>
    </row>
    <row r="5585" spans="5:11" x14ac:dyDescent="0.3">
      <c r="E5585" s="6"/>
      <c r="F5585" s="1"/>
      <c r="K5585" s="1"/>
    </row>
    <row r="5586" spans="5:11" x14ac:dyDescent="0.3">
      <c r="E5586" s="6"/>
      <c r="F5586" s="1"/>
      <c r="K5586" s="1"/>
    </row>
    <row r="5587" spans="5:11" x14ac:dyDescent="0.3">
      <c r="E5587" s="6"/>
      <c r="F5587" s="1"/>
      <c r="K5587" s="1"/>
    </row>
    <row r="5588" spans="5:11" x14ac:dyDescent="0.3">
      <c r="E5588" s="6"/>
      <c r="F5588" s="1"/>
      <c r="K5588" s="1"/>
    </row>
    <row r="5589" spans="5:11" x14ac:dyDescent="0.3">
      <c r="E5589" s="6"/>
      <c r="F5589" s="1"/>
      <c r="K5589" s="1"/>
    </row>
    <row r="5590" spans="5:11" x14ac:dyDescent="0.3">
      <c r="E5590" s="6"/>
      <c r="F5590" s="1"/>
      <c r="K5590" s="1"/>
    </row>
    <row r="5591" spans="5:11" x14ac:dyDescent="0.3">
      <c r="E5591" s="6"/>
      <c r="F5591" s="1"/>
      <c r="K5591" s="1"/>
    </row>
    <row r="5592" spans="5:11" x14ac:dyDescent="0.3">
      <c r="E5592" s="6"/>
      <c r="F5592" s="1"/>
      <c r="K5592" s="1"/>
    </row>
    <row r="5593" spans="5:11" x14ac:dyDescent="0.3">
      <c r="E5593" s="6"/>
      <c r="F5593" s="1"/>
      <c r="K5593" s="1"/>
    </row>
    <row r="5594" spans="5:11" x14ac:dyDescent="0.3">
      <c r="E5594" s="6"/>
      <c r="F5594" s="1"/>
      <c r="K5594" s="1"/>
    </row>
    <row r="5595" spans="5:11" x14ac:dyDescent="0.3">
      <c r="E5595" s="5"/>
      <c r="F5595" s="1"/>
      <c r="K5595" s="1"/>
    </row>
    <row r="5596" spans="5:11" x14ac:dyDescent="0.3">
      <c r="E5596" s="5"/>
      <c r="F5596" s="1"/>
      <c r="K5596" s="1"/>
    </row>
    <row r="5597" spans="5:11" x14ac:dyDescent="0.3">
      <c r="E5597" s="6"/>
      <c r="F5597" s="1"/>
      <c r="K5597" s="1"/>
    </row>
    <row r="5598" spans="5:11" x14ac:dyDescent="0.3">
      <c r="E5598" s="6"/>
      <c r="F5598" s="1"/>
      <c r="K5598" s="1"/>
    </row>
    <row r="5599" spans="5:11" x14ac:dyDescent="0.3">
      <c r="E5599" s="6"/>
      <c r="F5599" s="1"/>
      <c r="K5599" s="1"/>
    </row>
    <row r="5600" spans="5:11" x14ac:dyDescent="0.3">
      <c r="E5600" s="6"/>
      <c r="F5600" s="1"/>
      <c r="K5600" s="1"/>
    </row>
    <row r="5601" spans="5:11" x14ac:dyDescent="0.3">
      <c r="E5601" s="6"/>
      <c r="F5601" s="1"/>
      <c r="K5601" s="1"/>
    </row>
    <row r="5602" spans="5:11" x14ac:dyDescent="0.3">
      <c r="E5602" s="6"/>
      <c r="F5602" s="1"/>
      <c r="K5602" s="1"/>
    </row>
    <row r="5603" spans="5:11" x14ac:dyDescent="0.3">
      <c r="E5603" s="6"/>
      <c r="F5603" s="1"/>
      <c r="K5603" s="1"/>
    </row>
    <row r="5604" spans="5:11" x14ac:dyDescent="0.3">
      <c r="E5604" s="6"/>
      <c r="F5604" s="1"/>
      <c r="K5604" s="1"/>
    </row>
    <row r="5605" spans="5:11" x14ac:dyDescent="0.3">
      <c r="E5605" s="6"/>
      <c r="F5605" s="1"/>
      <c r="K5605" s="1"/>
    </row>
    <row r="5606" spans="5:11" x14ac:dyDescent="0.3">
      <c r="E5606" s="6"/>
      <c r="F5606" s="1"/>
      <c r="K5606" s="1"/>
    </row>
    <row r="5607" spans="5:11" x14ac:dyDescent="0.3">
      <c r="E5607" s="6"/>
      <c r="F5607" s="1"/>
      <c r="K5607" s="1"/>
    </row>
    <row r="5608" spans="5:11" x14ac:dyDescent="0.3">
      <c r="E5608" s="6"/>
      <c r="F5608" s="1"/>
      <c r="K5608" s="1"/>
    </row>
    <row r="5609" spans="5:11" x14ac:dyDescent="0.3">
      <c r="E5609" s="6"/>
      <c r="F5609" s="1"/>
      <c r="K5609" s="1"/>
    </row>
    <row r="5610" spans="5:11" x14ac:dyDescent="0.3">
      <c r="E5610" s="6"/>
      <c r="F5610" s="1"/>
      <c r="K5610" s="1"/>
    </row>
    <row r="5611" spans="5:11" x14ac:dyDescent="0.3">
      <c r="E5611" s="6"/>
      <c r="F5611" s="1"/>
      <c r="K5611" s="1"/>
    </row>
    <row r="5612" spans="5:11" x14ac:dyDescent="0.3">
      <c r="E5612" s="6"/>
      <c r="F5612" s="1"/>
      <c r="K5612" s="1"/>
    </row>
    <row r="5613" spans="5:11" x14ac:dyDescent="0.3">
      <c r="E5613" s="6"/>
      <c r="F5613" s="1"/>
      <c r="K5613" s="1"/>
    </row>
    <row r="5614" spans="5:11" x14ac:dyDescent="0.3">
      <c r="E5614" s="6"/>
      <c r="F5614" s="1"/>
      <c r="K5614" s="1"/>
    </row>
    <row r="5615" spans="5:11" x14ac:dyDescent="0.3">
      <c r="E5615" s="6"/>
      <c r="F5615" s="1"/>
      <c r="K5615" s="1"/>
    </row>
    <row r="5616" spans="5:11" x14ac:dyDescent="0.3">
      <c r="E5616" s="6"/>
      <c r="F5616" s="1"/>
      <c r="K5616" s="1"/>
    </row>
    <row r="5617" spans="5:11" x14ac:dyDescent="0.3">
      <c r="E5617" s="6"/>
      <c r="F5617" s="1"/>
      <c r="K5617" s="1"/>
    </row>
    <row r="5618" spans="5:11" x14ac:dyDescent="0.3">
      <c r="E5618" s="6"/>
      <c r="F5618" s="1"/>
      <c r="K5618" s="1"/>
    </row>
    <row r="5619" spans="5:11" x14ac:dyDescent="0.3">
      <c r="E5619" s="6"/>
      <c r="F5619" s="1"/>
      <c r="K5619" s="1"/>
    </row>
    <row r="5620" spans="5:11" x14ac:dyDescent="0.3">
      <c r="E5620" s="6"/>
      <c r="F5620" s="1"/>
      <c r="K5620" s="1"/>
    </row>
    <row r="5621" spans="5:11" x14ac:dyDescent="0.3">
      <c r="E5621" s="6"/>
      <c r="F5621" s="1"/>
      <c r="K5621" s="1"/>
    </row>
    <row r="5622" spans="5:11" x14ac:dyDescent="0.3">
      <c r="E5622" s="6"/>
      <c r="F5622" s="1"/>
      <c r="K5622" s="1"/>
    </row>
    <row r="5623" spans="5:11" x14ac:dyDescent="0.3">
      <c r="E5623" s="6"/>
      <c r="F5623" s="1"/>
      <c r="K5623" s="1"/>
    </row>
    <row r="5624" spans="5:11" x14ac:dyDescent="0.3">
      <c r="E5624" s="6"/>
      <c r="F5624" s="1"/>
      <c r="K5624" s="1"/>
    </row>
    <row r="5625" spans="5:11" x14ac:dyDescent="0.3">
      <c r="E5625" s="6"/>
      <c r="F5625" s="1"/>
      <c r="K5625" s="1"/>
    </row>
    <row r="5626" spans="5:11" x14ac:dyDescent="0.3">
      <c r="E5626" s="6"/>
      <c r="F5626" s="1"/>
      <c r="K5626" s="1"/>
    </row>
    <row r="5627" spans="5:11" x14ac:dyDescent="0.3">
      <c r="E5627" s="6"/>
      <c r="F5627" s="1"/>
      <c r="K5627" s="1"/>
    </row>
    <row r="5628" spans="5:11" x14ac:dyDescent="0.3">
      <c r="E5628" s="6"/>
      <c r="F5628" s="1"/>
      <c r="K5628" s="1"/>
    </row>
    <row r="5629" spans="5:11" x14ac:dyDescent="0.3">
      <c r="E5629" s="6"/>
      <c r="F5629" s="1"/>
      <c r="K5629" s="1"/>
    </row>
    <row r="5630" spans="5:11" x14ac:dyDescent="0.3">
      <c r="E5630" s="6"/>
      <c r="F5630" s="1"/>
      <c r="K5630" s="1"/>
    </row>
    <row r="5631" spans="5:11" x14ac:dyDescent="0.3">
      <c r="E5631" s="6"/>
      <c r="F5631" s="1"/>
      <c r="K5631" s="1"/>
    </row>
    <row r="5632" spans="5:11" x14ac:dyDescent="0.3">
      <c r="E5632" s="6"/>
      <c r="F5632" s="1"/>
      <c r="K5632" s="1"/>
    </row>
    <row r="5633" spans="5:11" x14ac:dyDescent="0.3">
      <c r="E5633" s="6"/>
      <c r="F5633" s="1"/>
      <c r="K5633" s="1"/>
    </row>
    <row r="5634" spans="5:11" x14ac:dyDescent="0.3">
      <c r="E5634" s="6"/>
      <c r="F5634" s="1"/>
      <c r="K5634" s="1"/>
    </row>
    <row r="5635" spans="5:11" x14ac:dyDescent="0.3">
      <c r="E5635" s="6"/>
      <c r="F5635" s="1"/>
      <c r="K5635" s="1"/>
    </row>
    <row r="5636" spans="5:11" x14ac:dyDescent="0.3">
      <c r="E5636" s="6"/>
      <c r="F5636" s="1"/>
      <c r="K5636" s="1"/>
    </row>
    <row r="5637" spans="5:11" x14ac:dyDescent="0.3">
      <c r="E5637" s="6"/>
      <c r="F5637" s="1"/>
      <c r="K5637" s="1"/>
    </row>
    <row r="5638" spans="5:11" x14ac:dyDescent="0.3">
      <c r="E5638" s="6"/>
      <c r="F5638" s="1"/>
      <c r="K5638" s="1"/>
    </row>
    <row r="5639" spans="5:11" x14ac:dyDescent="0.3">
      <c r="E5639" s="6"/>
      <c r="F5639" s="1"/>
      <c r="K5639" s="1"/>
    </row>
    <row r="5640" spans="5:11" x14ac:dyDescent="0.3">
      <c r="E5640" s="6"/>
      <c r="F5640" s="1"/>
      <c r="K5640" s="1"/>
    </row>
    <row r="5641" spans="5:11" x14ac:dyDescent="0.3">
      <c r="E5641" s="6"/>
      <c r="F5641" s="1"/>
      <c r="K5641" s="1"/>
    </row>
    <row r="5642" spans="5:11" x14ac:dyDescent="0.3">
      <c r="E5642" s="6"/>
      <c r="F5642" s="1"/>
      <c r="K5642" s="1"/>
    </row>
    <row r="5643" spans="5:11" x14ac:dyDescent="0.3">
      <c r="E5643" s="5"/>
      <c r="F5643" s="1"/>
      <c r="K5643" s="1"/>
    </row>
    <row r="5644" spans="5:11" x14ac:dyDescent="0.3">
      <c r="E5644" s="6"/>
      <c r="F5644" s="1"/>
      <c r="K5644" s="1"/>
    </row>
    <row r="5645" spans="5:11" x14ac:dyDescent="0.3">
      <c r="E5645" s="6"/>
      <c r="F5645" s="1"/>
      <c r="K5645" s="1"/>
    </row>
    <row r="5646" spans="5:11" x14ac:dyDescent="0.3">
      <c r="E5646" s="6"/>
      <c r="F5646" s="1"/>
      <c r="K5646" s="1"/>
    </row>
    <row r="5647" spans="5:11" x14ac:dyDescent="0.3">
      <c r="E5647" s="6"/>
      <c r="F5647" s="1"/>
      <c r="K5647" s="1"/>
    </row>
    <row r="5648" spans="5:11" x14ac:dyDescent="0.3">
      <c r="E5648" s="6"/>
      <c r="F5648" s="1"/>
      <c r="K5648" s="1"/>
    </row>
    <row r="5649" spans="5:11" x14ac:dyDescent="0.3">
      <c r="E5649" s="6"/>
      <c r="F5649" s="1"/>
      <c r="K5649" s="1"/>
    </row>
    <row r="5650" spans="5:11" x14ac:dyDescent="0.3">
      <c r="E5650" s="6"/>
      <c r="F5650" s="1"/>
      <c r="K5650" s="1"/>
    </row>
    <row r="5651" spans="5:11" x14ac:dyDescent="0.3">
      <c r="E5651" s="6"/>
      <c r="F5651" s="1"/>
      <c r="K5651" s="1"/>
    </row>
    <row r="5652" spans="5:11" x14ac:dyDescent="0.3">
      <c r="E5652" s="6"/>
      <c r="F5652" s="1"/>
      <c r="K5652" s="1"/>
    </row>
    <row r="5653" spans="5:11" x14ac:dyDescent="0.3">
      <c r="E5653" s="6"/>
      <c r="F5653" s="1"/>
      <c r="K5653" s="1"/>
    </row>
    <row r="5654" spans="5:11" x14ac:dyDescent="0.3">
      <c r="E5654" s="6"/>
      <c r="F5654" s="1"/>
      <c r="K5654" s="1"/>
    </row>
    <row r="5655" spans="5:11" x14ac:dyDescent="0.3">
      <c r="E5655" s="6"/>
      <c r="F5655" s="1"/>
      <c r="K5655" s="1"/>
    </row>
    <row r="5656" spans="5:11" x14ac:dyDescent="0.3">
      <c r="E5656" s="6"/>
      <c r="F5656" s="1"/>
      <c r="K5656" s="1"/>
    </row>
    <row r="5657" spans="5:11" x14ac:dyDescent="0.3">
      <c r="E5657" s="6"/>
      <c r="F5657" s="1"/>
      <c r="K5657" s="1"/>
    </row>
    <row r="5658" spans="5:11" x14ac:dyDescent="0.3">
      <c r="E5658" s="6"/>
      <c r="F5658" s="1"/>
      <c r="K5658" s="1"/>
    </row>
    <row r="5659" spans="5:11" x14ac:dyDescent="0.3">
      <c r="E5659" s="6"/>
      <c r="F5659" s="1"/>
      <c r="K5659" s="1"/>
    </row>
    <row r="5660" spans="5:11" x14ac:dyDescent="0.3">
      <c r="E5660" s="6"/>
      <c r="F5660" s="1"/>
      <c r="K5660" s="1"/>
    </row>
    <row r="5661" spans="5:11" x14ac:dyDescent="0.3">
      <c r="E5661" s="6"/>
      <c r="F5661" s="1"/>
      <c r="K5661" s="1"/>
    </row>
    <row r="5662" spans="5:11" x14ac:dyDescent="0.3">
      <c r="E5662" s="6"/>
      <c r="F5662" s="1"/>
      <c r="K5662" s="1"/>
    </row>
    <row r="5663" spans="5:11" x14ac:dyDescent="0.3">
      <c r="E5663" s="6"/>
      <c r="F5663" s="1"/>
      <c r="K5663" s="1"/>
    </row>
    <row r="5664" spans="5:11" x14ac:dyDescent="0.3">
      <c r="E5664" s="6"/>
      <c r="F5664" s="1"/>
      <c r="K5664" s="1"/>
    </row>
    <row r="5665" spans="5:11" x14ac:dyDescent="0.3">
      <c r="E5665" s="6"/>
      <c r="F5665" s="1"/>
      <c r="K5665" s="1"/>
    </row>
    <row r="5666" spans="5:11" x14ac:dyDescent="0.3">
      <c r="E5666" s="6"/>
      <c r="F5666" s="1"/>
      <c r="K5666" s="1"/>
    </row>
    <row r="5667" spans="5:11" x14ac:dyDescent="0.3">
      <c r="E5667" s="6"/>
      <c r="F5667" s="1"/>
      <c r="K5667" s="1"/>
    </row>
    <row r="5668" spans="5:11" x14ac:dyDescent="0.3">
      <c r="E5668" s="6"/>
      <c r="F5668" s="1"/>
      <c r="K5668" s="1"/>
    </row>
    <row r="5669" spans="5:11" x14ac:dyDescent="0.3">
      <c r="E5669" s="5"/>
      <c r="F5669" s="1"/>
      <c r="K5669" s="1"/>
    </row>
    <row r="5670" spans="5:11" x14ac:dyDescent="0.3">
      <c r="E5670" s="6"/>
      <c r="F5670" s="1"/>
      <c r="K5670" s="1"/>
    </row>
    <row r="5671" spans="5:11" x14ac:dyDescent="0.3">
      <c r="E5671" s="6"/>
      <c r="F5671" s="1"/>
      <c r="K5671" s="1"/>
    </row>
    <row r="5672" spans="5:11" x14ac:dyDescent="0.3">
      <c r="E5672" s="6"/>
      <c r="F5672" s="1"/>
      <c r="K5672" s="1"/>
    </row>
    <row r="5673" spans="5:11" x14ac:dyDescent="0.3">
      <c r="E5673" s="6"/>
      <c r="F5673" s="1"/>
      <c r="K5673" s="1"/>
    </row>
    <row r="5674" spans="5:11" x14ac:dyDescent="0.3">
      <c r="E5674" s="6"/>
      <c r="F5674" s="1"/>
      <c r="K5674" s="1"/>
    </row>
    <row r="5675" spans="5:11" x14ac:dyDescent="0.3">
      <c r="E5675" s="6"/>
      <c r="F5675" s="1"/>
      <c r="K5675" s="1"/>
    </row>
    <row r="5676" spans="5:11" x14ac:dyDescent="0.3">
      <c r="E5676" s="6"/>
      <c r="F5676" s="1"/>
      <c r="K5676" s="1"/>
    </row>
    <row r="5677" spans="5:11" x14ac:dyDescent="0.3">
      <c r="E5677" s="6"/>
      <c r="F5677" s="1"/>
      <c r="K5677" s="1"/>
    </row>
    <row r="5678" spans="5:11" x14ac:dyDescent="0.3">
      <c r="E5678" s="6"/>
      <c r="F5678" s="1"/>
      <c r="K5678" s="1"/>
    </row>
    <row r="5679" spans="5:11" x14ac:dyDescent="0.3">
      <c r="E5679" s="6"/>
      <c r="F5679" s="1"/>
      <c r="K5679" s="1"/>
    </row>
    <row r="5680" spans="5:11" x14ac:dyDescent="0.3">
      <c r="E5680" s="6"/>
      <c r="F5680" s="1"/>
      <c r="K5680" s="1"/>
    </row>
    <row r="5681" spans="5:11" x14ac:dyDescent="0.3">
      <c r="E5681" s="6"/>
      <c r="F5681" s="1"/>
      <c r="K5681" s="1"/>
    </row>
    <row r="5682" spans="5:11" x14ac:dyDescent="0.3">
      <c r="E5682" s="6"/>
      <c r="F5682" s="1"/>
      <c r="K5682" s="1"/>
    </row>
    <row r="5683" spans="5:11" x14ac:dyDescent="0.3">
      <c r="E5683" s="6"/>
      <c r="F5683" s="1"/>
      <c r="K5683" s="1"/>
    </row>
    <row r="5684" spans="5:11" x14ac:dyDescent="0.3">
      <c r="E5684" s="5"/>
      <c r="F5684" s="1"/>
      <c r="K5684" s="1"/>
    </row>
    <row r="5685" spans="5:11" x14ac:dyDescent="0.3">
      <c r="E5685" s="6"/>
      <c r="F5685" s="1"/>
      <c r="K5685" s="1"/>
    </row>
    <row r="5686" spans="5:11" x14ac:dyDescent="0.3">
      <c r="E5686" s="6"/>
      <c r="F5686" s="1"/>
      <c r="K5686" s="1"/>
    </row>
    <row r="5687" spans="5:11" x14ac:dyDescent="0.3">
      <c r="E5687" s="6"/>
      <c r="F5687" s="1"/>
      <c r="K5687" s="1"/>
    </row>
    <row r="5688" spans="5:11" x14ac:dyDescent="0.3">
      <c r="E5688" s="6"/>
      <c r="F5688" s="1"/>
      <c r="K5688" s="1"/>
    </row>
    <row r="5689" spans="5:11" x14ac:dyDescent="0.3">
      <c r="E5689" s="6"/>
      <c r="F5689" s="1"/>
      <c r="K5689" s="1"/>
    </row>
    <row r="5690" spans="5:11" x14ac:dyDescent="0.3">
      <c r="E5690" s="6"/>
      <c r="F5690" s="1"/>
      <c r="K5690" s="1"/>
    </row>
    <row r="5691" spans="5:11" x14ac:dyDescent="0.3">
      <c r="E5691" s="6"/>
      <c r="F5691" s="1"/>
      <c r="K5691" s="1"/>
    </row>
    <row r="5692" spans="5:11" x14ac:dyDescent="0.3">
      <c r="E5692" s="6"/>
      <c r="F5692" s="1"/>
      <c r="K5692" s="1"/>
    </row>
    <row r="5693" spans="5:11" x14ac:dyDescent="0.3">
      <c r="E5693" s="6"/>
      <c r="F5693" s="1"/>
      <c r="K5693" s="1"/>
    </row>
    <row r="5694" spans="5:11" x14ac:dyDescent="0.3">
      <c r="E5694" s="6"/>
      <c r="F5694" s="1"/>
      <c r="K5694" s="1"/>
    </row>
    <row r="5695" spans="5:11" x14ac:dyDescent="0.3">
      <c r="E5695" s="6"/>
      <c r="F5695" s="1"/>
      <c r="K5695" s="1"/>
    </row>
    <row r="5696" spans="5:11" x14ac:dyDescent="0.3">
      <c r="E5696" s="6"/>
      <c r="F5696" s="1"/>
      <c r="K5696" s="1"/>
    </row>
    <row r="5697" spans="5:11" x14ac:dyDescent="0.3">
      <c r="E5697" s="6"/>
      <c r="F5697" s="1"/>
      <c r="K5697" s="1"/>
    </row>
    <row r="5698" spans="5:11" x14ac:dyDescent="0.3">
      <c r="E5698" s="6"/>
      <c r="F5698" s="1"/>
      <c r="K5698" s="1"/>
    </row>
    <row r="5699" spans="5:11" x14ac:dyDescent="0.3">
      <c r="E5699" s="6"/>
      <c r="F5699" s="1"/>
      <c r="K5699" s="1"/>
    </row>
    <row r="5700" spans="5:11" x14ac:dyDescent="0.3">
      <c r="E5700" s="6"/>
      <c r="F5700" s="1"/>
      <c r="K5700" s="1"/>
    </row>
    <row r="5701" spans="5:11" x14ac:dyDescent="0.3">
      <c r="E5701" s="6"/>
      <c r="F5701" s="1"/>
      <c r="K5701" s="1"/>
    </row>
    <row r="5702" spans="5:11" x14ac:dyDescent="0.3">
      <c r="E5702" s="6"/>
      <c r="F5702" s="1"/>
      <c r="K5702" s="1"/>
    </row>
    <row r="5703" spans="5:11" x14ac:dyDescent="0.3">
      <c r="E5703" s="6"/>
      <c r="F5703" s="1"/>
      <c r="K5703" s="1"/>
    </row>
    <row r="5704" spans="5:11" x14ac:dyDescent="0.3">
      <c r="E5704" s="6"/>
      <c r="F5704" s="1"/>
      <c r="K5704" s="1"/>
    </row>
    <row r="5705" spans="5:11" x14ac:dyDescent="0.3">
      <c r="E5705" s="6"/>
      <c r="F5705" s="1"/>
      <c r="K5705" s="1"/>
    </row>
    <row r="5706" spans="5:11" x14ac:dyDescent="0.3">
      <c r="E5706" s="6"/>
      <c r="F5706" s="1"/>
      <c r="K5706" s="1"/>
    </row>
    <row r="5707" spans="5:11" x14ac:dyDescent="0.3">
      <c r="E5707" s="6"/>
      <c r="F5707" s="1"/>
      <c r="K5707" s="1"/>
    </row>
    <row r="5708" spans="5:11" x14ac:dyDescent="0.3">
      <c r="E5708" s="6"/>
      <c r="F5708" s="1"/>
      <c r="K5708" s="1"/>
    </row>
    <row r="5709" spans="5:11" x14ac:dyDescent="0.3">
      <c r="E5709" s="6"/>
      <c r="F5709" s="1"/>
      <c r="K5709" s="1"/>
    </row>
    <row r="5710" spans="5:11" x14ac:dyDescent="0.3">
      <c r="E5710" s="6"/>
      <c r="F5710" s="1"/>
      <c r="K5710" s="1"/>
    </row>
    <row r="5711" spans="5:11" x14ac:dyDescent="0.3">
      <c r="E5711" s="6"/>
      <c r="F5711" s="1"/>
      <c r="K5711" s="1"/>
    </row>
    <row r="5712" spans="5:11" x14ac:dyDescent="0.3">
      <c r="E5712" s="6"/>
      <c r="F5712" s="1"/>
      <c r="K5712" s="1"/>
    </row>
    <row r="5713" spans="5:11" x14ac:dyDescent="0.3">
      <c r="E5713" s="6"/>
      <c r="F5713" s="1"/>
      <c r="K5713" s="1"/>
    </row>
    <row r="5714" spans="5:11" x14ac:dyDescent="0.3">
      <c r="E5714" s="6"/>
      <c r="F5714" s="1"/>
      <c r="K5714" s="1"/>
    </row>
    <row r="5715" spans="5:11" x14ac:dyDescent="0.3">
      <c r="E5715" s="6"/>
      <c r="F5715" s="1"/>
      <c r="K5715" s="1"/>
    </row>
    <row r="5716" spans="5:11" x14ac:dyDescent="0.3">
      <c r="E5716" s="6"/>
      <c r="F5716" s="1"/>
      <c r="K5716" s="1"/>
    </row>
    <row r="5717" spans="5:11" x14ac:dyDescent="0.3">
      <c r="E5717" s="6"/>
      <c r="F5717" s="1"/>
      <c r="K5717" s="1"/>
    </row>
    <row r="5718" spans="5:11" x14ac:dyDescent="0.3">
      <c r="E5718" s="6"/>
      <c r="F5718" s="1"/>
      <c r="K5718" s="1"/>
    </row>
    <row r="5719" spans="5:11" x14ac:dyDescent="0.3">
      <c r="E5719" s="6"/>
      <c r="F5719" s="1"/>
      <c r="K5719" s="1"/>
    </row>
    <row r="5720" spans="5:11" x14ac:dyDescent="0.3">
      <c r="E5720" s="6"/>
      <c r="F5720" s="1"/>
      <c r="K5720" s="1"/>
    </row>
    <row r="5721" spans="5:11" x14ac:dyDescent="0.3">
      <c r="E5721" s="6"/>
      <c r="F5721" s="1"/>
      <c r="K5721" s="1"/>
    </row>
    <row r="5722" spans="5:11" x14ac:dyDescent="0.3">
      <c r="E5722" s="5"/>
      <c r="F5722" s="1"/>
      <c r="K5722" s="1"/>
    </row>
    <row r="5723" spans="5:11" x14ac:dyDescent="0.3">
      <c r="E5723" s="6"/>
      <c r="F5723" s="1"/>
      <c r="K5723" s="1"/>
    </row>
    <row r="5724" spans="5:11" x14ac:dyDescent="0.3">
      <c r="E5724" s="6"/>
      <c r="F5724" s="1"/>
      <c r="K5724" s="1"/>
    </row>
    <row r="5725" spans="5:11" x14ac:dyDescent="0.3">
      <c r="E5725" s="6"/>
      <c r="F5725" s="1"/>
      <c r="K5725" s="1"/>
    </row>
    <row r="5726" spans="5:11" x14ac:dyDescent="0.3">
      <c r="E5726" s="6"/>
      <c r="F5726" s="1"/>
      <c r="K5726" s="1"/>
    </row>
    <row r="5727" spans="5:11" x14ac:dyDescent="0.3">
      <c r="E5727" s="6"/>
      <c r="F5727" s="1"/>
      <c r="K5727" s="1"/>
    </row>
    <row r="5728" spans="5:11" x14ac:dyDescent="0.3">
      <c r="E5728" s="6"/>
      <c r="F5728" s="1"/>
      <c r="K5728" s="1"/>
    </row>
    <row r="5729" spans="5:11" x14ac:dyDescent="0.3">
      <c r="E5729" s="6"/>
      <c r="F5729" s="1"/>
      <c r="K5729" s="1"/>
    </row>
    <row r="5730" spans="5:11" x14ac:dyDescent="0.3">
      <c r="E5730" s="6"/>
      <c r="F5730" s="1"/>
      <c r="K5730" s="1"/>
    </row>
    <row r="5731" spans="5:11" x14ac:dyDescent="0.3">
      <c r="E5731" s="6"/>
      <c r="F5731" s="1"/>
      <c r="K5731" s="1"/>
    </row>
    <row r="5732" spans="5:11" x14ac:dyDescent="0.3">
      <c r="E5732" s="6"/>
      <c r="F5732" s="1"/>
      <c r="K5732" s="1"/>
    </row>
    <row r="5733" spans="5:11" x14ac:dyDescent="0.3">
      <c r="E5733" s="6"/>
      <c r="F5733" s="1"/>
      <c r="K5733" s="1"/>
    </row>
    <row r="5734" spans="5:11" x14ac:dyDescent="0.3">
      <c r="E5734" s="6"/>
      <c r="F5734" s="1"/>
      <c r="K5734" s="1"/>
    </row>
    <row r="5735" spans="5:11" x14ac:dyDescent="0.3">
      <c r="E5735" s="6"/>
      <c r="F5735" s="1"/>
      <c r="K5735" s="1"/>
    </row>
    <row r="5736" spans="5:11" x14ac:dyDescent="0.3">
      <c r="E5736" s="6"/>
      <c r="F5736" s="1"/>
      <c r="K5736" s="1"/>
    </row>
    <row r="5737" spans="5:11" x14ac:dyDescent="0.3">
      <c r="E5737" s="6"/>
      <c r="F5737" s="1"/>
      <c r="K5737" s="1"/>
    </row>
    <row r="5738" spans="5:11" x14ac:dyDescent="0.3">
      <c r="E5738" s="6"/>
      <c r="F5738" s="1"/>
      <c r="K5738" s="1"/>
    </row>
    <row r="5739" spans="5:11" x14ac:dyDescent="0.3">
      <c r="E5739" s="6"/>
      <c r="F5739" s="1"/>
      <c r="K5739" s="1"/>
    </row>
    <row r="5740" spans="5:11" x14ac:dyDescent="0.3">
      <c r="E5740" s="6"/>
      <c r="F5740" s="1"/>
      <c r="K5740" s="1"/>
    </row>
    <row r="5741" spans="5:11" x14ac:dyDescent="0.3">
      <c r="E5741" s="6"/>
      <c r="F5741" s="1"/>
      <c r="K5741" s="1"/>
    </row>
    <row r="5742" spans="5:11" x14ac:dyDescent="0.3">
      <c r="E5742" s="6"/>
      <c r="F5742" s="1"/>
      <c r="K5742" s="1"/>
    </row>
    <row r="5743" spans="5:11" x14ac:dyDescent="0.3">
      <c r="E5743" s="6"/>
      <c r="F5743" s="1"/>
      <c r="K5743" s="1"/>
    </row>
    <row r="5744" spans="5:11" x14ac:dyDescent="0.3">
      <c r="E5744" s="6"/>
      <c r="F5744" s="1"/>
      <c r="K5744" s="1"/>
    </row>
    <row r="5745" spans="5:11" x14ac:dyDescent="0.3">
      <c r="E5745" s="6"/>
      <c r="F5745" s="1"/>
      <c r="K5745" s="1"/>
    </row>
    <row r="5746" spans="5:11" x14ac:dyDescent="0.3">
      <c r="E5746" s="6"/>
      <c r="F5746" s="1"/>
      <c r="K5746" s="1"/>
    </row>
    <row r="5747" spans="5:11" x14ac:dyDescent="0.3">
      <c r="E5747" s="6"/>
      <c r="F5747" s="1"/>
      <c r="K5747" s="1"/>
    </row>
    <row r="5748" spans="5:11" x14ac:dyDescent="0.3">
      <c r="E5748" s="6"/>
      <c r="F5748" s="1"/>
      <c r="K5748" s="1"/>
    </row>
    <row r="5749" spans="5:11" x14ac:dyDescent="0.3">
      <c r="E5749" s="6"/>
      <c r="F5749" s="1"/>
      <c r="K5749" s="1"/>
    </row>
    <row r="5750" spans="5:11" x14ac:dyDescent="0.3">
      <c r="E5750" s="6"/>
      <c r="F5750" s="1"/>
      <c r="K5750" s="1"/>
    </row>
    <row r="5751" spans="5:11" x14ac:dyDescent="0.3">
      <c r="E5751" s="6"/>
      <c r="F5751" s="1"/>
      <c r="K5751" s="1"/>
    </row>
    <row r="5752" spans="5:11" x14ac:dyDescent="0.3">
      <c r="E5752" s="6"/>
      <c r="F5752" s="1"/>
      <c r="K5752" s="1"/>
    </row>
    <row r="5753" spans="5:11" x14ac:dyDescent="0.3">
      <c r="E5753" s="6"/>
      <c r="F5753" s="1"/>
      <c r="K5753" s="1"/>
    </row>
    <row r="5754" spans="5:11" x14ac:dyDescent="0.3">
      <c r="E5754" s="5"/>
      <c r="F5754" s="1"/>
      <c r="K5754" s="1"/>
    </row>
    <row r="5755" spans="5:11" x14ac:dyDescent="0.3">
      <c r="E5755" s="6"/>
      <c r="F5755" s="1"/>
      <c r="K5755" s="1"/>
    </row>
    <row r="5756" spans="5:11" x14ac:dyDescent="0.3">
      <c r="E5756" s="6"/>
      <c r="F5756" s="1"/>
      <c r="K5756" s="1"/>
    </row>
    <row r="5757" spans="5:11" x14ac:dyDescent="0.3">
      <c r="E5757" s="6"/>
      <c r="F5757" s="1"/>
      <c r="K5757" s="1"/>
    </row>
    <row r="5758" spans="5:11" x14ac:dyDescent="0.3">
      <c r="E5758" s="6"/>
      <c r="F5758" s="1"/>
      <c r="K5758" s="1"/>
    </row>
    <row r="5759" spans="5:11" x14ac:dyDescent="0.3">
      <c r="E5759" s="6"/>
      <c r="F5759" s="1"/>
      <c r="K5759" s="1"/>
    </row>
    <row r="5760" spans="5:11" x14ac:dyDescent="0.3">
      <c r="E5760" s="6"/>
      <c r="F5760" s="1"/>
      <c r="K5760" s="1"/>
    </row>
    <row r="5761" spans="5:11" x14ac:dyDescent="0.3">
      <c r="E5761" s="6"/>
      <c r="F5761" s="1"/>
      <c r="K5761" s="1"/>
    </row>
    <row r="5762" spans="5:11" x14ac:dyDescent="0.3">
      <c r="E5762" s="6"/>
      <c r="F5762" s="1"/>
      <c r="K5762" s="1"/>
    </row>
    <row r="5763" spans="5:11" x14ac:dyDescent="0.3">
      <c r="E5763" s="6"/>
      <c r="F5763" s="1"/>
      <c r="K5763" s="1"/>
    </row>
    <row r="5764" spans="5:11" x14ac:dyDescent="0.3">
      <c r="E5764" s="6"/>
      <c r="F5764" s="1"/>
      <c r="K5764" s="1"/>
    </row>
    <row r="5765" spans="5:11" x14ac:dyDescent="0.3">
      <c r="E5765" s="6"/>
      <c r="F5765" s="1"/>
      <c r="K5765" s="1"/>
    </row>
    <row r="5766" spans="5:11" x14ac:dyDescent="0.3">
      <c r="E5766" s="6"/>
      <c r="F5766" s="1"/>
      <c r="K5766" s="1"/>
    </row>
    <row r="5767" spans="5:11" x14ac:dyDescent="0.3">
      <c r="E5767" s="6"/>
      <c r="F5767" s="1"/>
      <c r="K5767" s="1"/>
    </row>
    <row r="5768" spans="5:11" x14ac:dyDescent="0.3">
      <c r="E5768" s="6"/>
      <c r="F5768" s="1"/>
      <c r="K5768" s="1"/>
    </row>
    <row r="5769" spans="5:11" x14ac:dyDescent="0.3">
      <c r="E5769" s="6"/>
      <c r="F5769" s="1"/>
      <c r="K5769" s="1"/>
    </row>
    <row r="5770" spans="5:11" x14ac:dyDescent="0.3">
      <c r="E5770" s="6"/>
      <c r="F5770" s="1"/>
      <c r="K5770" s="1"/>
    </row>
    <row r="5771" spans="5:11" x14ac:dyDescent="0.3">
      <c r="E5771" s="6"/>
      <c r="F5771" s="1"/>
      <c r="K5771" s="1"/>
    </row>
    <row r="5772" spans="5:11" x14ac:dyDescent="0.3">
      <c r="E5772" s="6"/>
      <c r="F5772" s="1"/>
      <c r="K5772" s="1"/>
    </row>
    <row r="5773" spans="5:11" x14ac:dyDescent="0.3">
      <c r="E5773" s="6"/>
      <c r="F5773" s="1"/>
      <c r="K5773" s="1"/>
    </row>
    <row r="5774" spans="5:11" x14ac:dyDescent="0.3">
      <c r="E5774" s="6"/>
      <c r="F5774" s="1"/>
      <c r="K5774" s="1"/>
    </row>
    <row r="5775" spans="5:11" x14ac:dyDescent="0.3">
      <c r="E5775" s="6"/>
      <c r="F5775" s="1"/>
      <c r="K5775" s="1"/>
    </row>
    <row r="5776" spans="5:11" x14ac:dyDescent="0.3">
      <c r="E5776" s="6"/>
      <c r="F5776" s="1"/>
      <c r="K5776" s="1"/>
    </row>
    <row r="5777" spans="5:11" x14ac:dyDescent="0.3">
      <c r="E5777" s="6"/>
      <c r="F5777" s="1"/>
      <c r="K5777" s="1"/>
    </row>
    <row r="5778" spans="5:11" x14ac:dyDescent="0.3">
      <c r="E5778" s="5"/>
      <c r="F5778" s="1"/>
      <c r="K5778" s="1"/>
    </row>
    <row r="5779" spans="5:11" x14ac:dyDescent="0.3">
      <c r="E5779" s="6"/>
      <c r="F5779" s="1"/>
      <c r="K5779" s="1"/>
    </row>
    <row r="5780" spans="5:11" x14ac:dyDescent="0.3">
      <c r="E5780" s="6"/>
      <c r="F5780" s="1"/>
      <c r="K5780" s="1"/>
    </row>
    <row r="5781" spans="5:11" x14ac:dyDescent="0.3">
      <c r="E5781" s="6"/>
      <c r="F5781" s="1"/>
      <c r="K5781" s="1"/>
    </row>
    <row r="5782" spans="5:11" x14ac:dyDescent="0.3">
      <c r="E5782" s="6"/>
      <c r="F5782" s="1"/>
      <c r="K5782" s="1"/>
    </row>
    <row r="5783" spans="5:11" x14ac:dyDescent="0.3">
      <c r="E5783" s="6"/>
      <c r="F5783" s="1"/>
      <c r="K5783" s="1"/>
    </row>
    <row r="5784" spans="5:11" x14ac:dyDescent="0.3">
      <c r="E5784" s="6"/>
      <c r="F5784" s="1"/>
      <c r="K5784" s="1"/>
    </row>
    <row r="5785" spans="5:11" x14ac:dyDescent="0.3">
      <c r="E5785" s="6"/>
      <c r="F5785" s="1"/>
      <c r="K5785" s="1"/>
    </row>
    <row r="5786" spans="5:11" x14ac:dyDescent="0.3">
      <c r="E5786" s="6"/>
      <c r="F5786" s="1"/>
      <c r="K5786" s="1"/>
    </row>
    <row r="5787" spans="5:11" x14ac:dyDescent="0.3">
      <c r="E5787" s="6"/>
      <c r="F5787" s="1"/>
      <c r="K5787" s="1"/>
    </row>
    <row r="5788" spans="5:11" x14ac:dyDescent="0.3">
      <c r="E5788" s="5"/>
      <c r="F5788" s="1"/>
      <c r="K5788" s="1"/>
    </row>
    <row r="5789" spans="5:11" x14ac:dyDescent="0.3">
      <c r="E5789" s="5"/>
      <c r="F5789" s="1"/>
      <c r="K5789" s="1"/>
    </row>
    <row r="5790" spans="5:11" x14ac:dyDescent="0.3">
      <c r="E5790" s="5"/>
      <c r="F5790" s="1"/>
      <c r="K5790" s="1"/>
    </row>
    <row r="5791" spans="5:11" x14ac:dyDescent="0.3">
      <c r="E5791" s="6"/>
      <c r="F5791" s="1"/>
      <c r="K5791" s="1"/>
    </row>
    <row r="5792" spans="5:11" x14ac:dyDescent="0.3">
      <c r="E5792" s="6"/>
      <c r="F5792" s="1"/>
      <c r="K5792" s="1"/>
    </row>
    <row r="5793" spans="5:11" x14ac:dyDescent="0.3">
      <c r="E5793" s="6"/>
      <c r="F5793" s="1"/>
      <c r="K5793" s="1"/>
    </row>
    <row r="5794" spans="5:11" x14ac:dyDescent="0.3">
      <c r="E5794" s="6"/>
      <c r="F5794" s="1"/>
      <c r="K5794" s="1"/>
    </row>
    <row r="5795" spans="5:11" x14ac:dyDescent="0.3">
      <c r="E5795" s="6"/>
      <c r="F5795" s="1"/>
      <c r="K5795" s="1"/>
    </row>
    <row r="5796" spans="5:11" x14ac:dyDescent="0.3">
      <c r="E5796" s="6"/>
      <c r="F5796" s="1"/>
      <c r="K5796" s="1"/>
    </row>
    <row r="5797" spans="5:11" x14ac:dyDescent="0.3">
      <c r="E5797" s="6"/>
      <c r="F5797" s="1"/>
      <c r="K5797" s="1"/>
    </row>
    <row r="5798" spans="5:11" x14ac:dyDescent="0.3">
      <c r="E5798" s="6"/>
      <c r="F5798" s="1"/>
      <c r="K5798" s="1"/>
    </row>
    <row r="5799" spans="5:11" x14ac:dyDescent="0.3">
      <c r="E5799" s="6"/>
      <c r="F5799" s="1"/>
      <c r="K5799" s="1"/>
    </row>
    <row r="5800" spans="5:11" x14ac:dyDescent="0.3">
      <c r="E5800" s="6"/>
      <c r="F5800" s="1"/>
      <c r="K5800" s="1"/>
    </row>
    <row r="5801" spans="5:11" x14ac:dyDescent="0.3">
      <c r="E5801" s="6"/>
      <c r="F5801" s="1"/>
      <c r="K5801" s="1"/>
    </row>
    <row r="5802" spans="5:11" x14ac:dyDescent="0.3">
      <c r="E5802" s="6"/>
      <c r="F5802" s="1"/>
      <c r="K5802" s="1"/>
    </row>
    <row r="5803" spans="5:11" x14ac:dyDescent="0.3">
      <c r="E5803" s="6"/>
      <c r="F5803" s="1"/>
      <c r="K5803" s="1"/>
    </row>
    <row r="5804" spans="5:11" x14ac:dyDescent="0.3">
      <c r="E5804" s="6"/>
      <c r="F5804" s="1"/>
      <c r="K5804" s="1"/>
    </row>
    <row r="5805" spans="5:11" x14ac:dyDescent="0.3">
      <c r="E5805" s="5"/>
      <c r="F5805" s="1"/>
      <c r="K5805" s="1"/>
    </row>
    <row r="5806" spans="5:11" x14ac:dyDescent="0.3">
      <c r="E5806" s="5"/>
      <c r="F5806" s="1"/>
      <c r="K5806" s="1"/>
    </row>
    <row r="5807" spans="5:11" x14ac:dyDescent="0.3">
      <c r="E5807" s="6"/>
      <c r="F5807" s="1"/>
      <c r="K5807" s="1"/>
    </row>
    <row r="5808" spans="5:11" x14ac:dyDescent="0.3">
      <c r="E5808" s="6"/>
      <c r="F5808" s="1"/>
      <c r="K5808" s="1"/>
    </row>
    <row r="5809" spans="5:11" x14ac:dyDescent="0.3">
      <c r="E5809" s="6"/>
      <c r="F5809" s="1"/>
      <c r="K5809" s="1"/>
    </row>
    <row r="5810" spans="5:11" x14ac:dyDescent="0.3">
      <c r="E5810" s="6"/>
      <c r="F5810" s="1"/>
      <c r="K5810" s="1"/>
    </row>
    <row r="5811" spans="5:11" x14ac:dyDescent="0.3">
      <c r="E5811" s="6"/>
      <c r="F5811" s="1"/>
      <c r="K5811" s="1"/>
    </row>
    <row r="5812" spans="5:11" x14ac:dyDescent="0.3">
      <c r="E5812" s="6"/>
      <c r="F5812" s="1"/>
      <c r="K5812" s="1"/>
    </row>
    <row r="5813" spans="5:11" x14ac:dyDescent="0.3">
      <c r="E5813" s="6"/>
      <c r="F5813" s="1"/>
      <c r="K5813" s="1"/>
    </row>
    <row r="5814" spans="5:11" x14ac:dyDescent="0.3">
      <c r="E5814" s="6"/>
      <c r="F5814" s="1"/>
      <c r="K5814" s="1"/>
    </row>
    <row r="5815" spans="5:11" x14ac:dyDescent="0.3">
      <c r="E5815" s="6"/>
      <c r="F5815" s="1"/>
      <c r="K5815" s="1"/>
    </row>
    <row r="5816" spans="5:11" x14ac:dyDescent="0.3">
      <c r="E5816" s="6"/>
      <c r="F5816" s="1"/>
      <c r="K5816" s="1"/>
    </row>
    <row r="5817" spans="5:11" x14ac:dyDescent="0.3">
      <c r="E5817" s="6"/>
      <c r="F5817" s="1"/>
      <c r="K5817" s="1"/>
    </row>
    <row r="5818" spans="5:11" x14ac:dyDescent="0.3">
      <c r="E5818" s="6"/>
      <c r="F5818" s="1"/>
      <c r="K5818" s="1"/>
    </row>
    <row r="5819" spans="5:11" x14ac:dyDescent="0.3">
      <c r="E5819" s="6"/>
      <c r="F5819" s="1"/>
      <c r="K5819" s="1"/>
    </row>
    <row r="5820" spans="5:11" x14ac:dyDescent="0.3">
      <c r="E5820" s="6"/>
      <c r="F5820" s="1"/>
      <c r="K5820" s="1"/>
    </row>
    <row r="5821" spans="5:11" x14ac:dyDescent="0.3">
      <c r="E5821" s="6"/>
      <c r="F5821" s="1"/>
      <c r="K5821" s="1"/>
    </row>
    <row r="5822" spans="5:11" x14ac:dyDescent="0.3">
      <c r="E5822" s="6"/>
      <c r="F5822" s="1"/>
      <c r="K5822" s="1"/>
    </row>
    <row r="5823" spans="5:11" x14ac:dyDescent="0.3">
      <c r="E5823" s="6"/>
      <c r="F5823" s="1"/>
      <c r="K5823" s="1"/>
    </row>
    <row r="5824" spans="5:11" x14ac:dyDescent="0.3">
      <c r="E5824" s="6"/>
      <c r="F5824" s="1"/>
      <c r="K5824" s="1"/>
    </row>
    <row r="5825" spans="5:11" x14ac:dyDescent="0.3">
      <c r="E5825" s="6"/>
      <c r="F5825" s="1"/>
      <c r="K5825" s="1"/>
    </row>
    <row r="5826" spans="5:11" x14ac:dyDescent="0.3">
      <c r="E5826" s="6"/>
      <c r="F5826" s="1"/>
      <c r="K5826" s="1"/>
    </row>
    <row r="5827" spans="5:11" x14ac:dyDescent="0.3">
      <c r="E5827" s="5"/>
      <c r="F5827" s="1"/>
      <c r="K5827" s="1"/>
    </row>
    <row r="5828" spans="5:11" x14ac:dyDescent="0.3">
      <c r="E5828" s="5"/>
      <c r="F5828" s="1"/>
      <c r="K5828" s="1"/>
    </row>
    <row r="5829" spans="5:11" x14ac:dyDescent="0.3">
      <c r="E5829" s="5"/>
      <c r="F5829" s="1"/>
      <c r="K5829" s="1"/>
    </row>
    <row r="5830" spans="5:11" x14ac:dyDescent="0.3">
      <c r="E5830" s="6"/>
      <c r="F5830" s="1"/>
      <c r="K5830" s="1"/>
    </row>
    <row r="5831" spans="5:11" x14ac:dyDescent="0.3">
      <c r="E5831" s="6"/>
      <c r="F5831" s="1"/>
      <c r="K5831" s="1"/>
    </row>
    <row r="5832" spans="5:11" x14ac:dyDescent="0.3">
      <c r="E5832" s="6"/>
      <c r="F5832" s="1"/>
      <c r="K5832" s="1"/>
    </row>
    <row r="5833" spans="5:11" x14ac:dyDescent="0.3">
      <c r="E5833" s="6"/>
      <c r="F5833" s="1"/>
      <c r="K5833" s="1"/>
    </row>
    <row r="5834" spans="5:11" x14ac:dyDescent="0.3">
      <c r="E5834" s="6"/>
      <c r="F5834" s="1"/>
      <c r="K5834" s="1"/>
    </row>
    <row r="5835" spans="5:11" x14ac:dyDescent="0.3">
      <c r="E5835" s="6"/>
      <c r="F5835" s="1"/>
      <c r="K5835" s="1"/>
    </row>
    <row r="5836" spans="5:11" x14ac:dyDescent="0.3">
      <c r="E5836" s="6"/>
      <c r="F5836" s="1"/>
      <c r="K5836" s="1"/>
    </row>
    <row r="5837" spans="5:11" x14ac:dyDescent="0.3">
      <c r="E5837" s="6"/>
      <c r="F5837" s="1"/>
      <c r="K5837" s="1"/>
    </row>
    <row r="5838" spans="5:11" x14ac:dyDescent="0.3">
      <c r="E5838" s="6"/>
      <c r="F5838" s="1"/>
      <c r="K5838" s="1"/>
    </row>
    <row r="5839" spans="5:11" x14ac:dyDescent="0.3">
      <c r="E5839" s="6"/>
      <c r="F5839" s="1"/>
      <c r="K5839" s="1"/>
    </row>
    <row r="5840" spans="5:11" x14ac:dyDescent="0.3">
      <c r="E5840" s="6"/>
      <c r="F5840" s="1"/>
      <c r="K5840" s="1"/>
    </row>
    <row r="5841" spans="5:11" x14ac:dyDescent="0.3">
      <c r="E5841" s="6"/>
      <c r="F5841" s="1"/>
      <c r="K5841" s="1"/>
    </row>
    <row r="5842" spans="5:11" x14ac:dyDescent="0.3">
      <c r="E5842" s="6"/>
      <c r="F5842" s="1"/>
      <c r="K5842" s="1"/>
    </row>
    <row r="5843" spans="5:11" x14ac:dyDescent="0.3">
      <c r="E5843" s="6"/>
      <c r="F5843" s="1"/>
      <c r="K5843" s="1"/>
    </row>
    <row r="5844" spans="5:11" x14ac:dyDescent="0.3">
      <c r="E5844" s="6"/>
      <c r="F5844" s="1"/>
      <c r="K5844" s="1"/>
    </row>
    <row r="5845" spans="5:11" x14ac:dyDescent="0.3">
      <c r="E5845" s="6"/>
      <c r="F5845" s="1"/>
      <c r="K5845" s="1"/>
    </row>
    <row r="5846" spans="5:11" x14ac:dyDescent="0.3">
      <c r="E5846" s="6"/>
      <c r="F5846" s="1"/>
      <c r="K5846" s="1"/>
    </row>
    <row r="5847" spans="5:11" x14ac:dyDescent="0.3">
      <c r="E5847" s="6"/>
      <c r="F5847" s="1"/>
      <c r="K5847" s="1"/>
    </row>
    <row r="5848" spans="5:11" x14ac:dyDescent="0.3">
      <c r="E5848" s="6"/>
      <c r="F5848" s="1"/>
      <c r="K5848" s="1"/>
    </row>
    <row r="5849" spans="5:11" x14ac:dyDescent="0.3">
      <c r="E5849" s="6"/>
      <c r="F5849" s="1"/>
      <c r="K5849" s="1"/>
    </row>
    <row r="5850" spans="5:11" x14ac:dyDescent="0.3">
      <c r="E5850" s="6"/>
      <c r="F5850" s="1"/>
      <c r="K5850" s="1"/>
    </row>
    <row r="5851" spans="5:11" x14ac:dyDescent="0.3">
      <c r="E5851" s="6"/>
      <c r="F5851" s="1"/>
      <c r="K5851" s="1"/>
    </row>
    <row r="5852" spans="5:11" x14ac:dyDescent="0.3">
      <c r="E5852" s="6"/>
      <c r="F5852" s="1"/>
      <c r="K5852" s="1"/>
    </row>
    <row r="5853" spans="5:11" x14ac:dyDescent="0.3">
      <c r="E5853" s="6"/>
      <c r="F5853" s="1"/>
      <c r="K5853" s="1"/>
    </row>
    <row r="5854" spans="5:11" x14ac:dyDescent="0.3">
      <c r="E5854" s="6"/>
      <c r="F5854" s="1"/>
      <c r="K5854" s="1"/>
    </row>
    <row r="5855" spans="5:11" x14ac:dyDescent="0.3">
      <c r="E5855" s="6"/>
      <c r="F5855" s="1"/>
      <c r="K5855" s="1"/>
    </row>
    <row r="5856" spans="5:11" x14ac:dyDescent="0.3">
      <c r="E5856" s="6"/>
      <c r="F5856" s="1"/>
      <c r="K5856" s="1"/>
    </row>
    <row r="5857" spans="5:11" x14ac:dyDescent="0.3">
      <c r="E5857" s="6"/>
      <c r="F5857" s="1"/>
      <c r="K5857" s="1"/>
    </row>
    <row r="5858" spans="5:11" x14ac:dyDescent="0.3">
      <c r="E5858" s="6"/>
      <c r="F5858" s="1"/>
      <c r="K5858" s="1"/>
    </row>
    <row r="5859" spans="5:11" x14ac:dyDescent="0.3">
      <c r="E5859" s="6"/>
      <c r="F5859" s="1"/>
      <c r="K5859" s="1"/>
    </row>
    <row r="5860" spans="5:11" x14ac:dyDescent="0.3">
      <c r="E5860" s="6"/>
      <c r="F5860" s="1"/>
      <c r="K5860" s="1"/>
    </row>
    <row r="5861" spans="5:11" x14ac:dyDescent="0.3">
      <c r="E5861" s="6"/>
      <c r="F5861" s="1"/>
      <c r="K5861" s="1"/>
    </row>
    <row r="5862" spans="5:11" x14ac:dyDescent="0.3">
      <c r="E5862" s="6"/>
      <c r="F5862" s="1"/>
      <c r="K5862" s="1"/>
    </row>
    <row r="5863" spans="5:11" x14ac:dyDescent="0.3">
      <c r="E5863" s="6"/>
      <c r="F5863" s="1"/>
      <c r="K5863" s="1"/>
    </row>
    <row r="5864" spans="5:11" x14ac:dyDescent="0.3">
      <c r="E5864" s="6"/>
      <c r="F5864" s="1"/>
      <c r="K5864" s="1"/>
    </row>
    <row r="5865" spans="5:11" x14ac:dyDescent="0.3">
      <c r="E5865" s="6"/>
      <c r="F5865" s="1"/>
      <c r="K5865" s="1"/>
    </row>
    <row r="5866" spans="5:11" x14ac:dyDescent="0.3">
      <c r="E5866" s="6"/>
      <c r="F5866" s="1"/>
      <c r="K5866" s="1"/>
    </row>
    <row r="5867" spans="5:11" x14ac:dyDescent="0.3">
      <c r="E5867" s="6"/>
      <c r="F5867" s="1"/>
      <c r="K5867" s="1"/>
    </row>
    <row r="5868" spans="5:11" x14ac:dyDescent="0.3">
      <c r="E5868" s="6"/>
      <c r="F5868" s="1"/>
      <c r="K5868" s="1"/>
    </row>
    <row r="5869" spans="5:11" x14ac:dyDescent="0.3">
      <c r="E5869" s="6"/>
      <c r="F5869" s="1"/>
      <c r="K5869" s="1"/>
    </row>
    <row r="5870" spans="5:11" x14ac:dyDescent="0.3">
      <c r="E5870" s="6"/>
      <c r="F5870" s="1"/>
      <c r="K5870" s="1"/>
    </row>
    <row r="5871" spans="5:11" x14ac:dyDescent="0.3">
      <c r="E5871" s="6"/>
      <c r="F5871" s="1"/>
      <c r="K5871" s="1"/>
    </row>
    <row r="5872" spans="5:11" x14ac:dyDescent="0.3">
      <c r="E5872" s="6"/>
      <c r="F5872" s="1"/>
      <c r="K5872" s="1"/>
    </row>
    <row r="5873" spans="5:11" x14ac:dyDescent="0.3">
      <c r="E5873" s="6"/>
      <c r="F5873" s="1"/>
      <c r="K5873" s="1"/>
    </row>
    <row r="5874" spans="5:11" x14ac:dyDescent="0.3">
      <c r="E5874" s="6"/>
      <c r="F5874" s="1"/>
      <c r="K5874" s="1"/>
    </row>
    <row r="5875" spans="5:11" x14ac:dyDescent="0.3">
      <c r="E5875" s="6"/>
      <c r="F5875" s="1"/>
      <c r="K5875" s="1"/>
    </row>
    <row r="5876" spans="5:11" x14ac:dyDescent="0.3">
      <c r="E5876" s="6"/>
      <c r="F5876" s="1"/>
      <c r="K5876" s="1"/>
    </row>
    <row r="5877" spans="5:11" x14ac:dyDescent="0.3">
      <c r="E5877" s="6"/>
      <c r="F5877" s="1"/>
      <c r="K5877" s="1"/>
    </row>
    <row r="5878" spans="5:11" x14ac:dyDescent="0.3">
      <c r="E5878" s="5"/>
      <c r="F5878" s="1"/>
      <c r="K5878" s="1"/>
    </row>
    <row r="5879" spans="5:11" x14ac:dyDescent="0.3">
      <c r="E5879" s="6"/>
      <c r="F5879" s="1"/>
      <c r="K5879" s="1"/>
    </row>
    <row r="5880" spans="5:11" x14ac:dyDescent="0.3">
      <c r="E5880" s="6"/>
      <c r="F5880" s="1"/>
      <c r="K5880" s="1"/>
    </row>
    <row r="5881" spans="5:11" x14ac:dyDescent="0.3">
      <c r="E5881" s="6"/>
      <c r="F5881" s="1"/>
      <c r="K5881" s="1"/>
    </row>
    <row r="5882" spans="5:11" x14ac:dyDescent="0.3">
      <c r="E5882" s="6"/>
      <c r="F5882" s="1"/>
      <c r="K5882" s="1"/>
    </row>
    <row r="5883" spans="5:11" x14ac:dyDescent="0.3">
      <c r="E5883" s="6"/>
      <c r="F5883" s="1"/>
      <c r="K5883" s="1"/>
    </row>
    <row r="5884" spans="5:11" x14ac:dyDescent="0.3">
      <c r="E5884" s="6"/>
      <c r="F5884" s="1"/>
      <c r="K5884" s="1"/>
    </row>
    <row r="5885" spans="5:11" x14ac:dyDescent="0.3">
      <c r="E5885" s="6"/>
      <c r="F5885" s="1"/>
      <c r="K5885" s="1"/>
    </row>
    <row r="5886" spans="5:11" x14ac:dyDescent="0.3">
      <c r="E5886" s="6"/>
      <c r="F5886" s="1"/>
      <c r="K5886" s="1"/>
    </row>
    <row r="5887" spans="5:11" x14ac:dyDescent="0.3">
      <c r="E5887" s="6"/>
      <c r="F5887" s="1"/>
      <c r="K5887" s="1"/>
    </row>
    <row r="5888" spans="5:11" x14ac:dyDescent="0.3">
      <c r="E5888" s="6"/>
      <c r="F5888" s="1"/>
      <c r="K5888" s="1"/>
    </row>
    <row r="5889" spans="5:11" x14ac:dyDescent="0.3">
      <c r="E5889" s="6"/>
      <c r="F5889" s="1"/>
      <c r="K5889" s="1"/>
    </row>
    <row r="5890" spans="5:11" x14ac:dyDescent="0.3">
      <c r="E5890" s="6"/>
      <c r="F5890" s="1"/>
      <c r="K5890" s="1"/>
    </row>
    <row r="5891" spans="5:11" x14ac:dyDescent="0.3">
      <c r="E5891" s="6"/>
      <c r="F5891" s="1"/>
      <c r="K5891" s="1"/>
    </row>
    <row r="5892" spans="5:11" x14ac:dyDescent="0.3">
      <c r="E5892" s="6"/>
      <c r="F5892" s="1"/>
      <c r="K5892" s="1"/>
    </row>
    <row r="5893" spans="5:11" x14ac:dyDescent="0.3">
      <c r="E5893" s="6"/>
      <c r="F5893" s="1"/>
      <c r="K5893" s="1"/>
    </row>
    <row r="5894" spans="5:11" x14ac:dyDescent="0.3">
      <c r="E5894" s="6"/>
      <c r="F5894" s="1"/>
      <c r="K5894" s="1"/>
    </row>
    <row r="5895" spans="5:11" x14ac:dyDescent="0.3">
      <c r="E5895" s="6"/>
      <c r="F5895" s="1"/>
      <c r="K5895" s="1"/>
    </row>
    <row r="5896" spans="5:11" x14ac:dyDescent="0.3">
      <c r="E5896" s="6"/>
      <c r="F5896" s="1"/>
      <c r="K5896" s="1"/>
    </row>
    <row r="5897" spans="5:11" x14ac:dyDescent="0.3">
      <c r="E5897" s="6"/>
      <c r="F5897" s="1"/>
      <c r="K5897" s="1"/>
    </row>
    <row r="5898" spans="5:11" x14ac:dyDescent="0.3">
      <c r="E5898" s="6"/>
      <c r="F5898" s="1"/>
      <c r="K5898" s="1"/>
    </row>
    <row r="5899" spans="5:11" x14ac:dyDescent="0.3">
      <c r="E5899" s="6"/>
      <c r="F5899" s="1"/>
      <c r="K5899" s="1"/>
    </row>
    <row r="5900" spans="5:11" x14ac:dyDescent="0.3">
      <c r="E5900" s="6"/>
      <c r="F5900" s="1"/>
      <c r="K5900" s="1"/>
    </row>
    <row r="5901" spans="5:11" x14ac:dyDescent="0.3">
      <c r="E5901" s="6"/>
      <c r="F5901" s="1"/>
      <c r="K5901" s="1"/>
    </row>
    <row r="5902" spans="5:11" x14ac:dyDescent="0.3">
      <c r="E5902" s="6"/>
      <c r="F5902" s="1"/>
      <c r="K5902" s="1"/>
    </row>
    <row r="5903" spans="5:11" x14ac:dyDescent="0.3">
      <c r="E5903" s="6"/>
      <c r="F5903" s="1"/>
      <c r="K5903" s="1"/>
    </row>
    <row r="5904" spans="5:11" x14ac:dyDescent="0.3">
      <c r="E5904" s="6"/>
      <c r="F5904" s="1"/>
      <c r="K5904" s="1"/>
    </row>
    <row r="5905" spans="5:11" x14ac:dyDescent="0.3">
      <c r="E5905" s="6"/>
      <c r="F5905" s="1"/>
      <c r="K5905" s="1"/>
    </row>
    <row r="5906" spans="5:11" x14ac:dyDescent="0.3">
      <c r="E5906" s="6"/>
      <c r="F5906" s="1"/>
      <c r="K5906" s="1"/>
    </row>
    <row r="5907" spans="5:11" x14ac:dyDescent="0.3">
      <c r="E5907" s="6"/>
      <c r="F5907" s="1"/>
      <c r="K5907" s="1"/>
    </row>
    <row r="5908" spans="5:11" x14ac:dyDescent="0.3">
      <c r="E5908" s="6"/>
      <c r="F5908" s="1"/>
      <c r="K5908" s="1"/>
    </row>
    <row r="5909" spans="5:11" x14ac:dyDescent="0.3">
      <c r="E5909" s="6"/>
      <c r="F5909" s="1"/>
      <c r="K5909" s="1"/>
    </row>
    <row r="5910" spans="5:11" x14ac:dyDescent="0.3">
      <c r="E5910" s="6"/>
      <c r="F5910" s="1"/>
      <c r="K5910" s="1"/>
    </row>
    <row r="5911" spans="5:11" x14ac:dyDescent="0.3">
      <c r="E5911" s="6"/>
      <c r="F5911" s="1"/>
      <c r="K5911" s="1"/>
    </row>
    <row r="5912" spans="5:11" x14ac:dyDescent="0.3">
      <c r="E5912" s="6"/>
      <c r="F5912" s="1"/>
      <c r="K5912" s="1"/>
    </row>
    <row r="5913" spans="5:11" x14ac:dyDescent="0.3">
      <c r="E5913" s="6"/>
      <c r="F5913" s="1"/>
      <c r="K5913" s="1"/>
    </row>
    <row r="5914" spans="5:11" x14ac:dyDescent="0.3">
      <c r="E5914" s="6"/>
      <c r="F5914" s="1"/>
      <c r="K5914" s="1"/>
    </row>
    <row r="5915" spans="5:11" x14ac:dyDescent="0.3">
      <c r="E5915" s="6"/>
      <c r="F5915" s="1"/>
      <c r="K5915" s="1"/>
    </row>
    <row r="5916" spans="5:11" x14ac:dyDescent="0.3">
      <c r="E5916" s="6"/>
      <c r="F5916" s="1"/>
      <c r="K5916" s="1"/>
    </row>
    <row r="5917" spans="5:11" x14ac:dyDescent="0.3">
      <c r="E5917" s="6"/>
      <c r="F5917" s="1"/>
      <c r="K5917" s="1"/>
    </row>
    <row r="5918" spans="5:11" x14ac:dyDescent="0.3">
      <c r="E5918" s="6"/>
      <c r="F5918" s="1"/>
      <c r="K5918" s="1"/>
    </row>
    <row r="5919" spans="5:11" x14ac:dyDescent="0.3">
      <c r="E5919" s="6"/>
      <c r="F5919" s="1"/>
      <c r="K5919" s="1"/>
    </row>
    <row r="5920" spans="5:11" x14ac:dyDescent="0.3">
      <c r="E5920" s="6"/>
      <c r="F5920" s="1"/>
      <c r="K5920" s="1"/>
    </row>
    <row r="5921" spans="5:11" x14ac:dyDescent="0.3">
      <c r="E5921" s="5"/>
      <c r="F5921" s="1"/>
      <c r="K5921" s="1"/>
    </row>
    <row r="5922" spans="5:11" x14ac:dyDescent="0.3">
      <c r="E5922" s="5"/>
      <c r="F5922" s="1"/>
      <c r="K5922" s="1"/>
    </row>
    <row r="5923" spans="5:11" x14ac:dyDescent="0.3">
      <c r="E5923" s="5"/>
      <c r="F5923" s="1"/>
      <c r="K5923" s="1"/>
    </row>
    <row r="5924" spans="5:11" x14ac:dyDescent="0.3">
      <c r="E5924" s="5"/>
      <c r="F5924" s="1"/>
      <c r="K5924" s="1"/>
    </row>
    <row r="5925" spans="5:11" x14ac:dyDescent="0.3">
      <c r="E5925" s="6"/>
      <c r="F5925" s="1"/>
      <c r="K5925" s="1"/>
    </row>
    <row r="5926" spans="5:11" x14ac:dyDescent="0.3">
      <c r="E5926" s="6"/>
      <c r="F5926" s="1"/>
      <c r="K5926" s="1"/>
    </row>
    <row r="5927" spans="5:11" x14ac:dyDescent="0.3">
      <c r="E5927" s="6"/>
      <c r="F5927" s="1"/>
      <c r="K5927" s="1"/>
    </row>
    <row r="5928" spans="5:11" x14ac:dyDescent="0.3">
      <c r="E5928" s="6"/>
      <c r="F5928" s="1"/>
      <c r="K5928" s="1"/>
    </row>
    <row r="5929" spans="5:11" x14ac:dyDescent="0.3">
      <c r="E5929" s="6"/>
      <c r="F5929" s="1"/>
      <c r="K5929" s="1"/>
    </row>
    <row r="5930" spans="5:11" x14ac:dyDescent="0.3">
      <c r="E5930" s="6"/>
      <c r="F5930" s="1"/>
      <c r="K5930" s="1"/>
    </row>
    <row r="5931" spans="5:11" x14ac:dyDescent="0.3">
      <c r="E5931" s="6"/>
      <c r="F5931" s="1"/>
      <c r="K5931" s="1"/>
    </row>
    <row r="5932" spans="5:11" x14ac:dyDescent="0.3">
      <c r="E5932" s="6"/>
      <c r="F5932" s="1"/>
      <c r="K5932" s="1"/>
    </row>
    <row r="5933" spans="5:11" x14ac:dyDescent="0.3">
      <c r="E5933" s="6"/>
      <c r="F5933" s="1"/>
      <c r="K5933" s="1"/>
    </row>
    <row r="5934" spans="5:11" x14ac:dyDescent="0.3">
      <c r="E5934" s="6"/>
      <c r="F5934" s="1"/>
      <c r="K5934" s="1"/>
    </row>
    <row r="5935" spans="5:11" x14ac:dyDescent="0.3">
      <c r="E5935" s="6"/>
      <c r="F5935" s="1"/>
      <c r="K5935" s="1"/>
    </row>
    <row r="5936" spans="5:11" x14ac:dyDescent="0.3">
      <c r="E5936" s="6"/>
      <c r="F5936" s="1"/>
      <c r="K5936" s="1"/>
    </row>
    <row r="5937" spans="5:11" x14ac:dyDescent="0.3">
      <c r="E5937" s="6"/>
      <c r="F5937" s="1"/>
      <c r="K5937" s="1"/>
    </row>
    <row r="5938" spans="5:11" x14ac:dyDescent="0.3">
      <c r="E5938" s="6"/>
      <c r="F5938" s="1"/>
      <c r="K5938" s="1"/>
    </row>
    <row r="5939" spans="5:11" x14ac:dyDescent="0.3">
      <c r="E5939" s="6"/>
      <c r="F5939" s="1"/>
      <c r="K5939" s="1"/>
    </row>
    <row r="5940" spans="5:11" x14ac:dyDescent="0.3">
      <c r="E5940" s="6"/>
      <c r="F5940" s="1"/>
      <c r="K5940" s="1"/>
    </row>
    <row r="5941" spans="5:11" x14ac:dyDescent="0.3">
      <c r="E5941" s="6"/>
      <c r="F5941" s="1"/>
      <c r="K5941" s="1"/>
    </row>
    <row r="5942" spans="5:11" x14ac:dyDescent="0.3">
      <c r="E5942" s="6"/>
      <c r="F5942" s="1"/>
      <c r="K5942" s="1"/>
    </row>
    <row r="5943" spans="5:11" x14ac:dyDescent="0.3">
      <c r="E5943" s="6"/>
      <c r="F5943" s="1"/>
      <c r="K5943" s="1"/>
    </row>
    <row r="5944" spans="5:11" x14ac:dyDescent="0.3">
      <c r="E5944" s="6"/>
      <c r="F5944" s="1"/>
      <c r="K5944" s="1"/>
    </row>
    <row r="5945" spans="5:11" x14ac:dyDescent="0.3">
      <c r="E5945" s="6"/>
      <c r="F5945" s="1"/>
      <c r="K5945" s="1"/>
    </row>
    <row r="5946" spans="5:11" x14ac:dyDescent="0.3">
      <c r="E5946" s="6"/>
      <c r="F5946" s="1"/>
      <c r="K5946" s="1"/>
    </row>
    <row r="5947" spans="5:11" x14ac:dyDescent="0.3">
      <c r="E5947" s="6"/>
      <c r="F5947" s="1"/>
      <c r="K5947" s="1"/>
    </row>
    <row r="5948" spans="5:11" x14ac:dyDescent="0.3">
      <c r="E5948" s="6"/>
      <c r="F5948" s="1"/>
      <c r="K5948" s="1"/>
    </row>
    <row r="5949" spans="5:11" x14ac:dyDescent="0.3">
      <c r="E5949" s="6"/>
      <c r="F5949" s="1"/>
      <c r="K5949" s="1"/>
    </row>
    <row r="5950" spans="5:11" x14ac:dyDescent="0.3">
      <c r="E5950" s="6"/>
      <c r="F5950" s="1"/>
      <c r="K5950" s="1"/>
    </row>
    <row r="5951" spans="5:11" x14ac:dyDescent="0.3">
      <c r="E5951" s="6"/>
      <c r="F5951" s="1"/>
      <c r="K5951" s="1"/>
    </row>
    <row r="5952" spans="5:11" x14ac:dyDescent="0.3">
      <c r="E5952" s="6"/>
      <c r="F5952" s="1"/>
      <c r="K5952" s="1"/>
    </row>
    <row r="5953" spans="5:11" x14ac:dyDescent="0.3">
      <c r="E5953" s="6"/>
      <c r="F5953" s="1"/>
      <c r="K5953" s="1"/>
    </row>
    <row r="5954" spans="5:11" x14ac:dyDescent="0.3">
      <c r="E5954" s="6"/>
      <c r="F5954" s="1"/>
      <c r="K5954" s="1"/>
    </row>
    <row r="5955" spans="5:11" x14ac:dyDescent="0.3">
      <c r="E5955" s="5"/>
      <c r="F5955" s="1"/>
      <c r="K5955" s="1"/>
    </row>
    <row r="5956" spans="5:11" x14ac:dyDescent="0.3">
      <c r="E5956" s="6"/>
      <c r="F5956" s="1"/>
      <c r="K5956" s="1"/>
    </row>
    <row r="5957" spans="5:11" x14ac:dyDescent="0.3">
      <c r="E5957" s="6"/>
      <c r="F5957" s="1"/>
      <c r="K5957" s="1"/>
    </row>
    <row r="5958" spans="5:11" x14ac:dyDescent="0.3">
      <c r="E5958" s="6"/>
      <c r="F5958" s="1"/>
      <c r="K5958" s="1"/>
    </row>
    <row r="5959" spans="5:11" x14ac:dyDescent="0.3">
      <c r="E5959" s="6"/>
      <c r="F5959" s="1"/>
      <c r="K5959" s="1"/>
    </row>
    <row r="5960" spans="5:11" x14ac:dyDescent="0.3">
      <c r="E5960" s="6"/>
      <c r="F5960" s="1"/>
      <c r="K5960" s="1"/>
    </row>
    <row r="5961" spans="5:11" x14ac:dyDescent="0.3">
      <c r="E5961" s="6"/>
      <c r="F5961" s="1"/>
      <c r="K5961" s="1"/>
    </row>
    <row r="5962" spans="5:11" x14ac:dyDescent="0.3">
      <c r="E5962" s="6"/>
      <c r="F5962" s="1"/>
      <c r="K5962" s="1"/>
    </row>
    <row r="5963" spans="5:11" x14ac:dyDescent="0.3">
      <c r="E5963" s="6"/>
      <c r="F5963" s="1"/>
      <c r="K5963" s="1"/>
    </row>
    <row r="5964" spans="5:11" x14ac:dyDescent="0.3">
      <c r="E5964" s="6"/>
      <c r="F5964" s="1"/>
      <c r="K5964" s="1"/>
    </row>
    <row r="5965" spans="5:11" x14ac:dyDescent="0.3">
      <c r="E5965" s="6"/>
      <c r="F5965" s="1"/>
      <c r="K5965" s="1"/>
    </row>
    <row r="5966" spans="5:11" x14ac:dyDescent="0.3">
      <c r="E5966" s="6"/>
      <c r="F5966" s="1"/>
      <c r="K5966" s="1"/>
    </row>
    <row r="5967" spans="5:11" x14ac:dyDescent="0.3">
      <c r="E5967" s="6"/>
      <c r="F5967" s="1"/>
      <c r="K5967" s="1"/>
    </row>
    <row r="5968" spans="5:11" x14ac:dyDescent="0.3">
      <c r="E5968" s="6"/>
      <c r="F5968" s="1"/>
      <c r="K5968" s="1"/>
    </row>
    <row r="5969" spans="5:11" x14ac:dyDescent="0.3">
      <c r="E5969" s="6"/>
      <c r="F5969" s="1"/>
      <c r="K5969" s="1"/>
    </row>
    <row r="5970" spans="5:11" x14ac:dyDescent="0.3">
      <c r="E5970" s="6"/>
      <c r="F5970" s="1"/>
      <c r="K5970" s="1"/>
    </row>
    <row r="5971" spans="5:11" x14ac:dyDescent="0.3">
      <c r="E5971" s="6"/>
      <c r="F5971" s="1"/>
      <c r="K5971" s="1"/>
    </row>
    <row r="5972" spans="5:11" x14ac:dyDescent="0.3">
      <c r="E5972" s="6"/>
      <c r="F5972" s="1"/>
      <c r="K5972" s="1"/>
    </row>
    <row r="5973" spans="5:11" x14ac:dyDescent="0.3">
      <c r="E5973" s="6"/>
      <c r="F5973" s="1"/>
      <c r="K5973" s="1"/>
    </row>
    <row r="5974" spans="5:11" x14ac:dyDescent="0.3">
      <c r="E5974" s="6"/>
      <c r="F5974" s="1"/>
      <c r="K5974" s="1"/>
    </row>
    <row r="5975" spans="5:11" x14ac:dyDescent="0.3">
      <c r="E5975" s="6"/>
      <c r="F5975" s="1"/>
      <c r="K5975" s="1"/>
    </row>
    <row r="5976" spans="5:11" x14ac:dyDescent="0.3">
      <c r="E5976" s="6"/>
      <c r="F5976" s="1"/>
      <c r="K5976" s="1"/>
    </row>
    <row r="5977" spans="5:11" x14ac:dyDescent="0.3">
      <c r="E5977" s="6"/>
      <c r="F5977" s="1"/>
      <c r="K5977" s="1"/>
    </row>
    <row r="5978" spans="5:11" x14ac:dyDescent="0.3">
      <c r="E5978" s="6"/>
      <c r="F5978" s="1"/>
      <c r="K5978" s="1"/>
    </row>
    <row r="5979" spans="5:11" x14ac:dyDescent="0.3">
      <c r="E5979" s="6"/>
      <c r="F5979" s="1"/>
      <c r="K5979" s="1"/>
    </row>
    <row r="5980" spans="5:11" x14ac:dyDescent="0.3">
      <c r="E5980" s="6"/>
      <c r="F5980" s="1"/>
      <c r="K5980" s="1"/>
    </row>
    <row r="5981" spans="5:11" x14ac:dyDescent="0.3">
      <c r="E5981" s="6"/>
      <c r="F5981" s="1"/>
      <c r="K5981" s="1"/>
    </row>
    <row r="5982" spans="5:11" x14ac:dyDescent="0.3">
      <c r="E5982" s="6"/>
      <c r="F5982" s="1"/>
      <c r="K5982" s="1"/>
    </row>
    <row r="5983" spans="5:11" x14ac:dyDescent="0.3">
      <c r="E5983" s="6"/>
      <c r="F5983" s="1"/>
      <c r="K5983" s="1"/>
    </row>
    <row r="5984" spans="5:11" x14ac:dyDescent="0.3">
      <c r="E5984" s="6"/>
      <c r="F5984" s="1"/>
      <c r="K5984" s="1"/>
    </row>
    <row r="5985" spans="5:11" x14ac:dyDescent="0.3">
      <c r="E5985" s="6"/>
      <c r="F5985" s="1"/>
      <c r="K5985" s="1"/>
    </row>
    <row r="5986" spans="5:11" x14ac:dyDescent="0.3">
      <c r="E5986" s="6"/>
      <c r="F5986" s="1"/>
      <c r="K5986" s="1"/>
    </row>
    <row r="5987" spans="5:11" x14ac:dyDescent="0.3">
      <c r="E5987" s="6"/>
      <c r="F5987" s="1"/>
      <c r="K5987" s="1"/>
    </row>
    <row r="5988" spans="5:11" x14ac:dyDescent="0.3">
      <c r="E5988" s="6"/>
      <c r="F5988" s="1"/>
      <c r="K5988" s="1"/>
    </row>
    <row r="5989" spans="5:11" x14ac:dyDescent="0.3">
      <c r="E5989" s="6"/>
      <c r="F5989" s="1"/>
      <c r="K5989" s="1"/>
    </row>
    <row r="5990" spans="5:11" x14ac:dyDescent="0.3">
      <c r="E5990" s="6"/>
      <c r="F5990" s="1"/>
      <c r="K5990" s="1"/>
    </row>
    <row r="5991" spans="5:11" x14ac:dyDescent="0.3">
      <c r="E5991" s="6"/>
      <c r="F5991" s="1"/>
      <c r="K5991" s="1"/>
    </row>
    <row r="5992" spans="5:11" x14ac:dyDescent="0.3">
      <c r="E5992" s="6"/>
      <c r="F5992" s="1"/>
      <c r="K5992" s="1"/>
    </row>
    <row r="5993" spans="5:11" x14ac:dyDescent="0.3">
      <c r="E5993" s="5"/>
      <c r="F5993" s="1"/>
      <c r="K5993" s="1"/>
    </row>
    <row r="5994" spans="5:11" x14ac:dyDescent="0.3">
      <c r="E5994" s="5"/>
      <c r="F5994" s="1"/>
      <c r="K5994" s="1"/>
    </row>
    <row r="5995" spans="5:11" x14ac:dyDescent="0.3">
      <c r="E5995" s="6"/>
      <c r="F5995" s="1"/>
      <c r="K5995" s="1"/>
    </row>
    <row r="5996" spans="5:11" x14ac:dyDescent="0.3">
      <c r="E5996" s="6"/>
      <c r="F5996" s="1"/>
      <c r="K5996" s="1"/>
    </row>
    <row r="5997" spans="5:11" x14ac:dyDescent="0.3">
      <c r="E5997" s="6"/>
      <c r="F5997" s="1"/>
      <c r="K5997" s="1"/>
    </row>
    <row r="5998" spans="5:11" x14ac:dyDescent="0.3">
      <c r="E5998" s="6"/>
      <c r="F5998" s="1"/>
      <c r="K5998" s="1"/>
    </row>
    <row r="5999" spans="5:11" x14ac:dyDescent="0.3">
      <c r="E5999" s="6"/>
      <c r="F5999" s="1"/>
      <c r="K5999" s="1"/>
    </row>
    <row r="6000" spans="5:11" x14ac:dyDescent="0.3">
      <c r="E6000" s="6"/>
      <c r="F6000" s="1"/>
      <c r="K6000" s="1"/>
    </row>
    <row r="6001" spans="5:11" x14ac:dyDescent="0.3">
      <c r="E6001" s="6"/>
      <c r="F6001" s="1"/>
      <c r="K6001" s="1"/>
    </row>
    <row r="6002" spans="5:11" x14ac:dyDescent="0.3">
      <c r="E6002" s="6"/>
      <c r="F6002" s="1"/>
      <c r="K6002" s="1"/>
    </row>
    <row r="6003" spans="5:11" x14ac:dyDescent="0.3">
      <c r="E6003" s="6"/>
      <c r="F6003" s="1"/>
      <c r="K6003" s="1"/>
    </row>
    <row r="6004" spans="5:11" x14ac:dyDescent="0.3">
      <c r="E6004" s="6"/>
      <c r="F6004" s="1"/>
      <c r="K6004" s="1"/>
    </row>
    <row r="6005" spans="5:11" x14ac:dyDescent="0.3">
      <c r="E6005" s="6"/>
      <c r="F6005" s="1"/>
      <c r="K6005" s="1"/>
    </row>
    <row r="6006" spans="5:11" x14ac:dyDescent="0.3">
      <c r="E6006" s="6"/>
      <c r="F6006" s="1"/>
      <c r="K6006" s="1"/>
    </row>
    <row r="6007" spans="5:11" x14ac:dyDescent="0.3">
      <c r="E6007" s="6"/>
      <c r="F6007" s="1"/>
      <c r="K6007" s="1"/>
    </row>
    <row r="6008" spans="5:11" x14ac:dyDescent="0.3">
      <c r="E6008" s="6"/>
      <c r="F6008" s="1"/>
      <c r="K6008" s="1"/>
    </row>
    <row r="6009" spans="5:11" x14ac:dyDescent="0.3">
      <c r="E6009" s="6"/>
      <c r="F6009" s="1"/>
      <c r="K6009" s="1"/>
    </row>
    <row r="6010" spans="5:11" x14ac:dyDescent="0.3">
      <c r="E6010" s="6"/>
      <c r="F6010" s="1"/>
      <c r="K6010" s="1"/>
    </row>
    <row r="6011" spans="5:11" x14ac:dyDescent="0.3">
      <c r="E6011" s="6"/>
      <c r="F6011" s="1"/>
      <c r="K6011" s="1"/>
    </row>
    <row r="6012" spans="5:11" x14ac:dyDescent="0.3">
      <c r="E6012" s="6"/>
      <c r="F6012" s="1"/>
      <c r="K6012" s="1"/>
    </row>
    <row r="6013" spans="5:11" x14ac:dyDescent="0.3">
      <c r="E6013" s="6"/>
      <c r="F6013" s="1"/>
      <c r="K6013" s="1"/>
    </row>
    <row r="6014" spans="5:11" x14ac:dyDescent="0.3">
      <c r="E6014" s="6"/>
      <c r="F6014" s="1"/>
      <c r="K6014" s="1"/>
    </row>
    <row r="6015" spans="5:11" x14ac:dyDescent="0.3">
      <c r="E6015" s="6"/>
      <c r="F6015" s="1"/>
      <c r="K6015" s="1"/>
    </row>
    <row r="6016" spans="5:11" x14ac:dyDescent="0.3">
      <c r="E6016" s="6"/>
      <c r="F6016" s="1"/>
      <c r="K6016" s="1"/>
    </row>
    <row r="6017" spans="5:11" x14ac:dyDescent="0.3">
      <c r="E6017" s="6"/>
      <c r="F6017" s="1"/>
      <c r="K6017" s="1"/>
    </row>
    <row r="6018" spans="5:11" x14ac:dyDescent="0.3">
      <c r="E6018" s="6"/>
      <c r="F6018" s="1"/>
      <c r="K6018" s="1"/>
    </row>
    <row r="6019" spans="5:11" x14ac:dyDescent="0.3">
      <c r="E6019" s="6"/>
      <c r="F6019" s="1"/>
      <c r="K6019" s="1"/>
    </row>
    <row r="6020" spans="5:11" x14ac:dyDescent="0.3">
      <c r="E6020" s="6"/>
      <c r="F6020" s="1"/>
      <c r="K6020" s="1"/>
    </row>
    <row r="6021" spans="5:11" x14ac:dyDescent="0.3">
      <c r="E6021" s="6"/>
      <c r="F6021" s="1"/>
      <c r="K6021" s="1"/>
    </row>
    <row r="6022" spans="5:11" x14ac:dyDescent="0.3">
      <c r="E6022" s="6"/>
      <c r="F6022" s="1"/>
      <c r="K6022" s="1"/>
    </row>
    <row r="6023" spans="5:11" x14ac:dyDescent="0.3">
      <c r="E6023" s="6"/>
      <c r="F6023" s="1"/>
      <c r="K6023" s="1"/>
    </row>
    <row r="6024" spans="5:11" x14ac:dyDescent="0.3">
      <c r="E6024" s="6"/>
      <c r="F6024" s="1"/>
      <c r="K6024" s="1"/>
    </row>
    <row r="6025" spans="5:11" x14ac:dyDescent="0.3">
      <c r="E6025" s="6"/>
      <c r="F6025" s="1"/>
      <c r="K6025" s="1"/>
    </row>
    <row r="6026" spans="5:11" x14ac:dyDescent="0.3">
      <c r="E6026" s="6"/>
      <c r="F6026" s="1"/>
      <c r="K6026" s="1"/>
    </row>
    <row r="6027" spans="5:11" x14ac:dyDescent="0.3">
      <c r="E6027" s="6"/>
      <c r="F6027" s="1"/>
      <c r="K6027" s="1"/>
    </row>
    <row r="6028" spans="5:11" x14ac:dyDescent="0.3">
      <c r="E6028" s="6"/>
      <c r="F6028" s="1"/>
      <c r="K6028" s="1"/>
    </row>
    <row r="6029" spans="5:11" x14ac:dyDescent="0.3">
      <c r="E6029" s="6"/>
      <c r="F6029" s="1"/>
      <c r="K6029" s="1"/>
    </row>
    <row r="6030" spans="5:11" x14ac:dyDescent="0.3">
      <c r="E6030" s="6"/>
      <c r="F6030" s="1"/>
      <c r="K6030" s="1"/>
    </row>
    <row r="6031" spans="5:11" x14ac:dyDescent="0.3">
      <c r="E6031" s="6"/>
      <c r="F6031" s="1"/>
      <c r="K6031" s="1"/>
    </row>
    <row r="6032" spans="5:11" x14ac:dyDescent="0.3">
      <c r="E6032" s="6"/>
      <c r="F6032" s="1"/>
      <c r="K6032" s="1"/>
    </row>
    <row r="6033" spans="5:11" x14ac:dyDescent="0.3">
      <c r="E6033" s="6"/>
      <c r="F6033" s="1"/>
      <c r="K6033" s="1"/>
    </row>
    <row r="6034" spans="5:11" x14ac:dyDescent="0.3">
      <c r="E6034" s="6"/>
      <c r="F6034" s="1"/>
      <c r="K6034" s="1"/>
    </row>
    <row r="6035" spans="5:11" x14ac:dyDescent="0.3">
      <c r="E6035" s="6"/>
      <c r="F6035" s="1"/>
      <c r="K6035" s="1"/>
    </row>
    <row r="6036" spans="5:11" x14ac:dyDescent="0.3">
      <c r="E6036" s="6"/>
      <c r="F6036" s="1"/>
      <c r="K6036" s="1"/>
    </row>
    <row r="6037" spans="5:11" x14ac:dyDescent="0.3">
      <c r="E6037" s="5"/>
      <c r="F6037" s="1"/>
      <c r="K6037" s="1"/>
    </row>
    <row r="6038" spans="5:11" x14ac:dyDescent="0.3">
      <c r="E6038" s="5"/>
      <c r="F6038" s="1"/>
      <c r="K6038" s="1"/>
    </row>
    <row r="6039" spans="5:11" x14ac:dyDescent="0.3">
      <c r="E6039" s="6"/>
      <c r="F6039" s="1"/>
      <c r="K6039" s="1"/>
    </row>
    <row r="6040" spans="5:11" x14ac:dyDescent="0.3">
      <c r="E6040" s="6"/>
      <c r="F6040" s="1"/>
      <c r="K6040" s="1"/>
    </row>
    <row r="6041" spans="5:11" x14ac:dyDescent="0.3">
      <c r="E6041" s="6"/>
      <c r="F6041" s="1"/>
      <c r="K6041" s="1"/>
    </row>
    <row r="6042" spans="5:11" x14ac:dyDescent="0.3">
      <c r="E6042" s="6"/>
      <c r="F6042" s="1"/>
      <c r="K6042" s="1"/>
    </row>
    <row r="6043" spans="5:11" x14ac:dyDescent="0.3">
      <c r="E6043" s="6"/>
      <c r="F6043" s="1"/>
      <c r="K6043" s="1"/>
    </row>
    <row r="6044" spans="5:11" x14ac:dyDescent="0.3">
      <c r="E6044" s="6"/>
      <c r="F6044" s="1"/>
      <c r="K6044" s="1"/>
    </row>
    <row r="6045" spans="5:11" x14ac:dyDescent="0.3">
      <c r="E6045" s="6"/>
      <c r="F6045" s="1"/>
      <c r="K6045" s="1"/>
    </row>
    <row r="6046" spans="5:11" x14ac:dyDescent="0.3">
      <c r="E6046" s="6"/>
      <c r="F6046" s="1"/>
      <c r="K6046" s="1"/>
    </row>
    <row r="6047" spans="5:11" x14ac:dyDescent="0.3">
      <c r="E6047" s="6"/>
      <c r="F6047" s="1"/>
      <c r="K6047" s="1"/>
    </row>
    <row r="6048" spans="5:11" x14ac:dyDescent="0.3">
      <c r="E6048" s="6"/>
      <c r="F6048" s="1"/>
      <c r="K6048" s="1"/>
    </row>
    <row r="6049" spans="5:11" x14ac:dyDescent="0.3">
      <c r="E6049" s="6"/>
      <c r="F6049" s="1"/>
      <c r="K6049" s="1"/>
    </row>
    <row r="6050" spans="5:11" x14ac:dyDescent="0.3">
      <c r="E6050" s="6"/>
      <c r="F6050" s="1"/>
      <c r="K6050" s="1"/>
    </row>
    <row r="6051" spans="5:11" x14ac:dyDescent="0.3">
      <c r="E6051" s="6"/>
      <c r="F6051" s="1"/>
      <c r="K6051" s="1"/>
    </row>
    <row r="6052" spans="5:11" x14ac:dyDescent="0.3">
      <c r="E6052" s="6"/>
      <c r="F6052" s="1"/>
      <c r="K6052" s="1"/>
    </row>
    <row r="6053" spans="5:11" x14ac:dyDescent="0.3">
      <c r="E6053" s="6"/>
      <c r="F6053" s="1"/>
      <c r="K6053" s="1"/>
    </row>
    <row r="6054" spans="5:11" x14ac:dyDescent="0.3">
      <c r="E6054" s="6"/>
      <c r="F6054" s="1"/>
      <c r="K6054" s="1"/>
    </row>
    <row r="6055" spans="5:11" x14ac:dyDescent="0.3">
      <c r="E6055" s="6"/>
      <c r="F6055" s="1"/>
      <c r="K6055" s="1"/>
    </row>
    <row r="6056" spans="5:11" x14ac:dyDescent="0.3">
      <c r="E6056" s="6"/>
      <c r="F6056" s="1"/>
      <c r="K6056" s="1"/>
    </row>
    <row r="6057" spans="5:11" x14ac:dyDescent="0.3">
      <c r="E6057" s="6"/>
      <c r="F6057" s="1"/>
      <c r="K6057" s="1"/>
    </row>
    <row r="6058" spans="5:11" x14ac:dyDescent="0.3">
      <c r="E6058" s="6"/>
      <c r="F6058" s="1"/>
      <c r="K6058" s="1"/>
    </row>
    <row r="6059" spans="5:11" x14ac:dyDescent="0.3">
      <c r="E6059" s="6"/>
      <c r="F6059" s="1"/>
      <c r="K6059" s="1"/>
    </row>
    <row r="6060" spans="5:11" x14ac:dyDescent="0.3">
      <c r="E6060" s="6"/>
      <c r="F6060" s="1"/>
      <c r="K6060" s="1"/>
    </row>
    <row r="6061" spans="5:11" x14ac:dyDescent="0.3">
      <c r="E6061" s="6"/>
      <c r="F6061" s="1"/>
      <c r="K6061" s="1"/>
    </row>
    <row r="6062" spans="5:11" x14ac:dyDescent="0.3">
      <c r="E6062" s="6"/>
      <c r="F6062" s="1"/>
      <c r="K6062" s="1"/>
    </row>
    <row r="6063" spans="5:11" x14ac:dyDescent="0.3">
      <c r="E6063" s="6"/>
      <c r="F6063" s="1"/>
      <c r="K6063" s="1"/>
    </row>
    <row r="6064" spans="5:11" x14ac:dyDescent="0.3">
      <c r="E6064" s="6"/>
      <c r="F6064" s="1"/>
      <c r="K6064" s="1"/>
    </row>
    <row r="6065" spans="5:11" x14ac:dyDescent="0.3">
      <c r="E6065" s="6"/>
      <c r="F6065" s="1"/>
      <c r="K6065" s="1"/>
    </row>
    <row r="6066" spans="5:11" x14ac:dyDescent="0.3">
      <c r="E6066" s="6"/>
      <c r="F6066" s="1"/>
      <c r="K6066" s="1"/>
    </row>
    <row r="6067" spans="5:11" x14ac:dyDescent="0.3">
      <c r="E6067" s="6"/>
      <c r="F6067" s="1"/>
      <c r="K6067" s="1"/>
    </row>
    <row r="6068" spans="5:11" x14ac:dyDescent="0.3">
      <c r="E6068" s="5"/>
      <c r="F6068" s="1"/>
      <c r="K6068" s="1"/>
    </row>
    <row r="6069" spans="5:11" x14ac:dyDescent="0.3">
      <c r="E6069" s="6"/>
      <c r="F6069" s="1"/>
      <c r="K6069" s="1"/>
    </row>
    <row r="6070" spans="5:11" x14ac:dyDescent="0.3">
      <c r="E6070" s="6"/>
      <c r="F6070" s="1"/>
      <c r="K6070" s="1"/>
    </row>
    <row r="6071" spans="5:11" x14ac:dyDescent="0.3">
      <c r="E6071" s="6"/>
      <c r="F6071" s="1"/>
      <c r="K6071" s="1"/>
    </row>
    <row r="6072" spans="5:11" x14ac:dyDescent="0.3">
      <c r="E6072" s="6"/>
      <c r="F6072" s="1"/>
      <c r="K6072" s="1"/>
    </row>
    <row r="6073" spans="5:11" x14ac:dyDescent="0.3">
      <c r="E6073" s="6"/>
      <c r="F6073" s="1"/>
      <c r="K6073" s="1"/>
    </row>
    <row r="6074" spans="5:11" x14ac:dyDescent="0.3">
      <c r="E6074" s="6"/>
      <c r="F6074" s="1"/>
      <c r="K6074" s="1"/>
    </row>
    <row r="6075" spans="5:11" x14ac:dyDescent="0.3">
      <c r="E6075" s="6"/>
      <c r="F6075" s="1"/>
      <c r="K6075" s="1"/>
    </row>
    <row r="6076" spans="5:11" x14ac:dyDescent="0.3">
      <c r="E6076" s="6"/>
      <c r="F6076" s="1"/>
      <c r="K6076" s="1"/>
    </row>
    <row r="6077" spans="5:11" x14ac:dyDescent="0.3">
      <c r="E6077" s="6"/>
      <c r="F6077" s="1"/>
      <c r="K6077" s="1"/>
    </row>
    <row r="6078" spans="5:11" x14ac:dyDescent="0.3">
      <c r="E6078" s="6"/>
      <c r="F6078" s="1"/>
      <c r="K6078" s="1"/>
    </row>
    <row r="6079" spans="5:11" x14ac:dyDescent="0.3">
      <c r="E6079" s="6"/>
      <c r="F6079" s="1"/>
      <c r="K6079" s="1"/>
    </row>
    <row r="6080" spans="5:11" x14ac:dyDescent="0.3">
      <c r="E6080" s="6"/>
      <c r="F6080" s="1"/>
      <c r="K6080" s="1"/>
    </row>
    <row r="6081" spans="5:11" x14ac:dyDescent="0.3">
      <c r="E6081" s="6"/>
      <c r="F6081" s="1"/>
      <c r="K6081" s="1"/>
    </row>
    <row r="6082" spans="5:11" x14ac:dyDescent="0.3">
      <c r="E6082" s="5"/>
      <c r="F6082" s="1"/>
      <c r="K6082" s="1"/>
    </row>
    <row r="6083" spans="5:11" x14ac:dyDescent="0.3">
      <c r="E6083" s="5"/>
      <c r="F6083" s="1"/>
      <c r="K6083" s="1"/>
    </row>
    <row r="6084" spans="5:11" x14ac:dyDescent="0.3">
      <c r="E6084" s="5"/>
      <c r="F6084" s="1"/>
      <c r="K6084" s="1"/>
    </row>
    <row r="6085" spans="5:11" x14ac:dyDescent="0.3">
      <c r="E6085" s="6"/>
      <c r="F6085" s="1"/>
      <c r="K6085" s="1"/>
    </row>
    <row r="6086" spans="5:11" x14ac:dyDescent="0.3">
      <c r="E6086" s="6"/>
      <c r="F6086" s="1"/>
      <c r="K6086" s="1"/>
    </row>
    <row r="6087" spans="5:11" x14ac:dyDescent="0.3">
      <c r="E6087" s="6"/>
      <c r="F6087" s="1"/>
      <c r="K6087" s="1"/>
    </row>
    <row r="6088" spans="5:11" x14ac:dyDescent="0.3">
      <c r="E6088" s="6"/>
      <c r="F6088" s="1"/>
      <c r="K6088" s="1"/>
    </row>
    <row r="6089" spans="5:11" x14ac:dyDescent="0.3">
      <c r="E6089" s="6"/>
      <c r="F6089" s="1"/>
      <c r="K6089" s="1"/>
    </row>
    <row r="6090" spans="5:11" x14ac:dyDescent="0.3">
      <c r="E6090" s="6"/>
      <c r="F6090" s="1"/>
      <c r="K6090" s="1"/>
    </row>
    <row r="6091" spans="5:11" x14ac:dyDescent="0.3">
      <c r="E6091" s="6"/>
      <c r="F6091" s="1"/>
      <c r="K6091" s="1"/>
    </row>
    <row r="6092" spans="5:11" x14ac:dyDescent="0.3">
      <c r="E6092" s="6"/>
      <c r="F6092" s="1"/>
      <c r="K6092" s="1"/>
    </row>
    <row r="6093" spans="5:11" x14ac:dyDescent="0.3">
      <c r="E6093" s="6"/>
      <c r="F6093" s="1"/>
      <c r="K6093" s="1"/>
    </row>
    <row r="6094" spans="5:11" x14ac:dyDescent="0.3">
      <c r="E6094" s="6"/>
      <c r="F6094" s="1"/>
      <c r="K6094" s="1"/>
    </row>
    <row r="6095" spans="5:11" x14ac:dyDescent="0.3">
      <c r="E6095" s="6"/>
      <c r="F6095" s="1"/>
      <c r="K6095" s="1"/>
    </row>
    <row r="6096" spans="5:11" x14ac:dyDescent="0.3">
      <c r="E6096" s="6"/>
      <c r="F6096" s="1"/>
      <c r="K6096" s="1"/>
    </row>
    <row r="6097" spans="5:11" x14ac:dyDescent="0.3">
      <c r="E6097" s="6"/>
      <c r="F6097" s="1"/>
      <c r="K6097" s="1"/>
    </row>
    <row r="6098" spans="5:11" x14ac:dyDescent="0.3">
      <c r="E6098" s="6"/>
      <c r="F6098" s="1"/>
      <c r="K6098" s="1"/>
    </row>
    <row r="6099" spans="5:11" x14ac:dyDescent="0.3">
      <c r="E6099" s="5"/>
      <c r="F6099" s="1"/>
      <c r="K6099" s="1"/>
    </row>
    <row r="6100" spans="5:11" x14ac:dyDescent="0.3">
      <c r="E6100" s="6"/>
      <c r="F6100" s="1"/>
      <c r="K6100" s="1"/>
    </row>
    <row r="6101" spans="5:11" x14ac:dyDescent="0.3">
      <c r="E6101" s="6"/>
      <c r="F6101" s="1"/>
      <c r="K6101" s="1"/>
    </row>
    <row r="6102" spans="5:11" x14ac:dyDescent="0.3">
      <c r="E6102" s="6"/>
      <c r="F6102" s="1"/>
      <c r="K6102" s="1"/>
    </row>
    <row r="6103" spans="5:11" x14ac:dyDescent="0.3">
      <c r="E6103" s="6"/>
      <c r="F6103" s="1"/>
      <c r="K6103" s="1"/>
    </row>
    <row r="6104" spans="5:11" x14ac:dyDescent="0.3">
      <c r="E6104" s="6"/>
      <c r="F6104" s="1"/>
      <c r="K6104" s="1"/>
    </row>
    <row r="6105" spans="5:11" x14ac:dyDescent="0.3">
      <c r="E6105" s="6"/>
      <c r="F6105" s="1"/>
      <c r="K6105" s="1"/>
    </row>
    <row r="6106" spans="5:11" x14ac:dyDescent="0.3">
      <c r="E6106" s="5"/>
      <c r="F6106" s="1"/>
      <c r="K6106" s="1"/>
    </row>
    <row r="6107" spans="5:11" x14ac:dyDescent="0.3">
      <c r="E6107" s="6"/>
      <c r="F6107" s="1"/>
      <c r="K6107" s="1"/>
    </row>
    <row r="6108" spans="5:11" x14ac:dyDescent="0.3">
      <c r="E6108" s="6"/>
      <c r="F6108" s="1"/>
      <c r="K6108" s="1"/>
    </row>
    <row r="6109" spans="5:11" x14ac:dyDescent="0.3">
      <c r="E6109" s="6"/>
      <c r="F6109" s="1"/>
      <c r="K6109" s="1"/>
    </row>
    <row r="6110" spans="5:11" x14ac:dyDescent="0.3">
      <c r="E6110" s="6"/>
      <c r="F6110" s="1"/>
      <c r="K6110" s="1"/>
    </row>
    <row r="6111" spans="5:11" x14ac:dyDescent="0.3">
      <c r="E6111" s="6"/>
      <c r="F6111" s="1"/>
      <c r="K6111" s="1"/>
    </row>
    <row r="6112" spans="5:11" x14ac:dyDescent="0.3">
      <c r="E6112" s="6"/>
      <c r="F6112" s="1"/>
      <c r="K6112" s="1"/>
    </row>
    <row r="6113" spans="5:11" x14ac:dyDescent="0.3">
      <c r="E6113" s="6"/>
      <c r="F6113" s="1"/>
      <c r="K6113" s="1"/>
    </row>
    <row r="6114" spans="5:11" x14ac:dyDescent="0.3">
      <c r="E6114" s="6"/>
      <c r="F6114" s="1"/>
      <c r="K6114" s="1"/>
    </row>
    <row r="6115" spans="5:11" x14ac:dyDescent="0.3">
      <c r="E6115" s="6"/>
      <c r="F6115" s="1"/>
      <c r="K6115" s="1"/>
    </row>
    <row r="6116" spans="5:11" x14ac:dyDescent="0.3">
      <c r="E6116" s="6"/>
      <c r="F6116" s="1"/>
      <c r="K6116" s="1"/>
    </row>
    <row r="6117" spans="5:11" x14ac:dyDescent="0.3">
      <c r="E6117" s="6"/>
      <c r="F6117" s="1"/>
      <c r="K6117" s="1"/>
    </row>
    <row r="6118" spans="5:11" x14ac:dyDescent="0.3">
      <c r="E6118" s="6"/>
      <c r="F6118" s="1"/>
      <c r="K6118" s="1"/>
    </row>
    <row r="6119" spans="5:11" x14ac:dyDescent="0.3">
      <c r="E6119" s="6"/>
      <c r="F6119" s="1"/>
      <c r="K6119" s="1"/>
    </row>
    <row r="6120" spans="5:11" x14ac:dyDescent="0.3">
      <c r="E6120" s="6"/>
      <c r="F6120" s="1"/>
      <c r="K6120" s="1"/>
    </row>
    <row r="6121" spans="5:11" x14ac:dyDescent="0.3">
      <c r="E6121" s="6"/>
      <c r="F6121" s="1"/>
      <c r="K6121" s="1"/>
    </row>
    <row r="6122" spans="5:11" x14ac:dyDescent="0.3">
      <c r="E6122" s="6"/>
      <c r="F6122" s="1"/>
      <c r="K6122" s="1"/>
    </row>
    <row r="6123" spans="5:11" x14ac:dyDescent="0.3">
      <c r="E6123" s="6"/>
      <c r="F6123" s="1"/>
      <c r="K6123" s="1"/>
    </row>
    <row r="6124" spans="5:11" x14ac:dyDescent="0.3">
      <c r="E6124" s="6"/>
      <c r="F6124" s="1"/>
      <c r="K6124" s="1"/>
    </row>
    <row r="6125" spans="5:11" x14ac:dyDescent="0.3">
      <c r="E6125" s="6"/>
      <c r="F6125" s="1"/>
      <c r="K6125" s="1"/>
    </row>
    <row r="6126" spans="5:11" x14ac:dyDescent="0.3">
      <c r="E6126" s="6"/>
      <c r="F6126" s="1"/>
      <c r="K6126" s="1"/>
    </row>
    <row r="6127" spans="5:11" x14ac:dyDescent="0.3">
      <c r="E6127" s="6"/>
      <c r="F6127" s="1"/>
      <c r="K6127" s="1"/>
    </row>
    <row r="6128" spans="5:11" x14ac:dyDescent="0.3">
      <c r="E6128" s="6"/>
      <c r="F6128" s="1"/>
      <c r="K6128" s="1"/>
    </row>
    <row r="6129" spans="5:11" x14ac:dyDescent="0.3">
      <c r="E6129" s="6"/>
      <c r="F6129" s="1"/>
      <c r="K6129" s="1"/>
    </row>
    <row r="6130" spans="5:11" x14ac:dyDescent="0.3">
      <c r="E6130" s="6"/>
      <c r="F6130" s="1"/>
      <c r="K6130" s="1"/>
    </row>
    <row r="6131" spans="5:11" x14ac:dyDescent="0.3">
      <c r="E6131" s="6"/>
      <c r="F6131" s="1"/>
      <c r="K6131" s="1"/>
    </row>
    <row r="6132" spans="5:11" x14ac:dyDescent="0.3">
      <c r="E6132" s="6"/>
      <c r="F6132" s="1"/>
      <c r="K6132" s="1"/>
    </row>
    <row r="6133" spans="5:11" x14ac:dyDescent="0.3">
      <c r="E6133" s="5"/>
      <c r="F6133" s="1"/>
      <c r="K6133" s="1"/>
    </row>
    <row r="6134" spans="5:11" x14ac:dyDescent="0.3">
      <c r="E6134" s="6"/>
      <c r="F6134" s="1"/>
      <c r="K6134" s="1"/>
    </row>
    <row r="6135" spans="5:11" x14ac:dyDescent="0.3">
      <c r="E6135" s="6"/>
      <c r="F6135" s="1"/>
      <c r="K6135" s="1"/>
    </row>
    <row r="6136" spans="5:11" x14ac:dyDescent="0.3">
      <c r="E6136" s="6"/>
      <c r="F6136" s="1"/>
      <c r="K6136" s="1"/>
    </row>
    <row r="6137" spans="5:11" x14ac:dyDescent="0.3">
      <c r="E6137" s="5"/>
      <c r="F6137" s="1"/>
      <c r="K6137" s="1"/>
    </row>
    <row r="6138" spans="5:11" x14ac:dyDescent="0.3">
      <c r="E6138" s="6"/>
      <c r="F6138" s="1"/>
      <c r="K6138" s="1"/>
    </row>
    <row r="6139" spans="5:11" x14ac:dyDescent="0.3">
      <c r="E6139" s="6"/>
      <c r="F6139" s="1"/>
      <c r="K6139" s="1"/>
    </row>
    <row r="6140" spans="5:11" x14ac:dyDescent="0.3">
      <c r="E6140" s="6"/>
      <c r="F6140" s="1"/>
      <c r="K6140" s="1"/>
    </row>
    <row r="6141" spans="5:11" x14ac:dyDescent="0.3">
      <c r="E6141" s="6"/>
      <c r="F6141" s="1"/>
      <c r="K6141" s="1"/>
    </row>
    <row r="6142" spans="5:11" x14ac:dyDescent="0.3">
      <c r="E6142" s="5"/>
      <c r="F6142" s="1"/>
      <c r="K6142" s="1"/>
    </row>
    <row r="6143" spans="5:11" x14ac:dyDescent="0.3">
      <c r="E6143" s="2"/>
      <c r="F6143" s="1"/>
      <c r="K6143" s="1"/>
    </row>
    <row r="6144" spans="5:11" x14ac:dyDescent="0.3">
      <c r="E6144" s="2"/>
      <c r="F6144" s="1"/>
      <c r="K6144" s="1"/>
    </row>
    <row r="6145" spans="5:11" x14ac:dyDescent="0.3">
      <c r="E6145" s="2"/>
      <c r="F6145" s="1"/>
      <c r="K6145" s="1"/>
    </row>
    <row r="6146" spans="5:11" x14ac:dyDescent="0.3">
      <c r="E6146" s="2"/>
      <c r="F6146" s="1"/>
      <c r="K6146" s="1"/>
    </row>
    <row r="6147" spans="5:11" x14ac:dyDescent="0.3">
      <c r="E6147" s="2"/>
      <c r="F6147" s="1"/>
      <c r="K6147" s="1"/>
    </row>
  </sheetData>
  <autoFilter ref="A1:M6147" xr:uid="{16F84BA0-D1D1-4A2A-AB5C-6D5F672E1717}">
    <sortState xmlns:xlrd2="http://schemas.microsoft.com/office/spreadsheetml/2017/richdata2" ref="A2:M6147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USERS</vt:lpstr>
      <vt:lpstr>TRANSACTIONS</vt:lpstr>
      <vt:lpstr>CARDS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Ohemaa Anyan</cp:lastModifiedBy>
  <dcterms:created xsi:type="dcterms:W3CDTF">2026-02-11T20:41:15Z</dcterms:created>
  <dcterms:modified xsi:type="dcterms:W3CDTF">2026-02-20T14:42:47Z</dcterms:modified>
</cp:coreProperties>
</file>